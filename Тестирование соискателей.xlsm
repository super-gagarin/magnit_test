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абота\Магнит\"/>
    </mc:Choice>
  </mc:AlternateContent>
  <xr:revisionPtr revIDLastSave="0" documentId="13_ncr:1_{CF3DD07C-18EC-4B69-9D6B-FF8A4D1C90D4}" xr6:coauthVersionLast="47" xr6:coauthVersionMax="47" xr10:uidLastSave="{00000000-0000-0000-0000-000000000000}"/>
  <bookViews>
    <workbookView xWindow="4575" yWindow="930" windowWidth="24630" windowHeight="12675" xr2:uid="{00000000-000D-0000-FFFF-FFFF00000000}"/>
  </bookViews>
  <sheets>
    <sheet name="Тестирование" sheetId="13" r:id="rId1"/>
    <sheet name="Часть 1" sheetId="1" state="hidden" r:id="rId2"/>
    <sheet name="Часть 1_ответы" sheetId="15" state="hidden" r:id="rId3"/>
    <sheet name="Часть 2" sheetId="4" state="hidden" r:id="rId4"/>
    <sheet name="Часть 2_ответы" sheetId="17" state="hidden" r:id="rId5"/>
    <sheet name="Часть 3" sheetId="7" state="hidden" r:id="rId6"/>
    <sheet name="Срок Годности" sheetId="9" state="hidden" r:id="rId7"/>
    <sheet name="Часть 0" sheetId="3" state="hidden" r:id="rId8"/>
    <sheet name="Сводная" sheetId="18" state="hidden" r:id="rId9"/>
    <sheet name="Часть 4" sheetId="19" state="hidden" r:id="rId10"/>
  </sheets>
  <externalReferences>
    <externalReference r:id="rId11"/>
  </externalReferences>
  <definedNames>
    <definedName name="_xlnm._FilterDatabase" localSheetId="7" hidden="1">'Часть 0'!$A$2:$E$2</definedName>
    <definedName name="_xlnm._FilterDatabase" localSheetId="5" hidden="1">'Часть 3'!$A$6:$V$6</definedName>
  </definedNames>
  <calcPr calcId="181029"/>
  <pivotCaches>
    <pivotCache cacheId="2" r:id="rId12"/>
  </pivotCaches>
</workbook>
</file>

<file path=xl/calcChain.xml><?xml version="1.0" encoding="utf-8"?>
<calcChain xmlns="http://schemas.openxmlformats.org/spreadsheetml/2006/main"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1894" i="7"/>
  <c r="S1895" i="7"/>
  <c r="S1896" i="7"/>
  <c r="S1897" i="7"/>
  <c r="S1898" i="7"/>
  <c r="S1899" i="7"/>
  <c r="S1900" i="7"/>
  <c r="S1901" i="7"/>
  <c r="S1902" i="7"/>
  <c r="S1903" i="7"/>
  <c r="S1904" i="7"/>
  <c r="S1905" i="7"/>
  <c r="S1906" i="7"/>
  <c r="S1907" i="7"/>
  <c r="S1908" i="7"/>
  <c r="S1909" i="7"/>
  <c r="S1910" i="7"/>
  <c r="S1911" i="7"/>
  <c r="S1912" i="7"/>
  <c r="S1913" i="7"/>
  <c r="S1914" i="7"/>
  <c r="S1915" i="7"/>
  <c r="S1916" i="7"/>
  <c r="S1917" i="7"/>
  <c r="S1918" i="7"/>
  <c r="S1919" i="7"/>
  <c r="S1920" i="7"/>
  <c r="S1921" i="7"/>
  <c r="S1922" i="7"/>
  <c r="S1923" i="7"/>
  <c r="S1924" i="7"/>
  <c r="S1925" i="7"/>
  <c r="S1926" i="7"/>
  <c r="S1927" i="7"/>
  <c r="S1928" i="7"/>
  <c r="S1929" i="7"/>
  <c r="S1930" i="7"/>
  <c r="S1931" i="7"/>
  <c r="S1932" i="7"/>
  <c r="S1933" i="7"/>
  <c r="S1934" i="7"/>
  <c r="S1935" i="7"/>
  <c r="S1936" i="7"/>
  <c r="S1937" i="7"/>
  <c r="S1938" i="7"/>
  <c r="S1939" i="7"/>
  <c r="S1940" i="7"/>
  <c r="S1941" i="7"/>
  <c r="S1942" i="7"/>
  <c r="S1943" i="7"/>
  <c r="S1944" i="7"/>
  <c r="S1945" i="7"/>
  <c r="S1946" i="7"/>
  <c r="S1947" i="7"/>
  <c r="S1948" i="7"/>
  <c r="S1949" i="7"/>
  <c r="S1950" i="7"/>
  <c r="S1951" i="7"/>
  <c r="S1952" i="7"/>
  <c r="S1953" i="7"/>
  <c r="S1954" i="7"/>
  <c r="S1955" i="7"/>
  <c r="S1956" i="7"/>
  <c r="S1957" i="7"/>
  <c r="S1958" i="7"/>
  <c r="S1959" i="7"/>
  <c r="S1960" i="7"/>
  <c r="S1961" i="7"/>
  <c r="S1962" i="7"/>
  <c r="S1963" i="7"/>
  <c r="S1964" i="7"/>
  <c r="S1965" i="7"/>
  <c r="S1966" i="7"/>
  <c r="S1967" i="7"/>
  <c r="S1968" i="7"/>
  <c r="S1969" i="7"/>
  <c r="S1970" i="7"/>
  <c r="S1971" i="7"/>
  <c r="S1972" i="7"/>
  <c r="S1973" i="7"/>
  <c r="S1974" i="7"/>
  <c r="S1975" i="7"/>
  <c r="S1976" i="7"/>
  <c r="S1977" i="7"/>
  <c r="S1978" i="7"/>
  <c r="S1979" i="7"/>
  <c r="S1980" i="7"/>
  <c r="S1981" i="7"/>
  <c r="S1982" i="7"/>
  <c r="S1983" i="7"/>
  <c r="S1984" i="7"/>
  <c r="S1985" i="7"/>
  <c r="S1986" i="7"/>
  <c r="S1987" i="7"/>
  <c r="S1988" i="7"/>
  <c r="S1989" i="7"/>
  <c r="S1990" i="7"/>
  <c r="S1991" i="7"/>
  <c r="S1992" i="7"/>
  <c r="S1993" i="7"/>
  <c r="S1994" i="7"/>
  <c r="S1995" i="7"/>
  <c r="S1996" i="7"/>
  <c r="S1997" i="7"/>
  <c r="S1998" i="7"/>
  <c r="S1999" i="7"/>
  <c r="S2000" i="7"/>
  <c r="S2001" i="7"/>
  <c r="S2002" i="7"/>
  <c r="S2003" i="7"/>
  <c r="S2004" i="7"/>
  <c r="S2005" i="7"/>
  <c r="S2006" i="7"/>
  <c r="S2007" i="7"/>
  <c r="S2008" i="7"/>
  <c r="S2009" i="7"/>
  <c r="S2010" i="7"/>
  <c r="S2011" i="7"/>
  <c r="S2012" i="7"/>
  <c r="S2013" i="7"/>
  <c r="S2014" i="7"/>
  <c r="S2015" i="7"/>
  <c r="S2016" i="7"/>
  <c r="S2017" i="7"/>
  <c r="S2018" i="7"/>
  <c r="S2019" i="7"/>
  <c r="S2020" i="7"/>
  <c r="S2021" i="7"/>
  <c r="S2022" i="7"/>
  <c r="S2023" i="7"/>
  <c r="S2024" i="7"/>
  <c r="S2025" i="7"/>
  <c r="S2026" i="7"/>
  <c r="S2027" i="7"/>
  <c r="S2028" i="7"/>
  <c r="S2029" i="7"/>
  <c r="S2030" i="7"/>
  <c r="S2031" i="7"/>
  <c r="S2032" i="7"/>
  <c r="S2033" i="7"/>
  <c r="S2034" i="7"/>
  <c r="S2035" i="7"/>
  <c r="S2036" i="7"/>
  <c r="S2037" i="7"/>
  <c r="S2038" i="7"/>
  <c r="S2039" i="7"/>
  <c r="S2040" i="7"/>
  <c r="S2041" i="7"/>
  <c r="S2042" i="7"/>
  <c r="S2043" i="7"/>
  <c r="S2044" i="7"/>
  <c r="S2045" i="7"/>
  <c r="S2046" i="7"/>
  <c r="S2047" i="7"/>
  <c r="S2048" i="7"/>
  <c r="S2049" i="7"/>
  <c r="S2050" i="7"/>
  <c r="S2051" i="7"/>
  <c r="S2052" i="7"/>
  <c r="S2053" i="7"/>
  <c r="S2054" i="7"/>
  <c r="S2055" i="7"/>
  <c r="S2056" i="7"/>
  <c r="S2057" i="7"/>
  <c r="S2058" i="7"/>
  <c r="S2059" i="7"/>
  <c r="S2060" i="7"/>
  <c r="S2061" i="7"/>
  <c r="S2062" i="7"/>
  <c r="S2063" i="7"/>
  <c r="S2064" i="7"/>
  <c r="S2065" i="7"/>
  <c r="S2066" i="7"/>
  <c r="S2067" i="7"/>
  <c r="S2068" i="7"/>
  <c r="S2069" i="7"/>
  <c r="S2070" i="7"/>
  <c r="S2071" i="7"/>
  <c r="S2072" i="7"/>
  <c r="S2073" i="7"/>
  <c r="S2074" i="7"/>
  <c r="S2075" i="7"/>
  <c r="S2076" i="7"/>
  <c r="S2077" i="7"/>
  <c r="S2078" i="7"/>
  <c r="S2079" i="7"/>
  <c r="S2080" i="7"/>
  <c r="S2081" i="7"/>
  <c r="S2082" i="7"/>
  <c r="S2083" i="7"/>
  <c r="S2084" i="7"/>
  <c r="S2085" i="7"/>
  <c r="S2086" i="7"/>
  <c r="S2087" i="7"/>
  <c r="S2088" i="7"/>
  <c r="S2089" i="7"/>
  <c r="S2090" i="7"/>
  <c r="S2091" i="7"/>
  <c r="S2092" i="7"/>
  <c r="S2093" i="7"/>
  <c r="S2094" i="7"/>
  <c r="S2095" i="7"/>
  <c r="S2096" i="7"/>
  <c r="S2097" i="7"/>
  <c r="S2098" i="7"/>
  <c r="S2099" i="7"/>
  <c r="S2100" i="7"/>
  <c r="S2101" i="7"/>
  <c r="S2102" i="7"/>
  <c r="S2103" i="7"/>
  <c r="S2104" i="7"/>
  <c r="S2105" i="7"/>
  <c r="S2106" i="7"/>
  <c r="S2107" i="7"/>
  <c r="S2108" i="7"/>
  <c r="S2109" i="7"/>
  <c r="S2110" i="7"/>
  <c r="S2111" i="7"/>
  <c r="S2112" i="7"/>
  <c r="S2113" i="7"/>
  <c r="S2114" i="7"/>
  <c r="S2115" i="7"/>
  <c r="S2116" i="7"/>
  <c r="S2117" i="7"/>
  <c r="S2118" i="7"/>
  <c r="S2119" i="7"/>
  <c r="S2120" i="7"/>
  <c r="S2121" i="7"/>
  <c r="S2122" i="7"/>
  <c r="S2123" i="7"/>
  <c r="S2124" i="7"/>
  <c r="S2125" i="7"/>
  <c r="S2126" i="7"/>
  <c r="S2127" i="7"/>
  <c r="S2128" i="7"/>
  <c r="S2129" i="7"/>
  <c r="S2130" i="7"/>
  <c r="S2131" i="7"/>
  <c r="S2132" i="7"/>
  <c r="S2133" i="7"/>
  <c r="S2134" i="7"/>
  <c r="S2135" i="7"/>
  <c r="S2136" i="7"/>
  <c r="S2137" i="7"/>
  <c r="S2138" i="7"/>
  <c r="S2139" i="7"/>
  <c r="S2140" i="7"/>
  <c r="S2141" i="7"/>
  <c r="S2142" i="7"/>
  <c r="S2143" i="7"/>
  <c r="S2144" i="7"/>
  <c r="S2145" i="7"/>
  <c r="S2146" i="7"/>
  <c r="S2147" i="7"/>
  <c r="S2148" i="7"/>
  <c r="S2149" i="7"/>
  <c r="S2150" i="7"/>
  <c r="S2151" i="7"/>
  <c r="S2152" i="7"/>
  <c r="S2153" i="7"/>
  <c r="S2154" i="7"/>
  <c r="S2155" i="7"/>
  <c r="S2156" i="7"/>
  <c r="S2157" i="7"/>
  <c r="S2158" i="7"/>
  <c r="S2159" i="7"/>
  <c r="S2160" i="7"/>
  <c r="S2161" i="7"/>
  <c r="S2162" i="7"/>
  <c r="S2163" i="7"/>
  <c r="S2164" i="7"/>
  <c r="S2165" i="7"/>
  <c r="S2166" i="7"/>
  <c r="S2167" i="7"/>
  <c r="S2168" i="7"/>
  <c r="S2169" i="7"/>
  <c r="S2170" i="7"/>
  <c r="S2171" i="7"/>
  <c r="S2172" i="7"/>
  <c r="S2173" i="7"/>
  <c r="S2174" i="7"/>
  <c r="S2175" i="7"/>
  <c r="S2176" i="7"/>
  <c r="S2177" i="7"/>
  <c r="S2178" i="7"/>
  <c r="S2179" i="7"/>
  <c r="S2180" i="7"/>
  <c r="S2181" i="7"/>
  <c r="S2182" i="7"/>
  <c r="S2183" i="7"/>
  <c r="S2184" i="7"/>
  <c r="S2185" i="7"/>
  <c r="S2186" i="7"/>
  <c r="S2187" i="7"/>
  <c r="S2188" i="7"/>
  <c r="S2189" i="7"/>
  <c r="S2190" i="7"/>
  <c r="S2191" i="7"/>
  <c r="S2192" i="7"/>
  <c r="S2193" i="7"/>
  <c r="S2194" i="7"/>
  <c r="S2195" i="7"/>
  <c r="S2196" i="7"/>
  <c r="S2197" i="7"/>
  <c r="S2198" i="7"/>
  <c r="S2199" i="7"/>
  <c r="S2200" i="7"/>
  <c r="S2201" i="7"/>
  <c r="S2202" i="7"/>
  <c r="S2203" i="7"/>
  <c r="S2204" i="7"/>
  <c r="S2205" i="7"/>
  <c r="S2206" i="7"/>
  <c r="S2207" i="7"/>
  <c r="S2208" i="7"/>
  <c r="S2209" i="7"/>
  <c r="S2210" i="7"/>
  <c r="S2211" i="7"/>
  <c r="S2212" i="7"/>
  <c r="S2213" i="7"/>
  <c r="S2214" i="7"/>
  <c r="S2215" i="7"/>
  <c r="S2216" i="7"/>
  <c r="S2217" i="7"/>
  <c r="S2218" i="7"/>
  <c r="S2219" i="7"/>
  <c r="S2220" i="7"/>
  <c r="S2221" i="7"/>
  <c r="S2222" i="7"/>
  <c r="S2223" i="7"/>
  <c r="S2224" i="7"/>
  <c r="S2225" i="7"/>
  <c r="S2226" i="7"/>
  <c r="S2227" i="7"/>
  <c r="S2228" i="7"/>
  <c r="S2229" i="7"/>
  <c r="S2230" i="7"/>
  <c r="S2231" i="7"/>
  <c r="S2232" i="7"/>
  <c r="S2233" i="7"/>
  <c r="S2234" i="7"/>
  <c r="S2235" i="7"/>
  <c r="S2236" i="7"/>
  <c r="S2237" i="7"/>
  <c r="S2238" i="7"/>
  <c r="S2239" i="7"/>
  <c r="S2240" i="7"/>
  <c r="S2241" i="7"/>
  <c r="S2242" i="7"/>
  <c r="S2243" i="7"/>
  <c r="S2244" i="7"/>
  <c r="S2245" i="7"/>
  <c r="S2246" i="7"/>
  <c r="S2247" i="7"/>
  <c r="S2248" i="7"/>
  <c r="S2249" i="7"/>
  <c r="S2250" i="7"/>
  <c r="S2251" i="7"/>
  <c r="S2252" i="7"/>
  <c r="S2253" i="7"/>
  <c r="S2254" i="7"/>
  <c r="S2255" i="7"/>
  <c r="S2256" i="7"/>
  <c r="S2257" i="7"/>
  <c r="S2258" i="7"/>
  <c r="S2259" i="7"/>
  <c r="S2260" i="7"/>
  <c r="S2261" i="7"/>
  <c r="S2262" i="7"/>
  <c r="S2263" i="7"/>
  <c r="S2264" i="7"/>
  <c r="S2265" i="7"/>
  <c r="S2266" i="7"/>
  <c r="S2267" i="7"/>
  <c r="S2268" i="7"/>
  <c r="S2269" i="7"/>
  <c r="S2270" i="7"/>
  <c r="S2271" i="7"/>
  <c r="S2272" i="7"/>
  <c r="S2273" i="7"/>
  <c r="S2274" i="7"/>
  <c r="S2275" i="7"/>
  <c r="S2276" i="7"/>
  <c r="S2277" i="7"/>
  <c r="S2278" i="7"/>
  <c r="S2279" i="7"/>
  <c r="S2280" i="7"/>
  <c r="S2281" i="7"/>
  <c r="S2282" i="7"/>
  <c r="S2283" i="7"/>
  <c r="S2284" i="7"/>
  <c r="S2285" i="7"/>
  <c r="S2286" i="7"/>
  <c r="S2287" i="7"/>
  <c r="S2288" i="7"/>
  <c r="S2289" i="7"/>
  <c r="S2290" i="7"/>
  <c r="S2291" i="7"/>
  <c r="S2292" i="7"/>
  <c r="S2293" i="7"/>
  <c r="S2294" i="7"/>
  <c r="S2295" i="7"/>
  <c r="S2296" i="7"/>
  <c r="S2297" i="7"/>
  <c r="S2298" i="7"/>
  <c r="S2299" i="7"/>
  <c r="S2300" i="7"/>
  <c r="S2301" i="7"/>
  <c r="S2302" i="7"/>
  <c r="S2303" i="7"/>
  <c r="S2304" i="7"/>
  <c r="S2305" i="7"/>
  <c r="S2306" i="7"/>
  <c r="S2307" i="7"/>
  <c r="S2308" i="7"/>
  <c r="S2309" i="7"/>
  <c r="S2310" i="7"/>
  <c r="S2311" i="7"/>
  <c r="S2312" i="7"/>
  <c r="S2313" i="7"/>
  <c r="S2314" i="7"/>
  <c r="S2315" i="7"/>
  <c r="S2316" i="7"/>
  <c r="S2317" i="7"/>
  <c r="S2318" i="7"/>
  <c r="S2319" i="7"/>
  <c r="S2320" i="7"/>
  <c r="S2321" i="7"/>
  <c r="S2322" i="7"/>
  <c r="S2323" i="7"/>
  <c r="S2324" i="7"/>
  <c r="S2325" i="7"/>
  <c r="S2326" i="7"/>
  <c r="S2327" i="7"/>
  <c r="S2328" i="7"/>
  <c r="S2329" i="7"/>
  <c r="S2330" i="7"/>
  <c r="S2331" i="7"/>
  <c r="S2332" i="7"/>
  <c r="S2333" i="7"/>
  <c r="S2334" i="7"/>
  <c r="S2335" i="7"/>
  <c r="S2336" i="7"/>
  <c r="S2337" i="7"/>
  <c r="S2338" i="7"/>
  <c r="S2339" i="7"/>
  <c r="S2340" i="7"/>
  <c r="S2341" i="7"/>
  <c r="S2342" i="7"/>
  <c r="S2343" i="7"/>
  <c r="S2344" i="7"/>
  <c r="S2345" i="7"/>
  <c r="S2346" i="7"/>
  <c r="S2347" i="7"/>
  <c r="S2348" i="7"/>
  <c r="S2349" i="7"/>
  <c r="S2350" i="7"/>
  <c r="S2351" i="7"/>
  <c r="S2352" i="7"/>
  <c r="S2353" i="7"/>
  <c r="S2354" i="7"/>
  <c r="S2355" i="7"/>
  <c r="S2356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842" i="7"/>
  <c r="Q843" i="7"/>
  <c r="Q844" i="7"/>
  <c r="Q845" i="7"/>
  <c r="Q846" i="7"/>
  <c r="Q847" i="7"/>
  <c r="Q848" i="7"/>
  <c r="Q849" i="7"/>
  <c r="Q850" i="7"/>
  <c r="Q851" i="7"/>
  <c r="Q852" i="7"/>
  <c r="Q853" i="7"/>
  <c r="Q854" i="7"/>
  <c r="Q855" i="7"/>
  <c r="Q856" i="7"/>
  <c r="Q857" i="7"/>
  <c r="Q858" i="7"/>
  <c r="Q859" i="7"/>
  <c r="Q860" i="7"/>
  <c r="Q861" i="7"/>
  <c r="Q862" i="7"/>
  <c r="Q863" i="7"/>
  <c r="Q864" i="7"/>
  <c r="Q865" i="7"/>
  <c r="Q866" i="7"/>
  <c r="Q867" i="7"/>
  <c r="Q868" i="7"/>
  <c r="Q869" i="7"/>
  <c r="Q870" i="7"/>
  <c r="Q871" i="7"/>
  <c r="Q872" i="7"/>
  <c r="Q873" i="7"/>
  <c r="Q874" i="7"/>
  <c r="Q875" i="7"/>
  <c r="Q876" i="7"/>
  <c r="Q877" i="7"/>
  <c r="Q878" i="7"/>
  <c r="Q879" i="7"/>
  <c r="Q880" i="7"/>
  <c r="Q881" i="7"/>
  <c r="Q882" i="7"/>
  <c r="Q883" i="7"/>
  <c r="Q884" i="7"/>
  <c r="Q885" i="7"/>
  <c r="Q886" i="7"/>
  <c r="Q887" i="7"/>
  <c r="Q888" i="7"/>
  <c r="Q889" i="7"/>
  <c r="Q890" i="7"/>
  <c r="Q891" i="7"/>
  <c r="Q892" i="7"/>
  <c r="Q893" i="7"/>
  <c r="Q894" i="7"/>
  <c r="Q895" i="7"/>
  <c r="Q896" i="7"/>
  <c r="Q897" i="7"/>
  <c r="Q898" i="7"/>
  <c r="Q899" i="7"/>
  <c r="Q900" i="7"/>
  <c r="Q901" i="7"/>
  <c r="Q902" i="7"/>
  <c r="Q903" i="7"/>
  <c r="Q904" i="7"/>
  <c r="Q905" i="7"/>
  <c r="Q906" i="7"/>
  <c r="Q907" i="7"/>
  <c r="Q908" i="7"/>
  <c r="Q909" i="7"/>
  <c r="Q910" i="7"/>
  <c r="Q911" i="7"/>
  <c r="Q912" i="7"/>
  <c r="Q913" i="7"/>
  <c r="Q914" i="7"/>
  <c r="Q915" i="7"/>
  <c r="Q916" i="7"/>
  <c r="Q917" i="7"/>
  <c r="Q918" i="7"/>
  <c r="Q919" i="7"/>
  <c r="Q920" i="7"/>
  <c r="Q921" i="7"/>
  <c r="Q922" i="7"/>
  <c r="Q923" i="7"/>
  <c r="Q924" i="7"/>
  <c r="Q925" i="7"/>
  <c r="Q926" i="7"/>
  <c r="Q927" i="7"/>
  <c r="Q928" i="7"/>
  <c r="Q929" i="7"/>
  <c r="Q930" i="7"/>
  <c r="Q931" i="7"/>
  <c r="Q932" i="7"/>
  <c r="Q933" i="7"/>
  <c r="Q934" i="7"/>
  <c r="Q935" i="7"/>
  <c r="Q936" i="7"/>
  <c r="Q937" i="7"/>
  <c r="Q938" i="7"/>
  <c r="Q939" i="7"/>
  <c r="Q940" i="7"/>
  <c r="Q941" i="7"/>
  <c r="Q942" i="7"/>
  <c r="Q943" i="7"/>
  <c r="Q944" i="7"/>
  <c r="Q945" i="7"/>
  <c r="Q946" i="7"/>
  <c r="Q947" i="7"/>
  <c r="Q948" i="7"/>
  <c r="Q949" i="7"/>
  <c r="Q950" i="7"/>
  <c r="Q951" i="7"/>
  <c r="Q952" i="7"/>
  <c r="Q953" i="7"/>
  <c r="Q954" i="7"/>
  <c r="Q955" i="7"/>
  <c r="Q956" i="7"/>
  <c r="Q957" i="7"/>
  <c r="Q958" i="7"/>
  <c r="Q959" i="7"/>
  <c r="Q960" i="7"/>
  <c r="Q961" i="7"/>
  <c r="Q962" i="7"/>
  <c r="Q963" i="7"/>
  <c r="Q964" i="7"/>
  <c r="Q965" i="7"/>
  <c r="Q966" i="7"/>
  <c r="Q967" i="7"/>
  <c r="Q968" i="7"/>
  <c r="Q969" i="7"/>
  <c r="Q970" i="7"/>
  <c r="Q971" i="7"/>
  <c r="Q972" i="7"/>
  <c r="Q973" i="7"/>
  <c r="Q974" i="7"/>
  <c r="Q975" i="7"/>
  <c r="Q976" i="7"/>
  <c r="Q977" i="7"/>
  <c r="Q978" i="7"/>
  <c r="Q979" i="7"/>
  <c r="Q980" i="7"/>
  <c r="Q981" i="7"/>
  <c r="Q982" i="7"/>
  <c r="Q983" i="7"/>
  <c r="Q984" i="7"/>
  <c r="Q985" i="7"/>
  <c r="Q986" i="7"/>
  <c r="Q987" i="7"/>
  <c r="Q988" i="7"/>
  <c r="Q989" i="7"/>
  <c r="Q990" i="7"/>
  <c r="Q991" i="7"/>
  <c r="Q992" i="7"/>
  <c r="Q993" i="7"/>
  <c r="Q994" i="7"/>
  <c r="Q995" i="7"/>
  <c r="Q996" i="7"/>
  <c r="Q997" i="7"/>
  <c r="Q998" i="7"/>
  <c r="Q999" i="7"/>
  <c r="Q1000" i="7"/>
  <c r="Q1001" i="7"/>
  <c r="Q1002" i="7"/>
  <c r="Q1003" i="7"/>
  <c r="Q1004" i="7"/>
  <c r="Q1005" i="7"/>
  <c r="Q1006" i="7"/>
  <c r="Q1007" i="7"/>
  <c r="Q1008" i="7"/>
  <c r="Q1009" i="7"/>
  <c r="Q1010" i="7"/>
  <c r="Q1011" i="7"/>
  <c r="Q1012" i="7"/>
  <c r="Q1013" i="7"/>
  <c r="Q1014" i="7"/>
  <c r="Q1015" i="7"/>
  <c r="Q1016" i="7"/>
  <c r="Q1017" i="7"/>
  <c r="Q1018" i="7"/>
  <c r="Q1019" i="7"/>
  <c r="Q1020" i="7"/>
  <c r="Q1021" i="7"/>
  <c r="Q1022" i="7"/>
  <c r="Q1023" i="7"/>
  <c r="Q1024" i="7"/>
  <c r="Q1025" i="7"/>
  <c r="Q1026" i="7"/>
  <c r="Q1027" i="7"/>
  <c r="Q1028" i="7"/>
  <c r="Q1029" i="7"/>
  <c r="Q1030" i="7"/>
  <c r="Q1031" i="7"/>
  <c r="Q1032" i="7"/>
  <c r="Q1033" i="7"/>
  <c r="Q1034" i="7"/>
  <c r="Q1035" i="7"/>
  <c r="Q1036" i="7"/>
  <c r="Q1037" i="7"/>
  <c r="Q1038" i="7"/>
  <c r="Q1039" i="7"/>
  <c r="Q1040" i="7"/>
  <c r="Q1041" i="7"/>
  <c r="Q1042" i="7"/>
  <c r="Q1043" i="7"/>
  <c r="Q1044" i="7"/>
  <c r="Q1045" i="7"/>
  <c r="Q1046" i="7"/>
  <c r="Q1047" i="7"/>
  <c r="Q1048" i="7"/>
  <c r="Q1049" i="7"/>
  <c r="Q1050" i="7"/>
  <c r="Q1051" i="7"/>
  <c r="Q1052" i="7"/>
  <c r="Q1053" i="7"/>
  <c r="Q1054" i="7"/>
  <c r="Q1055" i="7"/>
  <c r="Q1056" i="7"/>
  <c r="Q1057" i="7"/>
  <c r="Q1058" i="7"/>
  <c r="Q1059" i="7"/>
  <c r="Q1060" i="7"/>
  <c r="Q1061" i="7"/>
  <c r="Q1062" i="7"/>
  <c r="Q1063" i="7"/>
  <c r="Q1064" i="7"/>
  <c r="Q1065" i="7"/>
  <c r="Q1066" i="7"/>
  <c r="Q1067" i="7"/>
  <c r="Q1068" i="7"/>
  <c r="Q1069" i="7"/>
  <c r="Q1070" i="7"/>
  <c r="Q1071" i="7"/>
  <c r="Q1072" i="7"/>
  <c r="Q1073" i="7"/>
  <c r="Q1074" i="7"/>
  <c r="Q1075" i="7"/>
  <c r="Q1076" i="7"/>
  <c r="Q1077" i="7"/>
  <c r="Q1078" i="7"/>
  <c r="Q1079" i="7"/>
  <c r="Q1080" i="7"/>
  <c r="Q1081" i="7"/>
  <c r="Q1082" i="7"/>
  <c r="Q1083" i="7"/>
  <c r="Q1084" i="7"/>
  <c r="Q1085" i="7"/>
  <c r="Q1086" i="7"/>
  <c r="Q1087" i="7"/>
  <c r="Q1088" i="7"/>
  <c r="Q1089" i="7"/>
  <c r="Q1090" i="7"/>
  <c r="Q1091" i="7"/>
  <c r="Q1092" i="7"/>
  <c r="Q1093" i="7"/>
  <c r="Q1094" i="7"/>
  <c r="Q1095" i="7"/>
  <c r="Q1096" i="7"/>
  <c r="Q1097" i="7"/>
  <c r="Q1098" i="7"/>
  <c r="Q1099" i="7"/>
  <c r="Q1100" i="7"/>
  <c r="Q1101" i="7"/>
  <c r="Q1102" i="7"/>
  <c r="Q1103" i="7"/>
  <c r="Q1104" i="7"/>
  <c r="Q1105" i="7"/>
  <c r="Q1106" i="7"/>
  <c r="Q1107" i="7"/>
  <c r="Q1108" i="7"/>
  <c r="Q1109" i="7"/>
  <c r="Q1110" i="7"/>
  <c r="Q1111" i="7"/>
  <c r="Q1112" i="7"/>
  <c r="Q1113" i="7"/>
  <c r="Q1114" i="7"/>
  <c r="Q1115" i="7"/>
  <c r="Q1116" i="7"/>
  <c r="Q1117" i="7"/>
  <c r="Q1118" i="7"/>
  <c r="Q1119" i="7"/>
  <c r="Q1120" i="7"/>
  <c r="Q1121" i="7"/>
  <c r="Q1122" i="7"/>
  <c r="Q1123" i="7"/>
  <c r="Q1124" i="7"/>
  <c r="Q1125" i="7"/>
  <c r="Q1126" i="7"/>
  <c r="Q1127" i="7"/>
  <c r="Q1128" i="7"/>
  <c r="Q1129" i="7"/>
  <c r="Q1130" i="7"/>
  <c r="Q1131" i="7"/>
  <c r="Q1132" i="7"/>
  <c r="Q1133" i="7"/>
  <c r="Q1134" i="7"/>
  <c r="Q1135" i="7"/>
  <c r="Q1136" i="7"/>
  <c r="Q1137" i="7"/>
  <c r="Q1138" i="7"/>
  <c r="Q1139" i="7"/>
  <c r="Q1140" i="7"/>
  <c r="Q1141" i="7"/>
  <c r="Q1142" i="7"/>
  <c r="Q1143" i="7"/>
  <c r="Q1144" i="7"/>
  <c r="Q1145" i="7"/>
  <c r="Q1146" i="7"/>
  <c r="Q1147" i="7"/>
  <c r="Q1148" i="7"/>
  <c r="Q1149" i="7"/>
  <c r="Q1150" i="7"/>
  <c r="Q1151" i="7"/>
  <c r="Q1152" i="7"/>
  <c r="Q1153" i="7"/>
  <c r="Q1154" i="7"/>
  <c r="Q1155" i="7"/>
  <c r="Q1156" i="7"/>
  <c r="Q1157" i="7"/>
  <c r="Q1158" i="7"/>
  <c r="Q1159" i="7"/>
  <c r="Q1160" i="7"/>
  <c r="Q1161" i="7"/>
  <c r="Q1162" i="7"/>
  <c r="Q1163" i="7"/>
  <c r="Q1164" i="7"/>
  <c r="Q1165" i="7"/>
  <c r="Q1166" i="7"/>
  <c r="Q1167" i="7"/>
  <c r="Q1168" i="7"/>
  <c r="Q1169" i="7"/>
  <c r="Q1170" i="7"/>
  <c r="Q1171" i="7"/>
  <c r="Q1172" i="7"/>
  <c r="Q1173" i="7"/>
  <c r="Q1174" i="7"/>
  <c r="Q1175" i="7"/>
  <c r="Q1176" i="7"/>
  <c r="Q1177" i="7"/>
  <c r="Q1178" i="7"/>
  <c r="Q1179" i="7"/>
  <c r="Q1180" i="7"/>
  <c r="Q1181" i="7"/>
  <c r="Q1182" i="7"/>
  <c r="Q1183" i="7"/>
  <c r="Q1184" i="7"/>
  <c r="Q1185" i="7"/>
  <c r="Q1186" i="7"/>
  <c r="Q1187" i="7"/>
  <c r="Q1188" i="7"/>
  <c r="Q1189" i="7"/>
  <c r="Q1190" i="7"/>
  <c r="Q1191" i="7"/>
  <c r="Q1192" i="7"/>
  <c r="Q1193" i="7"/>
  <c r="Q1194" i="7"/>
  <c r="Q1195" i="7"/>
  <c r="Q1196" i="7"/>
  <c r="Q1197" i="7"/>
  <c r="Q1198" i="7"/>
  <c r="Q1199" i="7"/>
  <c r="Q1200" i="7"/>
  <c r="Q1201" i="7"/>
  <c r="Q1202" i="7"/>
  <c r="Q1203" i="7"/>
  <c r="Q1204" i="7"/>
  <c r="Q1205" i="7"/>
  <c r="Q1206" i="7"/>
  <c r="Q1207" i="7"/>
  <c r="Q1208" i="7"/>
  <c r="Q1209" i="7"/>
  <c r="Q1210" i="7"/>
  <c r="Q1211" i="7"/>
  <c r="Q1212" i="7"/>
  <c r="Q1213" i="7"/>
  <c r="Q1214" i="7"/>
  <c r="Q1215" i="7"/>
  <c r="Q1216" i="7"/>
  <c r="Q1217" i="7"/>
  <c r="Q1218" i="7"/>
  <c r="Q1219" i="7"/>
  <c r="Q1220" i="7"/>
  <c r="Q1221" i="7"/>
  <c r="Q1222" i="7"/>
  <c r="Q1223" i="7"/>
  <c r="Q1224" i="7"/>
  <c r="Q1225" i="7"/>
  <c r="Q1226" i="7"/>
  <c r="Q1227" i="7"/>
  <c r="Q1228" i="7"/>
  <c r="Q1229" i="7"/>
  <c r="Q1230" i="7"/>
  <c r="Q1231" i="7"/>
  <c r="Q1232" i="7"/>
  <c r="Q1233" i="7"/>
  <c r="Q1234" i="7"/>
  <c r="Q1235" i="7"/>
  <c r="Q1236" i="7"/>
  <c r="Q1237" i="7"/>
  <c r="Q1238" i="7"/>
  <c r="Q1239" i="7"/>
  <c r="Q1240" i="7"/>
  <c r="Q1241" i="7"/>
  <c r="Q1242" i="7"/>
  <c r="Q1243" i="7"/>
  <c r="Q1244" i="7"/>
  <c r="Q1245" i="7"/>
  <c r="Q1246" i="7"/>
  <c r="Q1247" i="7"/>
  <c r="Q1248" i="7"/>
  <c r="Q1249" i="7"/>
  <c r="Q1250" i="7"/>
  <c r="Q1251" i="7"/>
  <c r="Q1252" i="7"/>
  <c r="Q1253" i="7"/>
  <c r="Q1254" i="7"/>
  <c r="Q1255" i="7"/>
  <c r="Q1256" i="7"/>
  <c r="Q1257" i="7"/>
  <c r="Q1258" i="7"/>
  <c r="Q1259" i="7"/>
  <c r="Q1260" i="7"/>
  <c r="Q1261" i="7"/>
  <c r="Q1262" i="7"/>
  <c r="Q1263" i="7"/>
  <c r="Q1264" i="7"/>
  <c r="Q1265" i="7"/>
  <c r="Q1266" i="7"/>
  <c r="Q1267" i="7"/>
  <c r="Q1268" i="7"/>
  <c r="Q1269" i="7"/>
  <c r="Q1270" i="7"/>
  <c r="Q1271" i="7"/>
  <c r="Q1272" i="7"/>
  <c r="Q1273" i="7"/>
  <c r="Q1274" i="7"/>
  <c r="Q1275" i="7"/>
  <c r="Q1276" i="7"/>
  <c r="Q1277" i="7"/>
  <c r="Q1278" i="7"/>
  <c r="Q1279" i="7"/>
  <c r="Q1280" i="7"/>
  <c r="Q1281" i="7"/>
  <c r="Q1282" i="7"/>
  <c r="Q1283" i="7"/>
  <c r="Q1284" i="7"/>
  <c r="Q1285" i="7"/>
  <c r="Q1286" i="7"/>
  <c r="Q1287" i="7"/>
  <c r="Q1288" i="7"/>
  <c r="Q1289" i="7"/>
  <c r="Q1290" i="7"/>
  <c r="Q1291" i="7"/>
  <c r="Q1292" i="7"/>
  <c r="Q1293" i="7"/>
  <c r="Q1294" i="7"/>
  <c r="Q1295" i="7"/>
  <c r="Q1296" i="7"/>
  <c r="Q1297" i="7"/>
  <c r="Q1298" i="7"/>
  <c r="Q1299" i="7"/>
  <c r="Q1300" i="7"/>
  <c r="Q1301" i="7"/>
  <c r="Q1302" i="7"/>
  <c r="Q1303" i="7"/>
  <c r="Q1304" i="7"/>
  <c r="Q1305" i="7"/>
  <c r="Q1306" i="7"/>
  <c r="Q1307" i="7"/>
  <c r="Q1308" i="7"/>
  <c r="Q1309" i="7"/>
  <c r="Q1310" i="7"/>
  <c r="Q1311" i="7"/>
  <c r="Q1312" i="7"/>
  <c r="Q1313" i="7"/>
  <c r="Q1314" i="7"/>
  <c r="Q1315" i="7"/>
  <c r="Q1316" i="7"/>
  <c r="Q1317" i="7"/>
  <c r="Q1318" i="7"/>
  <c r="Q1319" i="7"/>
  <c r="Q1320" i="7"/>
  <c r="Q1321" i="7"/>
  <c r="Q1322" i="7"/>
  <c r="Q1323" i="7"/>
  <c r="Q1324" i="7"/>
  <c r="Q1325" i="7"/>
  <c r="Q1326" i="7"/>
  <c r="Q1327" i="7"/>
  <c r="Q1328" i="7"/>
  <c r="Q1329" i="7"/>
  <c r="Q1330" i="7"/>
  <c r="Q1331" i="7"/>
  <c r="Q1332" i="7"/>
  <c r="Q1333" i="7"/>
  <c r="Q1334" i="7"/>
  <c r="Q1335" i="7"/>
  <c r="Q1336" i="7"/>
  <c r="Q1337" i="7"/>
  <c r="Q1338" i="7"/>
  <c r="Q1339" i="7"/>
  <c r="Q1340" i="7"/>
  <c r="Q1341" i="7"/>
  <c r="Q1342" i="7"/>
  <c r="Q1343" i="7"/>
  <c r="Q1344" i="7"/>
  <c r="Q1345" i="7"/>
  <c r="Q1346" i="7"/>
  <c r="Q1347" i="7"/>
  <c r="Q1348" i="7"/>
  <c r="Q1349" i="7"/>
  <c r="Q1350" i="7"/>
  <c r="Q1351" i="7"/>
  <c r="Q1352" i="7"/>
  <c r="Q1353" i="7"/>
  <c r="Q1354" i="7"/>
  <c r="Q1355" i="7"/>
  <c r="Q1356" i="7"/>
  <c r="Q1357" i="7"/>
  <c r="Q1358" i="7"/>
  <c r="Q1359" i="7"/>
  <c r="Q1360" i="7"/>
  <c r="Q1361" i="7"/>
  <c r="Q1362" i="7"/>
  <c r="Q1363" i="7"/>
  <c r="Q1364" i="7"/>
  <c r="Q1365" i="7"/>
  <c r="Q1366" i="7"/>
  <c r="Q1367" i="7"/>
  <c r="Q1368" i="7"/>
  <c r="Q1369" i="7"/>
  <c r="Q1370" i="7"/>
  <c r="Q1371" i="7"/>
  <c r="Q1372" i="7"/>
  <c r="Q1373" i="7"/>
  <c r="Q1374" i="7"/>
  <c r="Q1375" i="7"/>
  <c r="Q1376" i="7"/>
  <c r="Q1377" i="7"/>
  <c r="Q1378" i="7"/>
  <c r="Q1379" i="7"/>
  <c r="Q1380" i="7"/>
  <c r="Q1381" i="7"/>
  <c r="Q1382" i="7"/>
  <c r="Q1383" i="7"/>
  <c r="Q1384" i="7"/>
  <c r="Q1385" i="7"/>
  <c r="Q1386" i="7"/>
  <c r="Q1387" i="7"/>
  <c r="Q1388" i="7"/>
  <c r="Q1389" i="7"/>
  <c r="Q1390" i="7"/>
  <c r="Q1391" i="7"/>
  <c r="Q1392" i="7"/>
  <c r="Q1393" i="7"/>
  <c r="Q1394" i="7"/>
  <c r="Q1395" i="7"/>
  <c r="Q1396" i="7"/>
  <c r="Q1397" i="7"/>
  <c r="Q1398" i="7"/>
  <c r="Q1399" i="7"/>
  <c r="Q1400" i="7"/>
  <c r="Q1401" i="7"/>
  <c r="Q1402" i="7"/>
  <c r="Q1403" i="7"/>
  <c r="Q1404" i="7"/>
  <c r="Q1405" i="7"/>
  <c r="Q1406" i="7"/>
  <c r="Q1407" i="7"/>
  <c r="Q1408" i="7"/>
  <c r="Q1409" i="7"/>
  <c r="Q1410" i="7"/>
  <c r="Q1411" i="7"/>
  <c r="Q1412" i="7"/>
  <c r="Q1413" i="7"/>
  <c r="Q1414" i="7"/>
  <c r="Q1415" i="7"/>
  <c r="Q1416" i="7"/>
  <c r="Q1417" i="7"/>
  <c r="Q1418" i="7"/>
  <c r="Q1419" i="7"/>
  <c r="Q1420" i="7"/>
  <c r="Q1421" i="7"/>
  <c r="Q1422" i="7"/>
  <c r="Q1423" i="7"/>
  <c r="Q1424" i="7"/>
  <c r="Q1425" i="7"/>
  <c r="Q1426" i="7"/>
  <c r="Q1427" i="7"/>
  <c r="Q1428" i="7"/>
  <c r="Q1429" i="7"/>
  <c r="Q1430" i="7"/>
  <c r="Q1431" i="7"/>
  <c r="Q1432" i="7"/>
  <c r="Q1433" i="7"/>
  <c r="Q1434" i="7"/>
  <c r="Q1435" i="7"/>
  <c r="Q1436" i="7"/>
  <c r="Q1437" i="7"/>
  <c r="Q1438" i="7"/>
  <c r="Q1439" i="7"/>
  <c r="Q1440" i="7"/>
  <c r="Q1441" i="7"/>
  <c r="Q1442" i="7"/>
  <c r="Q1443" i="7"/>
  <c r="Q1444" i="7"/>
  <c r="Q1445" i="7"/>
  <c r="Q1446" i="7"/>
  <c r="Q1447" i="7"/>
  <c r="Q1448" i="7"/>
  <c r="Q1449" i="7"/>
  <c r="Q1450" i="7"/>
  <c r="Q1451" i="7"/>
  <c r="Q1452" i="7"/>
  <c r="Q1453" i="7"/>
  <c r="Q1454" i="7"/>
  <c r="Q1455" i="7"/>
  <c r="Q1456" i="7"/>
  <c r="Q1457" i="7"/>
  <c r="Q1458" i="7"/>
  <c r="Q1459" i="7"/>
  <c r="Q1460" i="7"/>
  <c r="Q1461" i="7"/>
  <c r="Q1462" i="7"/>
  <c r="Q1463" i="7"/>
  <c r="Q1464" i="7"/>
  <c r="Q1465" i="7"/>
  <c r="Q1466" i="7"/>
  <c r="Q1467" i="7"/>
  <c r="Q1468" i="7"/>
  <c r="Q1469" i="7"/>
  <c r="Q1470" i="7"/>
  <c r="Q1471" i="7"/>
  <c r="Q1472" i="7"/>
  <c r="Q1473" i="7"/>
  <c r="Q1474" i="7"/>
  <c r="Q1475" i="7"/>
  <c r="Q1476" i="7"/>
  <c r="Q1477" i="7"/>
  <c r="Q1478" i="7"/>
  <c r="Q1479" i="7"/>
  <c r="Q1480" i="7"/>
  <c r="Q1481" i="7"/>
  <c r="Q1482" i="7"/>
  <c r="Q1483" i="7"/>
  <c r="Q1484" i="7"/>
  <c r="Q1485" i="7"/>
  <c r="Q1486" i="7"/>
  <c r="Q1487" i="7"/>
  <c r="Q1488" i="7"/>
  <c r="Q1489" i="7"/>
  <c r="Q1490" i="7"/>
  <c r="Q1491" i="7"/>
  <c r="Q1492" i="7"/>
  <c r="Q1493" i="7"/>
  <c r="Q1494" i="7"/>
  <c r="Q1495" i="7"/>
  <c r="Q1496" i="7"/>
  <c r="Q1497" i="7"/>
  <c r="Q1498" i="7"/>
  <c r="Q1499" i="7"/>
  <c r="Q1500" i="7"/>
  <c r="Q1501" i="7"/>
  <c r="Q1502" i="7"/>
  <c r="Q1503" i="7"/>
  <c r="Q1504" i="7"/>
  <c r="Q1505" i="7"/>
  <c r="Q1506" i="7"/>
  <c r="Q1507" i="7"/>
  <c r="Q1508" i="7"/>
  <c r="Q1509" i="7"/>
  <c r="Q1510" i="7"/>
  <c r="Q1511" i="7"/>
  <c r="Q1512" i="7"/>
  <c r="Q1513" i="7"/>
  <c r="Q1514" i="7"/>
  <c r="Q1515" i="7"/>
  <c r="Q1516" i="7"/>
  <c r="Q1517" i="7"/>
  <c r="Q1518" i="7"/>
  <c r="Q1519" i="7"/>
  <c r="Q1520" i="7"/>
  <c r="Q1521" i="7"/>
  <c r="Q1522" i="7"/>
  <c r="Q1523" i="7"/>
  <c r="Q1524" i="7"/>
  <c r="Q1525" i="7"/>
  <c r="Q1526" i="7"/>
  <c r="Q1527" i="7"/>
  <c r="Q1528" i="7"/>
  <c r="Q1529" i="7"/>
  <c r="Q1530" i="7"/>
  <c r="Q1531" i="7"/>
  <c r="Q1532" i="7"/>
  <c r="Q1533" i="7"/>
  <c r="Q1534" i="7"/>
  <c r="Q1535" i="7"/>
  <c r="Q1536" i="7"/>
  <c r="Q1537" i="7"/>
  <c r="Q1538" i="7"/>
  <c r="Q1539" i="7"/>
  <c r="Q1540" i="7"/>
  <c r="Q1541" i="7"/>
  <c r="Q1542" i="7"/>
  <c r="Q1543" i="7"/>
  <c r="Q1544" i="7"/>
  <c r="Q1545" i="7"/>
  <c r="Q1546" i="7"/>
  <c r="Q1547" i="7"/>
  <c r="Q1548" i="7"/>
  <c r="Q1549" i="7"/>
  <c r="Q1550" i="7"/>
  <c r="Q1551" i="7"/>
  <c r="Q1552" i="7"/>
  <c r="Q1553" i="7"/>
  <c r="Q1554" i="7"/>
  <c r="Q1555" i="7"/>
  <c r="Q1556" i="7"/>
  <c r="Q1557" i="7"/>
  <c r="Q1558" i="7"/>
  <c r="Q1559" i="7"/>
  <c r="Q1560" i="7"/>
  <c r="Q1561" i="7"/>
  <c r="Q1562" i="7"/>
  <c r="Q1563" i="7"/>
  <c r="Q1564" i="7"/>
  <c r="Q1565" i="7"/>
  <c r="Q1566" i="7"/>
  <c r="Q1567" i="7"/>
  <c r="Q1568" i="7"/>
  <c r="Q1569" i="7"/>
  <c r="Q1570" i="7"/>
  <c r="Q1571" i="7"/>
  <c r="Q1572" i="7"/>
  <c r="Q1573" i="7"/>
  <c r="Q1574" i="7"/>
  <c r="Q1575" i="7"/>
  <c r="Q1576" i="7"/>
  <c r="Q1577" i="7"/>
  <c r="Q1578" i="7"/>
  <c r="Q1579" i="7"/>
  <c r="Q1580" i="7"/>
  <c r="Q1581" i="7"/>
  <c r="Q1582" i="7"/>
  <c r="Q1583" i="7"/>
  <c r="Q1584" i="7"/>
  <c r="Q1585" i="7"/>
  <c r="Q1586" i="7"/>
  <c r="Q1587" i="7"/>
  <c r="Q1588" i="7"/>
  <c r="Q1589" i="7"/>
  <c r="Q1590" i="7"/>
  <c r="Q1591" i="7"/>
  <c r="Q1592" i="7"/>
  <c r="Q1593" i="7"/>
  <c r="Q1594" i="7"/>
  <c r="Q1595" i="7"/>
  <c r="Q1596" i="7"/>
  <c r="Q1597" i="7"/>
  <c r="Q1598" i="7"/>
  <c r="Q1599" i="7"/>
  <c r="Q1600" i="7"/>
  <c r="Q1601" i="7"/>
  <c r="Q1602" i="7"/>
  <c r="Q1603" i="7"/>
  <c r="Q1604" i="7"/>
  <c r="Q1605" i="7"/>
  <c r="Q1606" i="7"/>
  <c r="Q1607" i="7"/>
  <c r="Q1608" i="7"/>
  <c r="Q1609" i="7"/>
  <c r="Q1610" i="7"/>
  <c r="Q1611" i="7"/>
  <c r="Q1612" i="7"/>
  <c r="Q1613" i="7"/>
  <c r="Q1614" i="7"/>
  <c r="Q1615" i="7"/>
  <c r="Q1616" i="7"/>
  <c r="Q1617" i="7"/>
  <c r="Q1618" i="7"/>
  <c r="Q1619" i="7"/>
  <c r="Q1620" i="7"/>
  <c r="Q1621" i="7"/>
  <c r="Q1622" i="7"/>
  <c r="Q1623" i="7"/>
  <c r="Q1624" i="7"/>
  <c r="Q1625" i="7"/>
  <c r="Q1626" i="7"/>
  <c r="Q1627" i="7"/>
  <c r="Q1628" i="7"/>
  <c r="Q1629" i="7"/>
  <c r="Q1630" i="7"/>
  <c r="Q1631" i="7"/>
  <c r="Q1632" i="7"/>
  <c r="Q1633" i="7"/>
  <c r="Q1634" i="7"/>
  <c r="Q1635" i="7"/>
  <c r="Q1636" i="7"/>
  <c r="Q1637" i="7"/>
  <c r="Q1638" i="7"/>
  <c r="Q1639" i="7"/>
  <c r="Q1640" i="7"/>
  <c r="Q1641" i="7"/>
  <c r="Q1642" i="7"/>
  <c r="Q1643" i="7"/>
  <c r="Q1644" i="7"/>
  <c r="Q1645" i="7"/>
  <c r="Q1646" i="7"/>
  <c r="Q1647" i="7"/>
  <c r="Q1648" i="7"/>
  <c r="Q1649" i="7"/>
  <c r="Q1650" i="7"/>
  <c r="Q1651" i="7"/>
  <c r="Q1652" i="7"/>
  <c r="Q1653" i="7"/>
  <c r="Q1654" i="7"/>
  <c r="Q1655" i="7"/>
  <c r="Q1656" i="7"/>
  <c r="Q1657" i="7"/>
  <c r="Q1658" i="7"/>
  <c r="Q1659" i="7"/>
  <c r="Q1660" i="7"/>
  <c r="Q1661" i="7"/>
  <c r="Q1662" i="7"/>
  <c r="Q1663" i="7"/>
  <c r="Q1664" i="7"/>
  <c r="Q1665" i="7"/>
  <c r="Q1666" i="7"/>
  <c r="Q1667" i="7"/>
  <c r="Q1668" i="7"/>
  <c r="Q1669" i="7"/>
  <c r="Q1670" i="7"/>
  <c r="Q1671" i="7"/>
  <c r="Q1672" i="7"/>
  <c r="Q1673" i="7"/>
  <c r="Q1674" i="7"/>
  <c r="Q1675" i="7"/>
  <c r="Q1676" i="7"/>
  <c r="Q1677" i="7"/>
  <c r="Q1678" i="7"/>
  <c r="Q1679" i="7"/>
  <c r="Q1680" i="7"/>
  <c r="Q1681" i="7"/>
  <c r="Q1682" i="7"/>
  <c r="Q1683" i="7"/>
  <c r="Q1684" i="7"/>
  <c r="Q1685" i="7"/>
  <c r="Q1686" i="7"/>
  <c r="Q1687" i="7"/>
  <c r="Q1688" i="7"/>
  <c r="Q1689" i="7"/>
  <c r="Q1690" i="7"/>
  <c r="Q1691" i="7"/>
  <c r="Q1692" i="7"/>
  <c r="Q1693" i="7"/>
  <c r="Q1694" i="7"/>
  <c r="Q1695" i="7"/>
  <c r="Q1696" i="7"/>
  <c r="Q1697" i="7"/>
  <c r="Q1698" i="7"/>
  <c r="Q1699" i="7"/>
  <c r="Q1700" i="7"/>
  <c r="Q1701" i="7"/>
  <c r="Q1702" i="7"/>
  <c r="Q1703" i="7"/>
  <c r="Q1704" i="7"/>
  <c r="Q1705" i="7"/>
  <c r="Q1706" i="7"/>
  <c r="Q1707" i="7"/>
  <c r="Q1708" i="7"/>
  <c r="Q1709" i="7"/>
  <c r="Q1710" i="7"/>
  <c r="Q1711" i="7"/>
  <c r="Q1712" i="7"/>
  <c r="Q1713" i="7"/>
  <c r="Q1714" i="7"/>
  <c r="Q1715" i="7"/>
  <c r="Q1716" i="7"/>
  <c r="Q1717" i="7"/>
  <c r="Q1718" i="7"/>
  <c r="Q1719" i="7"/>
  <c r="Q1720" i="7"/>
  <c r="Q1721" i="7"/>
  <c r="Q1722" i="7"/>
  <c r="Q1723" i="7"/>
  <c r="Q1724" i="7"/>
  <c r="Q1725" i="7"/>
  <c r="Q1726" i="7"/>
  <c r="Q1727" i="7"/>
  <c r="Q1728" i="7"/>
  <c r="Q1729" i="7"/>
  <c r="Q1730" i="7"/>
  <c r="Q1731" i="7"/>
  <c r="Q1732" i="7"/>
  <c r="Q1733" i="7"/>
  <c r="Q1734" i="7"/>
  <c r="Q1735" i="7"/>
  <c r="Q1736" i="7"/>
  <c r="Q1737" i="7"/>
  <c r="Q1738" i="7"/>
  <c r="Q1739" i="7"/>
  <c r="Q1740" i="7"/>
  <c r="Q1741" i="7"/>
  <c r="Q1742" i="7"/>
  <c r="Q1743" i="7"/>
  <c r="Q1744" i="7"/>
  <c r="Q1745" i="7"/>
  <c r="Q1746" i="7"/>
  <c r="Q1747" i="7"/>
  <c r="Q1748" i="7"/>
  <c r="Q1749" i="7"/>
  <c r="Q1750" i="7"/>
  <c r="Q1751" i="7"/>
  <c r="Q1752" i="7"/>
  <c r="Q1753" i="7"/>
  <c r="Q1754" i="7"/>
  <c r="Q1755" i="7"/>
  <c r="Q1756" i="7"/>
  <c r="Q1757" i="7"/>
  <c r="Q1758" i="7"/>
  <c r="Q1759" i="7"/>
  <c r="Q1760" i="7"/>
  <c r="Q1761" i="7"/>
  <c r="Q1762" i="7"/>
  <c r="Q1763" i="7"/>
  <c r="Q1764" i="7"/>
  <c r="Q1765" i="7"/>
  <c r="Q1766" i="7"/>
  <c r="Q1767" i="7"/>
  <c r="Q1768" i="7"/>
  <c r="Q1769" i="7"/>
  <c r="Q1770" i="7"/>
  <c r="Q1771" i="7"/>
  <c r="Q1772" i="7"/>
  <c r="Q1773" i="7"/>
  <c r="Q1774" i="7"/>
  <c r="Q1775" i="7"/>
  <c r="Q1776" i="7"/>
  <c r="Q1777" i="7"/>
  <c r="Q1778" i="7"/>
  <c r="Q1779" i="7"/>
  <c r="Q1780" i="7"/>
  <c r="Q1781" i="7"/>
  <c r="Q1782" i="7"/>
  <c r="Q1783" i="7"/>
  <c r="Q1784" i="7"/>
  <c r="Q1785" i="7"/>
  <c r="Q1786" i="7"/>
  <c r="Q1787" i="7"/>
  <c r="Q1788" i="7"/>
  <c r="Q1789" i="7"/>
  <c r="Q1790" i="7"/>
  <c r="Q1791" i="7"/>
  <c r="Q1792" i="7"/>
  <c r="Q1793" i="7"/>
  <c r="Q1794" i="7"/>
  <c r="Q1795" i="7"/>
  <c r="Q1796" i="7"/>
  <c r="Q1797" i="7"/>
  <c r="Q1798" i="7"/>
  <c r="Q1799" i="7"/>
  <c r="Q1800" i="7"/>
  <c r="Q1801" i="7"/>
  <c r="Q1802" i="7"/>
  <c r="Q1803" i="7"/>
  <c r="Q1804" i="7"/>
  <c r="Q1805" i="7"/>
  <c r="Q1806" i="7"/>
  <c r="Q1807" i="7"/>
  <c r="Q1808" i="7"/>
  <c r="Q1809" i="7"/>
  <c r="Q1810" i="7"/>
  <c r="Q1811" i="7"/>
  <c r="Q1812" i="7"/>
  <c r="Q1813" i="7"/>
  <c r="Q1814" i="7"/>
  <c r="Q1815" i="7"/>
  <c r="Q1816" i="7"/>
  <c r="Q1817" i="7"/>
  <c r="Q1818" i="7"/>
  <c r="Q1819" i="7"/>
  <c r="Q1820" i="7"/>
  <c r="Q1821" i="7"/>
  <c r="Q1822" i="7"/>
  <c r="Q1823" i="7"/>
  <c r="Q1824" i="7"/>
  <c r="Q1825" i="7"/>
  <c r="Q1826" i="7"/>
  <c r="Q1827" i="7"/>
  <c r="Q1828" i="7"/>
  <c r="Q1829" i="7"/>
  <c r="Q1830" i="7"/>
  <c r="Q1831" i="7"/>
  <c r="Q1832" i="7"/>
  <c r="Q1833" i="7"/>
  <c r="Q1834" i="7"/>
  <c r="Q1835" i="7"/>
  <c r="Q1836" i="7"/>
  <c r="Q1837" i="7"/>
  <c r="Q1838" i="7"/>
  <c r="Q1839" i="7"/>
  <c r="Q1840" i="7"/>
  <c r="Q1841" i="7"/>
  <c r="Q1842" i="7"/>
  <c r="Q1843" i="7"/>
  <c r="Q1844" i="7"/>
  <c r="Q1845" i="7"/>
  <c r="Q1846" i="7"/>
  <c r="Q1847" i="7"/>
  <c r="Q1848" i="7"/>
  <c r="Q1849" i="7"/>
  <c r="Q1850" i="7"/>
  <c r="Q1851" i="7"/>
  <c r="Q1852" i="7"/>
  <c r="Q1853" i="7"/>
  <c r="Q1854" i="7"/>
  <c r="Q1855" i="7"/>
  <c r="Q1856" i="7"/>
  <c r="Q1857" i="7"/>
  <c r="Q1858" i="7"/>
  <c r="Q1859" i="7"/>
  <c r="Q1860" i="7"/>
  <c r="Q1861" i="7"/>
  <c r="Q1862" i="7"/>
  <c r="Q1863" i="7"/>
  <c r="Q1864" i="7"/>
  <c r="Q1865" i="7"/>
  <c r="Q1866" i="7"/>
  <c r="Q1867" i="7"/>
  <c r="Q1868" i="7"/>
  <c r="Q1869" i="7"/>
  <c r="Q1870" i="7"/>
  <c r="Q1871" i="7"/>
  <c r="Q1872" i="7"/>
  <c r="Q1873" i="7"/>
  <c r="Q1874" i="7"/>
  <c r="Q1875" i="7"/>
  <c r="Q1876" i="7"/>
  <c r="Q1877" i="7"/>
  <c r="Q1878" i="7"/>
  <c r="Q1879" i="7"/>
  <c r="Q1880" i="7"/>
  <c r="Q1881" i="7"/>
  <c r="Q1882" i="7"/>
  <c r="Q1883" i="7"/>
  <c r="Q1884" i="7"/>
  <c r="Q1885" i="7"/>
  <c r="Q1886" i="7"/>
  <c r="Q1887" i="7"/>
  <c r="Q1888" i="7"/>
  <c r="Q1889" i="7"/>
  <c r="Q1890" i="7"/>
  <c r="Q1891" i="7"/>
  <c r="Q1892" i="7"/>
  <c r="Q1893" i="7"/>
  <c r="Q1894" i="7"/>
  <c r="Q1895" i="7"/>
  <c r="Q1896" i="7"/>
  <c r="Q1897" i="7"/>
  <c r="Q1898" i="7"/>
  <c r="Q1899" i="7"/>
  <c r="Q1900" i="7"/>
  <c r="Q1901" i="7"/>
  <c r="Q1902" i="7"/>
  <c r="Q1903" i="7"/>
  <c r="Q1904" i="7"/>
  <c r="Q1905" i="7"/>
  <c r="Q1906" i="7"/>
  <c r="Q1907" i="7"/>
  <c r="Q1908" i="7"/>
  <c r="Q1909" i="7"/>
  <c r="Q1910" i="7"/>
  <c r="Q1911" i="7"/>
  <c r="Q1912" i="7"/>
  <c r="Q1913" i="7"/>
  <c r="Q1914" i="7"/>
  <c r="Q1915" i="7"/>
  <c r="Q1916" i="7"/>
  <c r="Q1917" i="7"/>
  <c r="Q1918" i="7"/>
  <c r="Q1919" i="7"/>
  <c r="Q1920" i="7"/>
  <c r="Q1921" i="7"/>
  <c r="Q1922" i="7"/>
  <c r="Q1923" i="7"/>
  <c r="Q1924" i="7"/>
  <c r="Q1925" i="7"/>
  <c r="Q1926" i="7"/>
  <c r="Q1927" i="7"/>
  <c r="Q1928" i="7"/>
  <c r="Q1929" i="7"/>
  <c r="Q1930" i="7"/>
  <c r="Q1931" i="7"/>
  <c r="Q1932" i="7"/>
  <c r="Q1933" i="7"/>
  <c r="Q1934" i="7"/>
  <c r="Q1935" i="7"/>
  <c r="Q1936" i="7"/>
  <c r="Q1937" i="7"/>
  <c r="Q1938" i="7"/>
  <c r="Q1939" i="7"/>
  <c r="Q1940" i="7"/>
  <c r="Q1941" i="7"/>
  <c r="Q1942" i="7"/>
  <c r="Q1943" i="7"/>
  <c r="Q1944" i="7"/>
  <c r="Q1945" i="7"/>
  <c r="Q1946" i="7"/>
  <c r="Q1947" i="7"/>
  <c r="Q1948" i="7"/>
  <c r="Q1949" i="7"/>
  <c r="Q1950" i="7"/>
  <c r="Q1951" i="7"/>
  <c r="Q1952" i="7"/>
  <c r="Q1953" i="7"/>
  <c r="Q1954" i="7"/>
  <c r="Q1955" i="7"/>
  <c r="Q1956" i="7"/>
  <c r="Q1957" i="7"/>
  <c r="Q1958" i="7"/>
  <c r="Q1959" i="7"/>
  <c r="Q1960" i="7"/>
  <c r="Q1961" i="7"/>
  <c r="Q1962" i="7"/>
  <c r="Q1963" i="7"/>
  <c r="Q1964" i="7"/>
  <c r="Q1965" i="7"/>
  <c r="Q1966" i="7"/>
  <c r="Q1967" i="7"/>
  <c r="Q1968" i="7"/>
  <c r="Q1969" i="7"/>
  <c r="Q1970" i="7"/>
  <c r="Q1971" i="7"/>
  <c r="Q1972" i="7"/>
  <c r="Q1973" i="7"/>
  <c r="Q1974" i="7"/>
  <c r="Q1975" i="7"/>
  <c r="Q1976" i="7"/>
  <c r="Q1977" i="7"/>
  <c r="Q1978" i="7"/>
  <c r="Q1979" i="7"/>
  <c r="Q1980" i="7"/>
  <c r="Q1981" i="7"/>
  <c r="Q1982" i="7"/>
  <c r="Q1983" i="7"/>
  <c r="Q1984" i="7"/>
  <c r="Q1985" i="7"/>
  <c r="Q1986" i="7"/>
  <c r="Q1987" i="7"/>
  <c r="Q1988" i="7"/>
  <c r="Q1989" i="7"/>
  <c r="Q1990" i="7"/>
  <c r="Q1991" i="7"/>
  <c r="Q1992" i="7"/>
  <c r="Q1993" i="7"/>
  <c r="Q1994" i="7"/>
  <c r="Q1995" i="7"/>
  <c r="Q1996" i="7"/>
  <c r="Q1997" i="7"/>
  <c r="Q1998" i="7"/>
  <c r="Q1999" i="7"/>
  <c r="Q2000" i="7"/>
  <c r="Q2001" i="7"/>
  <c r="Q2002" i="7"/>
  <c r="Q2003" i="7"/>
  <c r="Q2004" i="7"/>
  <c r="Q2005" i="7"/>
  <c r="Q2006" i="7"/>
  <c r="Q2007" i="7"/>
  <c r="Q2008" i="7"/>
  <c r="Q2009" i="7"/>
  <c r="Q2010" i="7"/>
  <c r="Q2011" i="7"/>
  <c r="Q2012" i="7"/>
  <c r="Q2013" i="7"/>
  <c r="Q2014" i="7"/>
  <c r="Q2015" i="7"/>
  <c r="Q2016" i="7"/>
  <c r="Q2017" i="7"/>
  <c r="Q2018" i="7"/>
  <c r="Q2019" i="7"/>
  <c r="Q2020" i="7"/>
  <c r="Q2021" i="7"/>
  <c r="Q2022" i="7"/>
  <c r="Q2023" i="7"/>
  <c r="Q2024" i="7"/>
  <c r="Q2025" i="7"/>
  <c r="Q2026" i="7"/>
  <c r="Q2027" i="7"/>
  <c r="Q2028" i="7"/>
  <c r="Q2029" i="7"/>
  <c r="Q2030" i="7"/>
  <c r="Q2031" i="7"/>
  <c r="Q2032" i="7"/>
  <c r="Q2033" i="7"/>
  <c r="Q2034" i="7"/>
  <c r="Q2035" i="7"/>
  <c r="Q2036" i="7"/>
  <c r="Q2037" i="7"/>
  <c r="Q2038" i="7"/>
  <c r="Q2039" i="7"/>
  <c r="Q2040" i="7"/>
  <c r="Q2041" i="7"/>
  <c r="Q2042" i="7"/>
  <c r="Q2043" i="7"/>
  <c r="Q2044" i="7"/>
  <c r="Q2045" i="7"/>
  <c r="Q2046" i="7"/>
  <c r="Q2047" i="7"/>
  <c r="Q2048" i="7"/>
  <c r="Q2049" i="7"/>
  <c r="Q2050" i="7"/>
  <c r="Q2051" i="7"/>
  <c r="Q2052" i="7"/>
  <c r="Q2053" i="7"/>
  <c r="Q2054" i="7"/>
  <c r="Q2055" i="7"/>
  <c r="Q2056" i="7"/>
  <c r="Q2057" i="7"/>
  <c r="Q2058" i="7"/>
  <c r="Q2059" i="7"/>
  <c r="Q2060" i="7"/>
  <c r="Q2061" i="7"/>
  <c r="Q2062" i="7"/>
  <c r="Q2063" i="7"/>
  <c r="Q2064" i="7"/>
  <c r="Q2065" i="7"/>
  <c r="Q2066" i="7"/>
  <c r="Q2067" i="7"/>
  <c r="Q2068" i="7"/>
  <c r="Q2069" i="7"/>
  <c r="Q2070" i="7"/>
  <c r="Q2071" i="7"/>
  <c r="Q2072" i="7"/>
  <c r="Q2073" i="7"/>
  <c r="Q2074" i="7"/>
  <c r="Q2075" i="7"/>
  <c r="Q2076" i="7"/>
  <c r="Q2077" i="7"/>
  <c r="Q2078" i="7"/>
  <c r="Q2079" i="7"/>
  <c r="Q2080" i="7"/>
  <c r="Q2081" i="7"/>
  <c r="Q2082" i="7"/>
  <c r="Q2083" i="7"/>
  <c r="Q2084" i="7"/>
  <c r="Q2085" i="7"/>
  <c r="Q2086" i="7"/>
  <c r="Q2087" i="7"/>
  <c r="Q2088" i="7"/>
  <c r="Q2089" i="7"/>
  <c r="Q2090" i="7"/>
  <c r="Q2091" i="7"/>
  <c r="Q2092" i="7"/>
  <c r="Q2093" i="7"/>
  <c r="Q2094" i="7"/>
  <c r="Q2095" i="7"/>
  <c r="Q2096" i="7"/>
  <c r="Q2097" i="7"/>
  <c r="Q2098" i="7"/>
  <c r="Q2099" i="7"/>
  <c r="Q2100" i="7"/>
  <c r="Q2101" i="7"/>
  <c r="Q2102" i="7"/>
  <c r="Q2103" i="7"/>
  <c r="Q2104" i="7"/>
  <c r="Q2105" i="7"/>
  <c r="Q2106" i="7"/>
  <c r="Q2107" i="7"/>
  <c r="Q2108" i="7"/>
  <c r="Q2109" i="7"/>
  <c r="Q2110" i="7"/>
  <c r="Q2111" i="7"/>
  <c r="Q2112" i="7"/>
  <c r="Q2113" i="7"/>
  <c r="Q2114" i="7"/>
  <c r="Q2115" i="7"/>
  <c r="Q2116" i="7"/>
  <c r="Q2117" i="7"/>
  <c r="Q2118" i="7"/>
  <c r="Q2119" i="7"/>
  <c r="Q2120" i="7"/>
  <c r="Q2121" i="7"/>
  <c r="Q2122" i="7"/>
  <c r="Q2123" i="7"/>
  <c r="Q2124" i="7"/>
  <c r="Q2125" i="7"/>
  <c r="Q2126" i="7"/>
  <c r="Q2127" i="7"/>
  <c r="Q2128" i="7"/>
  <c r="Q2129" i="7"/>
  <c r="Q2130" i="7"/>
  <c r="Q2131" i="7"/>
  <c r="Q2132" i="7"/>
  <c r="Q2133" i="7"/>
  <c r="Q2134" i="7"/>
  <c r="Q2135" i="7"/>
  <c r="Q2136" i="7"/>
  <c r="Q2137" i="7"/>
  <c r="Q2138" i="7"/>
  <c r="Q2139" i="7"/>
  <c r="Q2140" i="7"/>
  <c r="Q2141" i="7"/>
  <c r="Q2142" i="7"/>
  <c r="Q2143" i="7"/>
  <c r="Q2144" i="7"/>
  <c r="Q2145" i="7"/>
  <c r="Q2146" i="7"/>
  <c r="Q2147" i="7"/>
  <c r="Q2148" i="7"/>
  <c r="Q2149" i="7"/>
  <c r="Q2150" i="7"/>
  <c r="Q2151" i="7"/>
  <c r="Q2152" i="7"/>
  <c r="Q2153" i="7"/>
  <c r="Q2154" i="7"/>
  <c r="Q2155" i="7"/>
  <c r="Q2156" i="7"/>
  <c r="Q2157" i="7"/>
  <c r="Q2158" i="7"/>
  <c r="Q2159" i="7"/>
  <c r="Q2160" i="7"/>
  <c r="Q2161" i="7"/>
  <c r="Q2162" i="7"/>
  <c r="Q2163" i="7"/>
  <c r="Q2164" i="7"/>
  <c r="Q2165" i="7"/>
  <c r="Q2166" i="7"/>
  <c r="Q2167" i="7"/>
  <c r="Q2168" i="7"/>
  <c r="Q2169" i="7"/>
  <c r="Q2170" i="7"/>
  <c r="Q2171" i="7"/>
  <c r="Q2172" i="7"/>
  <c r="Q2173" i="7"/>
  <c r="Q2174" i="7"/>
  <c r="Q2175" i="7"/>
  <c r="Q2176" i="7"/>
  <c r="Q2177" i="7"/>
  <c r="Q2178" i="7"/>
  <c r="Q2179" i="7"/>
  <c r="Q2180" i="7"/>
  <c r="Q2181" i="7"/>
  <c r="Q2182" i="7"/>
  <c r="Q2183" i="7"/>
  <c r="Q2184" i="7"/>
  <c r="Q2185" i="7"/>
  <c r="Q2186" i="7"/>
  <c r="Q2187" i="7"/>
  <c r="Q2188" i="7"/>
  <c r="Q2189" i="7"/>
  <c r="Q2190" i="7"/>
  <c r="Q2191" i="7"/>
  <c r="Q2192" i="7"/>
  <c r="Q2193" i="7"/>
  <c r="Q2194" i="7"/>
  <c r="Q2195" i="7"/>
  <c r="Q2196" i="7"/>
  <c r="Q2197" i="7"/>
  <c r="Q2198" i="7"/>
  <c r="Q2199" i="7"/>
  <c r="Q2200" i="7"/>
  <c r="Q2201" i="7"/>
  <c r="Q2202" i="7"/>
  <c r="Q2203" i="7"/>
  <c r="Q2204" i="7"/>
  <c r="Q2205" i="7"/>
  <c r="Q2206" i="7"/>
  <c r="Q2207" i="7"/>
  <c r="Q2208" i="7"/>
  <c r="Q2209" i="7"/>
  <c r="Q2210" i="7"/>
  <c r="Q2211" i="7"/>
  <c r="Q2212" i="7"/>
  <c r="Q2213" i="7"/>
  <c r="Q2214" i="7"/>
  <c r="Q2215" i="7"/>
  <c r="Q2216" i="7"/>
  <c r="Q2217" i="7"/>
  <c r="Q2218" i="7"/>
  <c r="Q2219" i="7"/>
  <c r="Q2220" i="7"/>
  <c r="Q2221" i="7"/>
  <c r="Q2222" i="7"/>
  <c r="Q2223" i="7"/>
  <c r="Q2224" i="7"/>
  <c r="Q2225" i="7"/>
  <c r="Q2226" i="7"/>
  <c r="Q2227" i="7"/>
  <c r="Q2228" i="7"/>
  <c r="Q2229" i="7"/>
  <c r="Q2230" i="7"/>
  <c r="Q2231" i="7"/>
  <c r="Q2232" i="7"/>
  <c r="Q2233" i="7"/>
  <c r="Q2234" i="7"/>
  <c r="Q2235" i="7"/>
  <c r="Q2236" i="7"/>
  <c r="Q2237" i="7"/>
  <c r="Q2238" i="7"/>
  <c r="Q2239" i="7"/>
  <c r="Q2240" i="7"/>
  <c r="Q2241" i="7"/>
  <c r="Q2242" i="7"/>
  <c r="Q2243" i="7"/>
  <c r="Q2244" i="7"/>
  <c r="Q2245" i="7"/>
  <c r="Q2246" i="7"/>
  <c r="Q2247" i="7"/>
  <c r="Q2248" i="7"/>
  <c r="Q2249" i="7"/>
  <c r="Q2250" i="7"/>
  <c r="Q2251" i="7"/>
  <c r="Q2252" i="7"/>
  <c r="Q2253" i="7"/>
  <c r="Q2254" i="7"/>
  <c r="Q2255" i="7"/>
  <c r="Q2256" i="7"/>
  <c r="Q2257" i="7"/>
  <c r="Q2258" i="7"/>
  <c r="Q2259" i="7"/>
  <c r="Q2260" i="7"/>
  <c r="Q2261" i="7"/>
  <c r="Q2262" i="7"/>
  <c r="Q2263" i="7"/>
  <c r="Q2264" i="7"/>
  <c r="Q2265" i="7"/>
  <c r="Q2266" i="7"/>
  <c r="Q2267" i="7"/>
  <c r="Q2268" i="7"/>
  <c r="Q2269" i="7"/>
  <c r="Q2270" i="7"/>
  <c r="Q2271" i="7"/>
  <c r="Q2272" i="7"/>
  <c r="Q2273" i="7"/>
  <c r="Q2274" i="7"/>
  <c r="Q2275" i="7"/>
  <c r="Q2276" i="7"/>
  <c r="Q2277" i="7"/>
  <c r="Q2278" i="7"/>
  <c r="Q2279" i="7"/>
  <c r="Q2280" i="7"/>
  <c r="Q2281" i="7"/>
  <c r="Q2282" i="7"/>
  <c r="Q2283" i="7"/>
  <c r="Q2284" i="7"/>
  <c r="Q2285" i="7"/>
  <c r="Q2286" i="7"/>
  <c r="Q2287" i="7"/>
  <c r="Q2288" i="7"/>
  <c r="Q2289" i="7"/>
  <c r="Q2290" i="7"/>
  <c r="Q2291" i="7"/>
  <c r="Q2292" i="7"/>
  <c r="Q2293" i="7"/>
  <c r="Q2294" i="7"/>
  <c r="Q2295" i="7"/>
  <c r="Q2296" i="7"/>
  <c r="Q2297" i="7"/>
  <c r="Q2298" i="7"/>
  <c r="Q2299" i="7"/>
  <c r="Q2300" i="7"/>
  <c r="Q2301" i="7"/>
  <c r="Q2302" i="7"/>
  <c r="Q2303" i="7"/>
  <c r="Q2304" i="7"/>
  <c r="Q2305" i="7"/>
  <c r="Q2306" i="7"/>
  <c r="Q2307" i="7"/>
  <c r="Q2308" i="7"/>
  <c r="Q2309" i="7"/>
  <c r="Q2310" i="7"/>
  <c r="Q2311" i="7"/>
  <c r="Q2312" i="7"/>
  <c r="Q2313" i="7"/>
  <c r="Q2314" i="7"/>
  <c r="Q2315" i="7"/>
  <c r="Q2316" i="7"/>
  <c r="Q2317" i="7"/>
  <c r="Q2318" i="7"/>
  <c r="Q2319" i="7"/>
  <c r="Q2320" i="7"/>
  <c r="Q2321" i="7"/>
  <c r="Q2322" i="7"/>
  <c r="Q2323" i="7"/>
  <c r="Q2324" i="7"/>
  <c r="Q2325" i="7"/>
  <c r="Q2326" i="7"/>
  <c r="Q2327" i="7"/>
  <c r="Q2328" i="7"/>
  <c r="Q2329" i="7"/>
  <c r="Q2330" i="7"/>
  <c r="Q2331" i="7"/>
  <c r="Q2332" i="7"/>
  <c r="Q2333" i="7"/>
  <c r="Q2334" i="7"/>
  <c r="Q2335" i="7"/>
  <c r="Q2336" i="7"/>
  <c r="Q2337" i="7"/>
  <c r="Q2338" i="7"/>
  <c r="Q2339" i="7"/>
  <c r="Q2340" i="7"/>
  <c r="Q2341" i="7"/>
  <c r="Q2342" i="7"/>
  <c r="Q2343" i="7"/>
  <c r="Q2344" i="7"/>
  <c r="Q2345" i="7"/>
  <c r="Q2346" i="7"/>
  <c r="Q2347" i="7"/>
  <c r="Q2348" i="7"/>
  <c r="Q2349" i="7"/>
  <c r="Q2350" i="7"/>
  <c r="Q2351" i="7"/>
  <c r="Q2352" i="7"/>
  <c r="Q2353" i="7"/>
  <c r="Q2354" i="7"/>
  <c r="Q2355" i="7"/>
  <c r="Q2356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1605" i="7"/>
  <c r="P1606" i="7"/>
  <c r="P1607" i="7"/>
  <c r="P1608" i="7"/>
  <c r="P1609" i="7"/>
  <c r="P1610" i="7"/>
  <c r="P1611" i="7"/>
  <c r="P1612" i="7"/>
  <c r="P1613" i="7"/>
  <c r="P1614" i="7"/>
  <c r="P1615" i="7"/>
  <c r="P1616" i="7"/>
  <c r="P1617" i="7"/>
  <c r="P1618" i="7"/>
  <c r="P1619" i="7"/>
  <c r="P1620" i="7"/>
  <c r="P1621" i="7"/>
  <c r="P1622" i="7"/>
  <c r="P1623" i="7"/>
  <c r="P1624" i="7"/>
  <c r="P1625" i="7"/>
  <c r="P1626" i="7"/>
  <c r="P1627" i="7"/>
  <c r="P1628" i="7"/>
  <c r="P1629" i="7"/>
  <c r="P1630" i="7"/>
  <c r="P1631" i="7"/>
  <c r="P1632" i="7"/>
  <c r="P1633" i="7"/>
  <c r="P1634" i="7"/>
  <c r="P1635" i="7"/>
  <c r="P1636" i="7"/>
  <c r="P1637" i="7"/>
  <c r="P1638" i="7"/>
  <c r="P1639" i="7"/>
  <c r="P1640" i="7"/>
  <c r="P1641" i="7"/>
  <c r="P1642" i="7"/>
  <c r="P1643" i="7"/>
  <c r="P1644" i="7"/>
  <c r="P1645" i="7"/>
  <c r="P1646" i="7"/>
  <c r="P1647" i="7"/>
  <c r="P1648" i="7"/>
  <c r="P1649" i="7"/>
  <c r="P1650" i="7"/>
  <c r="P1651" i="7"/>
  <c r="P1652" i="7"/>
  <c r="P1653" i="7"/>
  <c r="P1654" i="7"/>
  <c r="P1655" i="7"/>
  <c r="P1656" i="7"/>
  <c r="P1657" i="7"/>
  <c r="P1658" i="7"/>
  <c r="P1659" i="7"/>
  <c r="P1660" i="7"/>
  <c r="P1661" i="7"/>
  <c r="P1662" i="7"/>
  <c r="P1663" i="7"/>
  <c r="P1664" i="7"/>
  <c r="P1665" i="7"/>
  <c r="P1666" i="7"/>
  <c r="P1667" i="7"/>
  <c r="P1668" i="7"/>
  <c r="P1669" i="7"/>
  <c r="P1670" i="7"/>
  <c r="P1671" i="7"/>
  <c r="P1672" i="7"/>
  <c r="P1673" i="7"/>
  <c r="P1674" i="7"/>
  <c r="P1675" i="7"/>
  <c r="P1676" i="7"/>
  <c r="P1677" i="7"/>
  <c r="P1678" i="7"/>
  <c r="P1679" i="7"/>
  <c r="P1680" i="7"/>
  <c r="P1681" i="7"/>
  <c r="P1682" i="7"/>
  <c r="P1683" i="7"/>
  <c r="P1684" i="7"/>
  <c r="P1685" i="7"/>
  <c r="P1686" i="7"/>
  <c r="P1687" i="7"/>
  <c r="P1688" i="7"/>
  <c r="P1689" i="7"/>
  <c r="P1690" i="7"/>
  <c r="P1691" i="7"/>
  <c r="P1692" i="7"/>
  <c r="P1693" i="7"/>
  <c r="P1694" i="7"/>
  <c r="P1695" i="7"/>
  <c r="P1696" i="7"/>
  <c r="P1697" i="7"/>
  <c r="P1698" i="7"/>
  <c r="P1699" i="7"/>
  <c r="P1700" i="7"/>
  <c r="P1701" i="7"/>
  <c r="P1702" i="7"/>
  <c r="P1703" i="7"/>
  <c r="P1704" i="7"/>
  <c r="P1705" i="7"/>
  <c r="P1706" i="7"/>
  <c r="P1707" i="7"/>
  <c r="P1708" i="7"/>
  <c r="P1709" i="7"/>
  <c r="P1710" i="7"/>
  <c r="P1711" i="7"/>
  <c r="P1712" i="7"/>
  <c r="P1713" i="7"/>
  <c r="P1714" i="7"/>
  <c r="P1715" i="7"/>
  <c r="P1716" i="7"/>
  <c r="P1717" i="7"/>
  <c r="P1718" i="7"/>
  <c r="P1719" i="7"/>
  <c r="P1720" i="7"/>
  <c r="P1721" i="7"/>
  <c r="P1722" i="7"/>
  <c r="P1723" i="7"/>
  <c r="P1724" i="7"/>
  <c r="P1725" i="7"/>
  <c r="P1726" i="7"/>
  <c r="P1727" i="7"/>
  <c r="P1728" i="7"/>
  <c r="P1729" i="7"/>
  <c r="P1730" i="7"/>
  <c r="P1731" i="7"/>
  <c r="P1732" i="7"/>
  <c r="P1733" i="7"/>
  <c r="P1734" i="7"/>
  <c r="P1735" i="7"/>
  <c r="P1736" i="7"/>
  <c r="P1737" i="7"/>
  <c r="P1738" i="7"/>
  <c r="P1739" i="7"/>
  <c r="P1740" i="7"/>
  <c r="P1741" i="7"/>
  <c r="P1742" i="7"/>
  <c r="P1743" i="7"/>
  <c r="P1744" i="7"/>
  <c r="P1745" i="7"/>
  <c r="P1746" i="7"/>
  <c r="P1747" i="7"/>
  <c r="P1748" i="7"/>
  <c r="P1749" i="7"/>
  <c r="P1750" i="7"/>
  <c r="P1751" i="7"/>
  <c r="P1752" i="7"/>
  <c r="P1753" i="7"/>
  <c r="P1754" i="7"/>
  <c r="P1755" i="7"/>
  <c r="P1756" i="7"/>
  <c r="P1757" i="7"/>
  <c r="P1758" i="7"/>
  <c r="P1759" i="7"/>
  <c r="P1760" i="7"/>
  <c r="P1761" i="7"/>
  <c r="P1762" i="7"/>
  <c r="P1763" i="7"/>
  <c r="P1764" i="7"/>
  <c r="P1765" i="7"/>
  <c r="P1766" i="7"/>
  <c r="P1767" i="7"/>
  <c r="P1768" i="7"/>
  <c r="P1769" i="7"/>
  <c r="P1770" i="7"/>
  <c r="P1771" i="7"/>
  <c r="P1772" i="7"/>
  <c r="P1773" i="7"/>
  <c r="P1774" i="7"/>
  <c r="P1775" i="7"/>
  <c r="P1776" i="7"/>
  <c r="P1777" i="7"/>
  <c r="P1778" i="7"/>
  <c r="P1779" i="7"/>
  <c r="P1780" i="7"/>
  <c r="P1781" i="7"/>
  <c r="P1782" i="7"/>
  <c r="P1783" i="7"/>
  <c r="P1784" i="7"/>
  <c r="P1785" i="7"/>
  <c r="P1786" i="7"/>
  <c r="P1787" i="7"/>
  <c r="P1788" i="7"/>
  <c r="P1789" i="7"/>
  <c r="P1790" i="7"/>
  <c r="P1791" i="7"/>
  <c r="P1792" i="7"/>
  <c r="P1793" i="7"/>
  <c r="P1794" i="7"/>
  <c r="P1795" i="7"/>
  <c r="P1796" i="7"/>
  <c r="P1797" i="7"/>
  <c r="P1798" i="7"/>
  <c r="P1799" i="7"/>
  <c r="P1800" i="7"/>
  <c r="P1801" i="7"/>
  <c r="P1802" i="7"/>
  <c r="P1803" i="7"/>
  <c r="P1804" i="7"/>
  <c r="P1805" i="7"/>
  <c r="P1806" i="7"/>
  <c r="P1807" i="7"/>
  <c r="P1808" i="7"/>
  <c r="P1809" i="7"/>
  <c r="P1810" i="7"/>
  <c r="P1811" i="7"/>
  <c r="P1812" i="7"/>
  <c r="P1813" i="7"/>
  <c r="P1814" i="7"/>
  <c r="P1815" i="7"/>
  <c r="P1816" i="7"/>
  <c r="P1817" i="7"/>
  <c r="P1818" i="7"/>
  <c r="P1819" i="7"/>
  <c r="P1820" i="7"/>
  <c r="P1821" i="7"/>
  <c r="P1822" i="7"/>
  <c r="P1823" i="7"/>
  <c r="P1824" i="7"/>
  <c r="P1825" i="7"/>
  <c r="P1826" i="7"/>
  <c r="P1827" i="7"/>
  <c r="P1828" i="7"/>
  <c r="P1829" i="7"/>
  <c r="P1830" i="7"/>
  <c r="P1831" i="7"/>
  <c r="P1832" i="7"/>
  <c r="P1833" i="7"/>
  <c r="P1834" i="7"/>
  <c r="P1835" i="7"/>
  <c r="P1836" i="7"/>
  <c r="P1837" i="7"/>
  <c r="P1838" i="7"/>
  <c r="P1839" i="7"/>
  <c r="P1840" i="7"/>
  <c r="P1841" i="7"/>
  <c r="P1842" i="7"/>
  <c r="P1843" i="7"/>
  <c r="P1844" i="7"/>
  <c r="P1845" i="7"/>
  <c r="P1846" i="7"/>
  <c r="P1847" i="7"/>
  <c r="P1848" i="7"/>
  <c r="P1849" i="7"/>
  <c r="P1850" i="7"/>
  <c r="P1851" i="7"/>
  <c r="P1852" i="7"/>
  <c r="P1853" i="7"/>
  <c r="P1854" i="7"/>
  <c r="P1855" i="7"/>
  <c r="P1856" i="7"/>
  <c r="P1857" i="7"/>
  <c r="P1858" i="7"/>
  <c r="P1859" i="7"/>
  <c r="P1860" i="7"/>
  <c r="P1861" i="7"/>
  <c r="P1862" i="7"/>
  <c r="P1863" i="7"/>
  <c r="P1864" i="7"/>
  <c r="P1865" i="7"/>
  <c r="P1866" i="7"/>
  <c r="P1867" i="7"/>
  <c r="P1868" i="7"/>
  <c r="P1869" i="7"/>
  <c r="P1870" i="7"/>
  <c r="P1871" i="7"/>
  <c r="P1872" i="7"/>
  <c r="P1873" i="7"/>
  <c r="P1874" i="7"/>
  <c r="P1875" i="7"/>
  <c r="P1876" i="7"/>
  <c r="P1877" i="7"/>
  <c r="P1878" i="7"/>
  <c r="P1879" i="7"/>
  <c r="P1880" i="7"/>
  <c r="P1881" i="7"/>
  <c r="P1882" i="7"/>
  <c r="P1883" i="7"/>
  <c r="P1884" i="7"/>
  <c r="P1885" i="7"/>
  <c r="P1886" i="7"/>
  <c r="P1887" i="7"/>
  <c r="P1888" i="7"/>
  <c r="P1889" i="7"/>
  <c r="P1890" i="7"/>
  <c r="P1891" i="7"/>
  <c r="P1892" i="7"/>
  <c r="P1893" i="7"/>
  <c r="P1894" i="7"/>
  <c r="P1895" i="7"/>
  <c r="P1896" i="7"/>
  <c r="P1897" i="7"/>
  <c r="P1898" i="7"/>
  <c r="P1899" i="7"/>
  <c r="P1900" i="7"/>
  <c r="P1901" i="7"/>
  <c r="P1902" i="7"/>
  <c r="P1903" i="7"/>
  <c r="P1904" i="7"/>
  <c r="P1905" i="7"/>
  <c r="P1906" i="7"/>
  <c r="P1907" i="7"/>
  <c r="P1908" i="7"/>
  <c r="P1909" i="7"/>
  <c r="P1910" i="7"/>
  <c r="P1911" i="7"/>
  <c r="P1912" i="7"/>
  <c r="P1913" i="7"/>
  <c r="P1914" i="7"/>
  <c r="P1915" i="7"/>
  <c r="P1916" i="7"/>
  <c r="P1917" i="7"/>
  <c r="P1918" i="7"/>
  <c r="P1919" i="7"/>
  <c r="P1920" i="7"/>
  <c r="P1921" i="7"/>
  <c r="P1922" i="7"/>
  <c r="P1923" i="7"/>
  <c r="P1924" i="7"/>
  <c r="P1925" i="7"/>
  <c r="P1926" i="7"/>
  <c r="P1927" i="7"/>
  <c r="P1928" i="7"/>
  <c r="P1929" i="7"/>
  <c r="P1930" i="7"/>
  <c r="P1931" i="7"/>
  <c r="P1932" i="7"/>
  <c r="P1933" i="7"/>
  <c r="P1934" i="7"/>
  <c r="P1935" i="7"/>
  <c r="P1936" i="7"/>
  <c r="P1937" i="7"/>
  <c r="P1938" i="7"/>
  <c r="P1939" i="7"/>
  <c r="P1940" i="7"/>
  <c r="P1941" i="7"/>
  <c r="P1942" i="7"/>
  <c r="P1943" i="7"/>
  <c r="P1944" i="7"/>
  <c r="P1945" i="7"/>
  <c r="P1946" i="7"/>
  <c r="P1947" i="7"/>
  <c r="P1948" i="7"/>
  <c r="P1949" i="7"/>
  <c r="P1950" i="7"/>
  <c r="P1951" i="7"/>
  <c r="P1952" i="7"/>
  <c r="P1953" i="7"/>
  <c r="P1954" i="7"/>
  <c r="P1955" i="7"/>
  <c r="P1956" i="7"/>
  <c r="P1957" i="7"/>
  <c r="P1958" i="7"/>
  <c r="P1959" i="7"/>
  <c r="P1960" i="7"/>
  <c r="P1961" i="7"/>
  <c r="P1962" i="7"/>
  <c r="P1963" i="7"/>
  <c r="P1964" i="7"/>
  <c r="P1965" i="7"/>
  <c r="P1966" i="7"/>
  <c r="P1967" i="7"/>
  <c r="P1968" i="7"/>
  <c r="P1969" i="7"/>
  <c r="P1970" i="7"/>
  <c r="P1971" i="7"/>
  <c r="P1972" i="7"/>
  <c r="P1973" i="7"/>
  <c r="P1974" i="7"/>
  <c r="P1975" i="7"/>
  <c r="P1976" i="7"/>
  <c r="P1977" i="7"/>
  <c r="P1978" i="7"/>
  <c r="P1979" i="7"/>
  <c r="P1980" i="7"/>
  <c r="P1981" i="7"/>
  <c r="P1982" i="7"/>
  <c r="P1983" i="7"/>
  <c r="P1984" i="7"/>
  <c r="P1985" i="7"/>
  <c r="P1986" i="7"/>
  <c r="P1987" i="7"/>
  <c r="P1988" i="7"/>
  <c r="P1989" i="7"/>
  <c r="P1990" i="7"/>
  <c r="P1991" i="7"/>
  <c r="P1992" i="7"/>
  <c r="P1993" i="7"/>
  <c r="P1994" i="7"/>
  <c r="P1995" i="7"/>
  <c r="P1996" i="7"/>
  <c r="P1997" i="7"/>
  <c r="P1998" i="7"/>
  <c r="P1999" i="7"/>
  <c r="P2000" i="7"/>
  <c r="P2001" i="7"/>
  <c r="P2002" i="7"/>
  <c r="P2003" i="7"/>
  <c r="P2004" i="7"/>
  <c r="P2005" i="7"/>
  <c r="P2006" i="7"/>
  <c r="P2007" i="7"/>
  <c r="P2008" i="7"/>
  <c r="P2009" i="7"/>
  <c r="P2010" i="7"/>
  <c r="P2011" i="7"/>
  <c r="P2012" i="7"/>
  <c r="P2013" i="7"/>
  <c r="P2014" i="7"/>
  <c r="P2015" i="7"/>
  <c r="P2016" i="7"/>
  <c r="P2017" i="7"/>
  <c r="P2018" i="7"/>
  <c r="P2019" i="7"/>
  <c r="P2020" i="7"/>
  <c r="P2021" i="7"/>
  <c r="P2022" i="7"/>
  <c r="P2023" i="7"/>
  <c r="P2024" i="7"/>
  <c r="P2025" i="7"/>
  <c r="P2026" i="7"/>
  <c r="P2027" i="7"/>
  <c r="P2028" i="7"/>
  <c r="P2029" i="7"/>
  <c r="P2030" i="7"/>
  <c r="P2031" i="7"/>
  <c r="P2032" i="7"/>
  <c r="P2033" i="7"/>
  <c r="P2034" i="7"/>
  <c r="P2035" i="7"/>
  <c r="P2036" i="7"/>
  <c r="P2037" i="7"/>
  <c r="P2038" i="7"/>
  <c r="P2039" i="7"/>
  <c r="P2040" i="7"/>
  <c r="P2041" i="7"/>
  <c r="P2042" i="7"/>
  <c r="P2043" i="7"/>
  <c r="P2044" i="7"/>
  <c r="P2045" i="7"/>
  <c r="P2046" i="7"/>
  <c r="P2047" i="7"/>
  <c r="P2048" i="7"/>
  <c r="P2049" i="7"/>
  <c r="P2050" i="7"/>
  <c r="P2051" i="7"/>
  <c r="P2052" i="7"/>
  <c r="P2053" i="7"/>
  <c r="P2054" i="7"/>
  <c r="P2055" i="7"/>
  <c r="P2056" i="7"/>
  <c r="P2057" i="7"/>
  <c r="P2058" i="7"/>
  <c r="P2059" i="7"/>
  <c r="P2060" i="7"/>
  <c r="P2061" i="7"/>
  <c r="P2062" i="7"/>
  <c r="P2063" i="7"/>
  <c r="P2064" i="7"/>
  <c r="P2065" i="7"/>
  <c r="P2066" i="7"/>
  <c r="P2067" i="7"/>
  <c r="P2068" i="7"/>
  <c r="P2069" i="7"/>
  <c r="P2070" i="7"/>
  <c r="P2071" i="7"/>
  <c r="P2072" i="7"/>
  <c r="P2073" i="7"/>
  <c r="P2074" i="7"/>
  <c r="P2075" i="7"/>
  <c r="P2076" i="7"/>
  <c r="P2077" i="7"/>
  <c r="P2078" i="7"/>
  <c r="P2079" i="7"/>
  <c r="P2080" i="7"/>
  <c r="P2081" i="7"/>
  <c r="P2082" i="7"/>
  <c r="P2083" i="7"/>
  <c r="P2084" i="7"/>
  <c r="P2085" i="7"/>
  <c r="P2086" i="7"/>
  <c r="P2087" i="7"/>
  <c r="P2088" i="7"/>
  <c r="P2089" i="7"/>
  <c r="P2090" i="7"/>
  <c r="P2091" i="7"/>
  <c r="P2092" i="7"/>
  <c r="P2093" i="7"/>
  <c r="P2094" i="7"/>
  <c r="P2095" i="7"/>
  <c r="P2096" i="7"/>
  <c r="P2097" i="7"/>
  <c r="P2098" i="7"/>
  <c r="P2099" i="7"/>
  <c r="P2100" i="7"/>
  <c r="P2101" i="7"/>
  <c r="P2102" i="7"/>
  <c r="P2103" i="7"/>
  <c r="P2104" i="7"/>
  <c r="P2105" i="7"/>
  <c r="P2106" i="7"/>
  <c r="P2107" i="7"/>
  <c r="P2108" i="7"/>
  <c r="P2109" i="7"/>
  <c r="P2110" i="7"/>
  <c r="P2111" i="7"/>
  <c r="P2112" i="7"/>
  <c r="P2113" i="7"/>
  <c r="P2114" i="7"/>
  <c r="P2115" i="7"/>
  <c r="P2116" i="7"/>
  <c r="P2117" i="7"/>
  <c r="P2118" i="7"/>
  <c r="P2119" i="7"/>
  <c r="P2120" i="7"/>
  <c r="P2121" i="7"/>
  <c r="P2122" i="7"/>
  <c r="P2123" i="7"/>
  <c r="P2124" i="7"/>
  <c r="P2125" i="7"/>
  <c r="P2126" i="7"/>
  <c r="P2127" i="7"/>
  <c r="P2128" i="7"/>
  <c r="P2129" i="7"/>
  <c r="P2130" i="7"/>
  <c r="P2131" i="7"/>
  <c r="P2132" i="7"/>
  <c r="P2133" i="7"/>
  <c r="P2134" i="7"/>
  <c r="P2135" i="7"/>
  <c r="P2136" i="7"/>
  <c r="P2137" i="7"/>
  <c r="P2138" i="7"/>
  <c r="P2139" i="7"/>
  <c r="P2140" i="7"/>
  <c r="P2141" i="7"/>
  <c r="P2142" i="7"/>
  <c r="P2143" i="7"/>
  <c r="P2144" i="7"/>
  <c r="P2145" i="7"/>
  <c r="P2146" i="7"/>
  <c r="P2147" i="7"/>
  <c r="P2148" i="7"/>
  <c r="P2149" i="7"/>
  <c r="P2150" i="7"/>
  <c r="P2151" i="7"/>
  <c r="P2152" i="7"/>
  <c r="P2153" i="7"/>
  <c r="P2154" i="7"/>
  <c r="P2155" i="7"/>
  <c r="P2156" i="7"/>
  <c r="P2157" i="7"/>
  <c r="P2158" i="7"/>
  <c r="P2159" i="7"/>
  <c r="P2160" i="7"/>
  <c r="P2161" i="7"/>
  <c r="P2162" i="7"/>
  <c r="P2163" i="7"/>
  <c r="P2164" i="7"/>
  <c r="P2165" i="7"/>
  <c r="P2166" i="7"/>
  <c r="P2167" i="7"/>
  <c r="P2168" i="7"/>
  <c r="P2169" i="7"/>
  <c r="P2170" i="7"/>
  <c r="P2171" i="7"/>
  <c r="P2172" i="7"/>
  <c r="P2173" i="7"/>
  <c r="P2174" i="7"/>
  <c r="P2175" i="7"/>
  <c r="P2176" i="7"/>
  <c r="P2177" i="7"/>
  <c r="P2178" i="7"/>
  <c r="P2179" i="7"/>
  <c r="P2180" i="7"/>
  <c r="P2181" i="7"/>
  <c r="P2182" i="7"/>
  <c r="P2183" i="7"/>
  <c r="P2184" i="7"/>
  <c r="P2185" i="7"/>
  <c r="P2186" i="7"/>
  <c r="P2187" i="7"/>
  <c r="P2188" i="7"/>
  <c r="P2189" i="7"/>
  <c r="P2190" i="7"/>
  <c r="P2191" i="7"/>
  <c r="P2192" i="7"/>
  <c r="P2193" i="7"/>
  <c r="P2194" i="7"/>
  <c r="P2195" i="7"/>
  <c r="P2196" i="7"/>
  <c r="P2197" i="7"/>
  <c r="P2198" i="7"/>
  <c r="P2199" i="7"/>
  <c r="P2200" i="7"/>
  <c r="P2201" i="7"/>
  <c r="P2202" i="7"/>
  <c r="P2203" i="7"/>
  <c r="P2204" i="7"/>
  <c r="P2205" i="7"/>
  <c r="P2206" i="7"/>
  <c r="P2207" i="7"/>
  <c r="P2208" i="7"/>
  <c r="P2209" i="7"/>
  <c r="P2210" i="7"/>
  <c r="P2211" i="7"/>
  <c r="P2212" i="7"/>
  <c r="P2213" i="7"/>
  <c r="P2214" i="7"/>
  <c r="P2215" i="7"/>
  <c r="P2216" i="7"/>
  <c r="P2217" i="7"/>
  <c r="P2218" i="7"/>
  <c r="P2219" i="7"/>
  <c r="P2220" i="7"/>
  <c r="P2221" i="7"/>
  <c r="P2222" i="7"/>
  <c r="P2223" i="7"/>
  <c r="P2224" i="7"/>
  <c r="P2225" i="7"/>
  <c r="P2226" i="7"/>
  <c r="P2227" i="7"/>
  <c r="P2228" i="7"/>
  <c r="P2229" i="7"/>
  <c r="P2230" i="7"/>
  <c r="P2231" i="7"/>
  <c r="P2232" i="7"/>
  <c r="P2233" i="7"/>
  <c r="P2234" i="7"/>
  <c r="P2235" i="7"/>
  <c r="P2236" i="7"/>
  <c r="P2237" i="7"/>
  <c r="P2238" i="7"/>
  <c r="P2239" i="7"/>
  <c r="P2240" i="7"/>
  <c r="P2241" i="7"/>
  <c r="P2242" i="7"/>
  <c r="P2243" i="7"/>
  <c r="P2244" i="7"/>
  <c r="P2245" i="7"/>
  <c r="P2246" i="7"/>
  <c r="P2247" i="7"/>
  <c r="P2248" i="7"/>
  <c r="P2249" i="7"/>
  <c r="P2250" i="7"/>
  <c r="P2251" i="7"/>
  <c r="P2252" i="7"/>
  <c r="P2253" i="7"/>
  <c r="P2254" i="7"/>
  <c r="P2255" i="7"/>
  <c r="P2256" i="7"/>
  <c r="P2257" i="7"/>
  <c r="P2258" i="7"/>
  <c r="P2259" i="7"/>
  <c r="P2260" i="7"/>
  <c r="P2261" i="7"/>
  <c r="P2262" i="7"/>
  <c r="P2263" i="7"/>
  <c r="P2264" i="7"/>
  <c r="P2265" i="7"/>
  <c r="P2266" i="7"/>
  <c r="P2267" i="7"/>
  <c r="P2268" i="7"/>
  <c r="P2269" i="7"/>
  <c r="P2270" i="7"/>
  <c r="P2271" i="7"/>
  <c r="P2272" i="7"/>
  <c r="P2273" i="7"/>
  <c r="P2274" i="7"/>
  <c r="P2275" i="7"/>
  <c r="P2276" i="7"/>
  <c r="P2277" i="7"/>
  <c r="P2278" i="7"/>
  <c r="P2279" i="7"/>
  <c r="P2280" i="7"/>
  <c r="P2281" i="7"/>
  <c r="P2282" i="7"/>
  <c r="P2283" i="7"/>
  <c r="P2284" i="7"/>
  <c r="P2285" i="7"/>
  <c r="P2286" i="7"/>
  <c r="P2287" i="7"/>
  <c r="P2288" i="7"/>
  <c r="P2289" i="7"/>
  <c r="P2290" i="7"/>
  <c r="P2291" i="7"/>
  <c r="P2292" i="7"/>
  <c r="P2293" i="7"/>
  <c r="P2294" i="7"/>
  <c r="P2295" i="7"/>
  <c r="P2296" i="7"/>
  <c r="P2297" i="7"/>
  <c r="P2298" i="7"/>
  <c r="P2299" i="7"/>
  <c r="P2300" i="7"/>
  <c r="P2301" i="7"/>
  <c r="P2302" i="7"/>
  <c r="P2303" i="7"/>
  <c r="P2304" i="7"/>
  <c r="P2305" i="7"/>
  <c r="P2306" i="7"/>
  <c r="P2307" i="7"/>
  <c r="P2308" i="7"/>
  <c r="P2309" i="7"/>
  <c r="P2310" i="7"/>
  <c r="P2311" i="7"/>
  <c r="P2312" i="7"/>
  <c r="P2313" i="7"/>
  <c r="P2314" i="7"/>
  <c r="P2315" i="7"/>
  <c r="P2316" i="7"/>
  <c r="P2317" i="7"/>
  <c r="P2318" i="7"/>
  <c r="P2319" i="7"/>
  <c r="P2320" i="7"/>
  <c r="P2321" i="7"/>
  <c r="P2322" i="7"/>
  <c r="P2323" i="7"/>
  <c r="P2324" i="7"/>
  <c r="P2325" i="7"/>
  <c r="P2326" i="7"/>
  <c r="P2327" i="7"/>
  <c r="P2328" i="7"/>
  <c r="P2329" i="7"/>
  <c r="P2330" i="7"/>
  <c r="P2331" i="7"/>
  <c r="P2332" i="7"/>
  <c r="P2333" i="7"/>
  <c r="P2334" i="7"/>
  <c r="P2335" i="7"/>
  <c r="P2336" i="7"/>
  <c r="P2337" i="7"/>
  <c r="P2338" i="7"/>
  <c r="P2339" i="7"/>
  <c r="P2340" i="7"/>
  <c r="P2341" i="7"/>
  <c r="P2342" i="7"/>
  <c r="P2343" i="7"/>
  <c r="P2344" i="7"/>
  <c r="P2345" i="7"/>
  <c r="P2346" i="7"/>
  <c r="P2347" i="7"/>
  <c r="P2348" i="7"/>
  <c r="P2349" i="7"/>
  <c r="P2350" i="7"/>
  <c r="P2351" i="7"/>
  <c r="P2352" i="7"/>
  <c r="P2353" i="7"/>
  <c r="P2354" i="7"/>
  <c r="P2355" i="7"/>
  <c r="P2356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1371" i="7"/>
  <c r="O1372" i="7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O1399" i="7"/>
  <c r="O1400" i="7"/>
  <c r="O1401" i="7"/>
  <c r="O1402" i="7"/>
  <c r="O1403" i="7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O1434" i="7"/>
  <c r="O1435" i="7"/>
  <c r="O1436" i="7"/>
  <c r="O1437" i="7"/>
  <c r="O1438" i="7"/>
  <c r="O1439" i="7"/>
  <c r="O1440" i="7"/>
  <c r="O1441" i="7"/>
  <c r="O1442" i="7"/>
  <c r="O1443" i="7"/>
  <c r="O1444" i="7"/>
  <c r="O1445" i="7"/>
  <c r="O1446" i="7"/>
  <c r="O1447" i="7"/>
  <c r="O1448" i="7"/>
  <c r="O1449" i="7"/>
  <c r="O1450" i="7"/>
  <c r="O1451" i="7"/>
  <c r="O1452" i="7"/>
  <c r="O1453" i="7"/>
  <c r="O1454" i="7"/>
  <c r="O1455" i="7"/>
  <c r="O1456" i="7"/>
  <c r="O1457" i="7"/>
  <c r="O1458" i="7"/>
  <c r="O1459" i="7"/>
  <c r="O1460" i="7"/>
  <c r="O1461" i="7"/>
  <c r="O1462" i="7"/>
  <c r="O1463" i="7"/>
  <c r="O1464" i="7"/>
  <c r="O1465" i="7"/>
  <c r="O1466" i="7"/>
  <c r="O1467" i="7"/>
  <c r="O1468" i="7"/>
  <c r="O1469" i="7"/>
  <c r="O1470" i="7"/>
  <c r="O1471" i="7"/>
  <c r="O1472" i="7"/>
  <c r="O1473" i="7"/>
  <c r="O1474" i="7"/>
  <c r="O1475" i="7"/>
  <c r="O1476" i="7"/>
  <c r="O1477" i="7"/>
  <c r="O1478" i="7"/>
  <c r="O1479" i="7"/>
  <c r="O1480" i="7"/>
  <c r="O1481" i="7"/>
  <c r="O1482" i="7"/>
  <c r="O1483" i="7"/>
  <c r="O1484" i="7"/>
  <c r="O1485" i="7"/>
  <c r="O1486" i="7"/>
  <c r="O1487" i="7"/>
  <c r="O1488" i="7"/>
  <c r="O1489" i="7"/>
  <c r="O1490" i="7"/>
  <c r="O1491" i="7"/>
  <c r="O1492" i="7"/>
  <c r="O1493" i="7"/>
  <c r="O1494" i="7"/>
  <c r="O1495" i="7"/>
  <c r="O1496" i="7"/>
  <c r="O1497" i="7"/>
  <c r="O1498" i="7"/>
  <c r="O1499" i="7"/>
  <c r="O1500" i="7"/>
  <c r="O1501" i="7"/>
  <c r="O1502" i="7"/>
  <c r="O1503" i="7"/>
  <c r="O1504" i="7"/>
  <c r="O1505" i="7"/>
  <c r="O1506" i="7"/>
  <c r="O1507" i="7"/>
  <c r="O1508" i="7"/>
  <c r="O1509" i="7"/>
  <c r="O1510" i="7"/>
  <c r="O1511" i="7"/>
  <c r="O1512" i="7"/>
  <c r="O1513" i="7"/>
  <c r="O1514" i="7"/>
  <c r="O1515" i="7"/>
  <c r="O1516" i="7"/>
  <c r="O1517" i="7"/>
  <c r="O1518" i="7"/>
  <c r="O1519" i="7"/>
  <c r="O1520" i="7"/>
  <c r="O1521" i="7"/>
  <c r="O1522" i="7"/>
  <c r="O1523" i="7"/>
  <c r="O1524" i="7"/>
  <c r="O1525" i="7"/>
  <c r="O1526" i="7"/>
  <c r="O1527" i="7"/>
  <c r="O1528" i="7"/>
  <c r="O1529" i="7"/>
  <c r="O1530" i="7"/>
  <c r="O1531" i="7"/>
  <c r="O1532" i="7"/>
  <c r="O1533" i="7"/>
  <c r="O1534" i="7"/>
  <c r="O1535" i="7"/>
  <c r="O1536" i="7"/>
  <c r="O1537" i="7"/>
  <c r="O1538" i="7"/>
  <c r="O1539" i="7"/>
  <c r="O1540" i="7"/>
  <c r="O1541" i="7"/>
  <c r="O1542" i="7"/>
  <c r="O1543" i="7"/>
  <c r="O1544" i="7"/>
  <c r="O1545" i="7"/>
  <c r="O1546" i="7"/>
  <c r="O1547" i="7"/>
  <c r="O1548" i="7"/>
  <c r="O1549" i="7"/>
  <c r="O1550" i="7"/>
  <c r="O1551" i="7"/>
  <c r="O1552" i="7"/>
  <c r="O1553" i="7"/>
  <c r="O1554" i="7"/>
  <c r="O1555" i="7"/>
  <c r="O1556" i="7"/>
  <c r="O1557" i="7"/>
  <c r="O1558" i="7"/>
  <c r="O1559" i="7"/>
  <c r="O1560" i="7"/>
  <c r="O1561" i="7"/>
  <c r="O1562" i="7"/>
  <c r="O1563" i="7"/>
  <c r="O1564" i="7"/>
  <c r="O1565" i="7"/>
  <c r="O1566" i="7"/>
  <c r="O1567" i="7"/>
  <c r="O1568" i="7"/>
  <c r="O1569" i="7"/>
  <c r="O1570" i="7"/>
  <c r="O1571" i="7"/>
  <c r="O1572" i="7"/>
  <c r="O1573" i="7"/>
  <c r="O1574" i="7"/>
  <c r="O1575" i="7"/>
  <c r="O1576" i="7"/>
  <c r="O1577" i="7"/>
  <c r="O1578" i="7"/>
  <c r="O1579" i="7"/>
  <c r="O1580" i="7"/>
  <c r="O1581" i="7"/>
  <c r="O1582" i="7"/>
  <c r="O1583" i="7"/>
  <c r="O1584" i="7"/>
  <c r="O1585" i="7"/>
  <c r="O1586" i="7"/>
  <c r="O1587" i="7"/>
  <c r="O1588" i="7"/>
  <c r="O1589" i="7"/>
  <c r="O1590" i="7"/>
  <c r="O1591" i="7"/>
  <c r="O1592" i="7"/>
  <c r="O1593" i="7"/>
  <c r="O1594" i="7"/>
  <c r="O1595" i="7"/>
  <c r="O1596" i="7"/>
  <c r="O1597" i="7"/>
  <c r="O1598" i="7"/>
  <c r="O1599" i="7"/>
  <c r="O1600" i="7"/>
  <c r="O1601" i="7"/>
  <c r="O1602" i="7"/>
  <c r="O1603" i="7"/>
  <c r="O1604" i="7"/>
  <c r="O1605" i="7"/>
  <c r="O1606" i="7"/>
  <c r="O1607" i="7"/>
  <c r="O1608" i="7"/>
  <c r="O1609" i="7"/>
  <c r="O1610" i="7"/>
  <c r="O1611" i="7"/>
  <c r="O1612" i="7"/>
  <c r="O1613" i="7"/>
  <c r="O1614" i="7"/>
  <c r="O1615" i="7"/>
  <c r="O1616" i="7"/>
  <c r="O1617" i="7"/>
  <c r="O1618" i="7"/>
  <c r="O1619" i="7"/>
  <c r="O1620" i="7"/>
  <c r="O1621" i="7"/>
  <c r="O1622" i="7"/>
  <c r="O1623" i="7"/>
  <c r="O1624" i="7"/>
  <c r="O1625" i="7"/>
  <c r="O1626" i="7"/>
  <c r="O1627" i="7"/>
  <c r="O1628" i="7"/>
  <c r="O1629" i="7"/>
  <c r="O1630" i="7"/>
  <c r="O1631" i="7"/>
  <c r="O1632" i="7"/>
  <c r="O1633" i="7"/>
  <c r="O1634" i="7"/>
  <c r="O1635" i="7"/>
  <c r="O1636" i="7"/>
  <c r="O1637" i="7"/>
  <c r="O1638" i="7"/>
  <c r="O1639" i="7"/>
  <c r="O1640" i="7"/>
  <c r="O1641" i="7"/>
  <c r="O1642" i="7"/>
  <c r="O1643" i="7"/>
  <c r="O1644" i="7"/>
  <c r="O1645" i="7"/>
  <c r="O1646" i="7"/>
  <c r="O1647" i="7"/>
  <c r="O1648" i="7"/>
  <c r="O1649" i="7"/>
  <c r="O1650" i="7"/>
  <c r="O1651" i="7"/>
  <c r="O1652" i="7"/>
  <c r="O1653" i="7"/>
  <c r="O1654" i="7"/>
  <c r="O1655" i="7"/>
  <c r="O1656" i="7"/>
  <c r="O1657" i="7"/>
  <c r="O1658" i="7"/>
  <c r="O1659" i="7"/>
  <c r="O1660" i="7"/>
  <c r="O1661" i="7"/>
  <c r="O1662" i="7"/>
  <c r="O1663" i="7"/>
  <c r="O1664" i="7"/>
  <c r="O1665" i="7"/>
  <c r="O1666" i="7"/>
  <c r="O1667" i="7"/>
  <c r="O1668" i="7"/>
  <c r="O1669" i="7"/>
  <c r="O1670" i="7"/>
  <c r="O1671" i="7"/>
  <c r="O1672" i="7"/>
  <c r="O1673" i="7"/>
  <c r="O1674" i="7"/>
  <c r="O1675" i="7"/>
  <c r="O1676" i="7"/>
  <c r="O1677" i="7"/>
  <c r="O1678" i="7"/>
  <c r="O1679" i="7"/>
  <c r="O1680" i="7"/>
  <c r="O1681" i="7"/>
  <c r="O1682" i="7"/>
  <c r="O1683" i="7"/>
  <c r="O1684" i="7"/>
  <c r="O1685" i="7"/>
  <c r="O1686" i="7"/>
  <c r="O1687" i="7"/>
  <c r="O1688" i="7"/>
  <c r="O1689" i="7"/>
  <c r="O1690" i="7"/>
  <c r="O1691" i="7"/>
  <c r="O1692" i="7"/>
  <c r="O1693" i="7"/>
  <c r="O1694" i="7"/>
  <c r="O1695" i="7"/>
  <c r="O1696" i="7"/>
  <c r="O1697" i="7"/>
  <c r="O1698" i="7"/>
  <c r="O1699" i="7"/>
  <c r="O1700" i="7"/>
  <c r="O1701" i="7"/>
  <c r="O1702" i="7"/>
  <c r="O1703" i="7"/>
  <c r="O1704" i="7"/>
  <c r="O1705" i="7"/>
  <c r="O1706" i="7"/>
  <c r="O1707" i="7"/>
  <c r="O1708" i="7"/>
  <c r="O1709" i="7"/>
  <c r="O1710" i="7"/>
  <c r="O1711" i="7"/>
  <c r="O1712" i="7"/>
  <c r="O1713" i="7"/>
  <c r="O1714" i="7"/>
  <c r="O1715" i="7"/>
  <c r="O1716" i="7"/>
  <c r="O1717" i="7"/>
  <c r="O1718" i="7"/>
  <c r="O1719" i="7"/>
  <c r="O1720" i="7"/>
  <c r="O1721" i="7"/>
  <c r="O1722" i="7"/>
  <c r="O1723" i="7"/>
  <c r="O1724" i="7"/>
  <c r="O1725" i="7"/>
  <c r="O1726" i="7"/>
  <c r="O1727" i="7"/>
  <c r="O1728" i="7"/>
  <c r="O1729" i="7"/>
  <c r="O1730" i="7"/>
  <c r="O1731" i="7"/>
  <c r="O1732" i="7"/>
  <c r="O1733" i="7"/>
  <c r="O1734" i="7"/>
  <c r="O1735" i="7"/>
  <c r="O1736" i="7"/>
  <c r="O1737" i="7"/>
  <c r="O1738" i="7"/>
  <c r="O1739" i="7"/>
  <c r="O1740" i="7"/>
  <c r="O1741" i="7"/>
  <c r="O1742" i="7"/>
  <c r="O1743" i="7"/>
  <c r="O1744" i="7"/>
  <c r="O1745" i="7"/>
  <c r="O1746" i="7"/>
  <c r="O1747" i="7"/>
  <c r="O1748" i="7"/>
  <c r="O1749" i="7"/>
  <c r="O1750" i="7"/>
  <c r="O1751" i="7"/>
  <c r="O1752" i="7"/>
  <c r="O1753" i="7"/>
  <c r="O1754" i="7"/>
  <c r="O1755" i="7"/>
  <c r="O1756" i="7"/>
  <c r="O1757" i="7"/>
  <c r="O1758" i="7"/>
  <c r="O1759" i="7"/>
  <c r="O1760" i="7"/>
  <c r="O1761" i="7"/>
  <c r="O1762" i="7"/>
  <c r="O1763" i="7"/>
  <c r="O1764" i="7"/>
  <c r="O1765" i="7"/>
  <c r="O1766" i="7"/>
  <c r="O1767" i="7"/>
  <c r="O1768" i="7"/>
  <c r="O1769" i="7"/>
  <c r="O1770" i="7"/>
  <c r="O1771" i="7"/>
  <c r="O1772" i="7"/>
  <c r="O1773" i="7"/>
  <c r="O1774" i="7"/>
  <c r="O1775" i="7"/>
  <c r="O1776" i="7"/>
  <c r="O1777" i="7"/>
  <c r="O1778" i="7"/>
  <c r="O1779" i="7"/>
  <c r="O1780" i="7"/>
  <c r="O1781" i="7"/>
  <c r="O1782" i="7"/>
  <c r="O1783" i="7"/>
  <c r="O1784" i="7"/>
  <c r="O1785" i="7"/>
  <c r="O1786" i="7"/>
  <c r="O1787" i="7"/>
  <c r="O1788" i="7"/>
  <c r="O1789" i="7"/>
  <c r="O1790" i="7"/>
  <c r="O1791" i="7"/>
  <c r="O1792" i="7"/>
  <c r="O1793" i="7"/>
  <c r="O1794" i="7"/>
  <c r="O1795" i="7"/>
  <c r="O1796" i="7"/>
  <c r="O1797" i="7"/>
  <c r="O1798" i="7"/>
  <c r="O1799" i="7"/>
  <c r="O1800" i="7"/>
  <c r="O1801" i="7"/>
  <c r="O1802" i="7"/>
  <c r="O1803" i="7"/>
  <c r="O1804" i="7"/>
  <c r="O1805" i="7"/>
  <c r="O1806" i="7"/>
  <c r="O1807" i="7"/>
  <c r="O1808" i="7"/>
  <c r="O1809" i="7"/>
  <c r="O1810" i="7"/>
  <c r="O1811" i="7"/>
  <c r="O1812" i="7"/>
  <c r="O1813" i="7"/>
  <c r="O1814" i="7"/>
  <c r="O1815" i="7"/>
  <c r="O1816" i="7"/>
  <c r="O1817" i="7"/>
  <c r="O1818" i="7"/>
  <c r="O1819" i="7"/>
  <c r="O1820" i="7"/>
  <c r="O1821" i="7"/>
  <c r="O1822" i="7"/>
  <c r="O1823" i="7"/>
  <c r="O1824" i="7"/>
  <c r="O1825" i="7"/>
  <c r="O1826" i="7"/>
  <c r="O1827" i="7"/>
  <c r="O1828" i="7"/>
  <c r="O1829" i="7"/>
  <c r="O1830" i="7"/>
  <c r="O1831" i="7"/>
  <c r="O1832" i="7"/>
  <c r="O1833" i="7"/>
  <c r="O1834" i="7"/>
  <c r="O1835" i="7"/>
  <c r="O1836" i="7"/>
  <c r="O1837" i="7"/>
  <c r="O1838" i="7"/>
  <c r="O1839" i="7"/>
  <c r="O1840" i="7"/>
  <c r="O1841" i="7"/>
  <c r="O1842" i="7"/>
  <c r="O1843" i="7"/>
  <c r="O1844" i="7"/>
  <c r="O1845" i="7"/>
  <c r="O1846" i="7"/>
  <c r="O1847" i="7"/>
  <c r="O1848" i="7"/>
  <c r="O1849" i="7"/>
  <c r="O1850" i="7"/>
  <c r="O1851" i="7"/>
  <c r="O1852" i="7"/>
  <c r="O1853" i="7"/>
  <c r="O1854" i="7"/>
  <c r="O1855" i="7"/>
  <c r="O1856" i="7"/>
  <c r="O1857" i="7"/>
  <c r="O1858" i="7"/>
  <c r="O1859" i="7"/>
  <c r="O1860" i="7"/>
  <c r="O1861" i="7"/>
  <c r="O1862" i="7"/>
  <c r="O1863" i="7"/>
  <c r="O1864" i="7"/>
  <c r="O1865" i="7"/>
  <c r="O1866" i="7"/>
  <c r="O1867" i="7"/>
  <c r="O1868" i="7"/>
  <c r="O1869" i="7"/>
  <c r="O1870" i="7"/>
  <c r="O1871" i="7"/>
  <c r="O1872" i="7"/>
  <c r="O1873" i="7"/>
  <c r="O1874" i="7"/>
  <c r="O1875" i="7"/>
  <c r="O1876" i="7"/>
  <c r="O1877" i="7"/>
  <c r="O1878" i="7"/>
  <c r="O1879" i="7"/>
  <c r="O1880" i="7"/>
  <c r="O1881" i="7"/>
  <c r="O1882" i="7"/>
  <c r="O1883" i="7"/>
  <c r="O1884" i="7"/>
  <c r="O1885" i="7"/>
  <c r="O1886" i="7"/>
  <c r="O1887" i="7"/>
  <c r="O1888" i="7"/>
  <c r="O1889" i="7"/>
  <c r="O1890" i="7"/>
  <c r="O1891" i="7"/>
  <c r="O1892" i="7"/>
  <c r="O1893" i="7"/>
  <c r="O1894" i="7"/>
  <c r="O1895" i="7"/>
  <c r="O1896" i="7"/>
  <c r="O1897" i="7"/>
  <c r="O1898" i="7"/>
  <c r="O1899" i="7"/>
  <c r="O1900" i="7"/>
  <c r="O1901" i="7"/>
  <c r="O1902" i="7"/>
  <c r="O1903" i="7"/>
  <c r="O1904" i="7"/>
  <c r="O1905" i="7"/>
  <c r="O1906" i="7"/>
  <c r="O1907" i="7"/>
  <c r="O1908" i="7"/>
  <c r="O1909" i="7"/>
  <c r="O1910" i="7"/>
  <c r="O1911" i="7"/>
  <c r="O1912" i="7"/>
  <c r="O1913" i="7"/>
  <c r="O1914" i="7"/>
  <c r="O1915" i="7"/>
  <c r="O1916" i="7"/>
  <c r="O1917" i="7"/>
  <c r="O1918" i="7"/>
  <c r="O1919" i="7"/>
  <c r="O1920" i="7"/>
  <c r="O1921" i="7"/>
  <c r="O1922" i="7"/>
  <c r="O1923" i="7"/>
  <c r="O1924" i="7"/>
  <c r="O1925" i="7"/>
  <c r="O1926" i="7"/>
  <c r="O1927" i="7"/>
  <c r="O1928" i="7"/>
  <c r="O1929" i="7"/>
  <c r="O1930" i="7"/>
  <c r="O1931" i="7"/>
  <c r="O1932" i="7"/>
  <c r="O1933" i="7"/>
  <c r="O1934" i="7"/>
  <c r="O1935" i="7"/>
  <c r="O1936" i="7"/>
  <c r="O1937" i="7"/>
  <c r="O1938" i="7"/>
  <c r="O1939" i="7"/>
  <c r="O1940" i="7"/>
  <c r="O1941" i="7"/>
  <c r="O1942" i="7"/>
  <c r="O1943" i="7"/>
  <c r="O1944" i="7"/>
  <c r="O1945" i="7"/>
  <c r="O1946" i="7"/>
  <c r="O1947" i="7"/>
  <c r="O1948" i="7"/>
  <c r="O1949" i="7"/>
  <c r="O1950" i="7"/>
  <c r="O1951" i="7"/>
  <c r="O1952" i="7"/>
  <c r="O1953" i="7"/>
  <c r="O1954" i="7"/>
  <c r="O1955" i="7"/>
  <c r="O1956" i="7"/>
  <c r="O1957" i="7"/>
  <c r="O1958" i="7"/>
  <c r="O1959" i="7"/>
  <c r="O1960" i="7"/>
  <c r="O1961" i="7"/>
  <c r="O1962" i="7"/>
  <c r="O1963" i="7"/>
  <c r="O1964" i="7"/>
  <c r="O1965" i="7"/>
  <c r="O1966" i="7"/>
  <c r="O1967" i="7"/>
  <c r="O1968" i="7"/>
  <c r="O1969" i="7"/>
  <c r="O1970" i="7"/>
  <c r="O1971" i="7"/>
  <c r="O1972" i="7"/>
  <c r="O1973" i="7"/>
  <c r="O1974" i="7"/>
  <c r="O1975" i="7"/>
  <c r="O1976" i="7"/>
  <c r="O1977" i="7"/>
  <c r="O1978" i="7"/>
  <c r="O1979" i="7"/>
  <c r="O1980" i="7"/>
  <c r="O1981" i="7"/>
  <c r="O1982" i="7"/>
  <c r="O1983" i="7"/>
  <c r="O1984" i="7"/>
  <c r="O1985" i="7"/>
  <c r="O1986" i="7"/>
  <c r="O1987" i="7"/>
  <c r="O1988" i="7"/>
  <c r="O1989" i="7"/>
  <c r="O1990" i="7"/>
  <c r="O1991" i="7"/>
  <c r="O1992" i="7"/>
  <c r="O1993" i="7"/>
  <c r="O1994" i="7"/>
  <c r="O1995" i="7"/>
  <c r="O1996" i="7"/>
  <c r="O1997" i="7"/>
  <c r="O1998" i="7"/>
  <c r="O1999" i="7"/>
  <c r="O2000" i="7"/>
  <c r="O2001" i="7"/>
  <c r="O2002" i="7"/>
  <c r="O2003" i="7"/>
  <c r="O2004" i="7"/>
  <c r="O2005" i="7"/>
  <c r="O2006" i="7"/>
  <c r="O2007" i="7"/>
  <c r="O2008" i="7"/>
  <c r="O2009" i="7"/>
  <c r="O2010" i="7"/>
  <c r="O2011" i="7"/>
  <c r="O2012" i="7"/>
  <c r="O2013" i="7"/>
  <c r="O2014" i="7"/>
  <c r="O2015" i="7"/>
  <c r="O2016" i="7"/>
  <c r="O2017" i="7"/>
  <c r="O2018" i="7"/>
  <c r="O2019" i="7"/>
  <c r="O2020" i="7"/>
  <c r="O2021" i="7"/>
  <c r="O2022" i="7"/>
  <c r="O2023" i="7"/>
  <c r="O2024" i="7"/>
  <c r="O2025" i="7"/>
  <c r="O2026" i="7"/>
  <c r="O2027" i="7"/>
  <c r="O2028" i="7"/>
  <c r="O2029" i="7"/>
  <c r="O2030" i="7"/>
  <c r="O2031" i="7"/>
  <c r="O2032" i="7"/>
  <c r="O2033" i="7"/>
  <c r="O2034" i="7"/>
  <c r="O2035" i="7"/>
  <c r="O2036" i="7"/>
  <c r="O2037" i="7"/>
  <c r="O2038" i="7"/>
  <c r="O2039" i="7"/>
  <c r="O2040" i="7"/>
  <c r="O2041" i="7"/>
  <c r="O2042" i="7"/>
  <c r="O2043" i="7"/>
  <c r="O2044" i="7"/>
  <c r="O2045" i="7"/>
  <c r="O2046" i="7"/>
  <c r="O2047" i="7"/>
  <c r="O2048" i="7"/>
  <c r="O2049" i="7"/>
  <c r="O2050" i="7"/>
  <c r="O2051" i="7"/>
  <c r="O2052" i="7"/>
  <c r="O2053" i="7"/>
  <c r="O2054" i="7"/>
  <c r="O2055" i="7"/>
  <c r="O2056" i="7"/>
  <c r="O2057" i="7"/>
  <c r="O2058" i="7"/>
  <c r="O2059" i="7"/>
  <c r="O2060" i="7"/>
  <c r="O2061" i="7"/>
  <c r="O2062" i="7"/>
  <c r="O2063" i="7"/>
  <c r="O2064" i="7"/>
  <c r="O2065" i="7"/>
  <c r="O2066" i="7"/>
  <c r="O2067" i="7"/>
  <c r="O2068" i="7"/>
  <c r="O2069" i="7"/>
  <c r="O2070" i="7"/>
  <c r="O2071" i="7"/>
  <c r="O2072" i="7"/>
  <c r="O2073" i="7"/>
  <c r="O2074" i="7"/>
  <c r="O2075" i="7"/>
  <c r="O2076" i="7"/>
  <c r="O2077" i="7"/>
  <c r="O2078" i="7"/>
  <c r="O2079" i="7"/>
  <c r="O2080" i="7"/>
  <c r="O2081" i="7"/>
  <c r="O2082" i="7"/>
  <c r="O2083" i="7"/>
  <c r="O2084" i="7"/>
  <c r="O2085" i="7"/>
  <c r="O2086" i="7"/>
  <c r="O2087" i="7"/>
  <c r="O2088" i="7"/>
  <c r="O2089" i="7"/>
  <c r="O2090" i="7"/>
  <c r="O2091" i="7"/>
  <c r="O2092" i="7"/>
  <c r="O2093" i="7"/>
  <c r="O2094" i="7"/>
  <c r="O2095" i="7"/>
  <c r="O2096" i="7"/>
  <c r="O2097" i="7"/>
  <c r="O2098" i="7"/>
  <c r="O2099" i="7"/>
  <c r="O2100" i="7"/>
  <c r="O2101" i="7"/>
  <c r="O2102" i="7"/>
  <c r="O2103" i="7"/>
  <c r="O2104" i="7"/>
  <c r="O2105" i="7"/>
  <c r="O2106" i="7"/>
  <c r="O2107" i="7"/>
  <c r="O2108" i="7"/>
  <c r="O2109" i="7"/>
  <c r="O2110" i="7"/>
  <c r="O2111" i="7"/>
  <c r="O2112" i="7"/>
  <c r="O2113" i="7"/>
  <c r="O2114" i="7"/>
  <c r="O2115" i="7"/>
  <c r="O2116" i="7"/>
  <c r="O2117" i="7"/>
  <c r="O2118" i="7"/>
  <c r="O2119" i="7"/>
  <c r="O2120" i="7"/>
  <c r="O2121" i="7"/>
  <c r="O2122" i="7"/>
  <c r="O2123" i="7"/>
  <c r="O2124" i="7"/>
  <c r="O2125" i="7"/>
  <c r="O2126" i="7"/>
  <c r="O2127" i="7"/>
  <c r="O2128" i="7"/>
  <c r="O2129" i="7"/>
  <c r="O2130" i="7"/>
  <c r="O2131" i="7"/>
  <c r="O2132" i="7"/>
  <c r="O2133" i="7"/>
  <c r="O2134" i="7"/>
  <c r="O2135" i="7"/>
  <c r="O2136" i="7"/>
  <c r="O2137" i="7"/>
  <c r="O2138" i="7"/>
  <c r="O2139" i="7"/>
  <c r="O2140" i="7"/>
  <c r="O2141" i="7"/>
  <c r="O2142" i="7"/>
  <c r="O2143" i="7"/>
  <c r="O2144" i="7"/>
  <c r="O2145" i="7"/>
  <c r="O2146" i="7"/>
  <c r="O2147" i="7"/>
  <c r="O2148" i="7"/>
  <c r="O2149" i="7"/>
  <c r="O2150" i="7"/>
  <c r="O2151" i="7"/>
  <c r="O2152" i="7"/>
  <c r="O2153" i="7"/>
  <c r="O2154" i="7"/>
  <c r="O2155" i="7"/>
  <c r="O2156" i="7"/>
  <c r="O2157" i="7"/>
  <c r="O2158" i="7"/>
  <c r="O2159" i="7"/>
  <c r="O2160" i="7"/>
  <c r="O2161" i="7"/>
  <c r="O2162" i="7"/>
  <c r="O2163" i="7"/>
  <c r="O2164" i="7"/>
  <c r="O2165" i="7"/>
  <c r="O2166" i="7"/>
  <c r="O2167" i="7"/>
  <c r="O2168" i="7"/>
  <c r="O2169" i="7"/>
  <c r="O2170" i="7"/>
  <c r="O2171" i="7"/>
  <c r="O2172" i="7"/>
  <c r="O2173" i="7"/>
  <c r="O2174" i="7"/>
  <c r="O2175" i="7"/>
  <c r="O2176" i="7"/>
  <c r="O2177" i="7"/>
  <c r="O2178" i="7"/>
  <c r="O2179" i="7"/>
  <c r="O2180" i="7"/>
  <c r="O2181" i="7"/>
  <c r="O2182" i="7"/>
  <c r="O2183" i="7"/>
  <c r="O2184" i="7"/>
  <c r="O2185" i="7"/>
  <c r="O2186" i="7"/>
  <c r="O2187" i="7"/>
  <c r="O2188" i="7"/>
  <c r="O2189" i="7"/>
  <c r="O2190" i="7"/>
  <c r="O2191" i="7"/>
  <c r="O2192" i="7"/>
  <c r="O2193" i="7"/>
  <c r="O2194" i="7"/>
  <c r="O2195" i="7"/>
  <c r="O2196" i="7"/>
  <c r="O2197" i="7"/>
  <c r="O2198" i="7"/>
  <c r="O2199" i="7"/>
  <c r="O2200" i="7"/>
  <c r="O2201" i="7"/>
  <c r="O2202" i="7"/>
  <c r="O2203" i="7"/>
  <c r="O2204" i="7"/>
  <c r="O2205" i="7"/>
  <c r="O2206" i="7"/>
  <c r="O2207" i="7"/>
  <c r="O2208" i="7"/>
  <c r="O2209" i="7"/>
  <c r="O2210" i="7"/>
  <c r="O2211" i="7"/>
  <c r="O2212" i="7"/>
  <c r="O2213" i="7"/>
  <c r="O2214" i="7"/>
  <c r="O2215" i="7"/>
  <c r="O2216" i="7"/>
  <c r="O2217" i="7"/>
  <c r="O2218" i="7"/>
  <c r="O2219" i="7"/>
  <c r="O2220" i="7"/>
  <c r="O2221" i="7"/>
  <c r="O2222" i="7"/>
  <c r="O2223" i="7"/>
  <c r="O2224" i="7"/>
  <c r="O2225" i="7"/>
  <c r="O2226" i="7"/>
  <c r="O2227" i="7"/>
  <c r="O2228" i="7"/>
  <c r="O2229" i="7"/>
  <c r="O2230" i="7"/>
  <c r="O2231" i="7"/>
  <c r="O2232" i="7"/>
  <c r="O2233" i="7"/>
  <c r="O2234" i="7"/>
  <c r="O2235" i="7"/>
  <c r="O2236" i="7"/>
  <c r="O2237" i="7"/>
  <c r="O2238" i="7"/>
  <c r="O2239" i="7"/>
  <c r="O2240" i="7"/>
  <c r="O2241" i="7"/>
  <c r="O2242" i="7"/>
  <c r="O2243" i="7"/>
  <c r="O2244" i="7"/>
  <c r="O2245" i="7"/>
  <c r="O2246" i="7"/>
  <c r="O2247" i="7"/>
  <c r="O2248" i="7"/>
  <c r="O2249" i="7"/>
  <c r="O2250" i="7"/>
  <c r="O2251" i="7"/>
  <c r="O2252" i="7"/>
  <c r="O2253" i="7"/>
  <c r="O2254" i="7"/>
  <c r="O2255" i="7"/>
  <c r="O2256" i="7"/>
  <c r="O2257" i="7"/>
  <c r="O2258" i="7"/>
  <c r="O2259" i="7"/>
  <c r="O2260" i="7"/>
  <c r="O2261" i="7"/>
  <c r="O2262" i="7"/>
  <c r="O2263" i="7"/>
  <c r="O2264" i="7"/>
  <c r="O2265" i="7"/>
  <c r="O2266" i="7"/>
  <c r="O2267" i="7"/>
  <c r="O2268" i="7"/>
  <c r="O2269" i="7"/>
  <c r="O2270" i="7"/>
  <c r="O2271" i="7"/>
  <c r="O2272" i="7"/>
  <c r="O2273" i="7"/>
  <c r="O2274" i="7"/>
  <c r="O2275" i="7"/>
  <c r="O2276" i="7"/>
  <c r="O2277" i="7"/>
  <c r="O2278" i="7"/>
  <c r="O2279" i="7"/>
  <c r="O2280" i="7"/>
  <c r="O2281" i="7"/>
  <c r="O2282" i="7"/>
  <c r="O2283" i="7"/>
  <c r="O2284" i="7"/>
  <c r="O2285" i="7"/>
  <c r="O2286" i="7"/>
  <c r="O2287" i="7"/>
  <c r="O2288" i="7"/>
  <c r="O2289" i="7"/>
  <c r="O2290" i="7"/>
  <c r="O2291" i="7"/>
  <c r="O2292" i="7"/>
  <c r="O2293" i="7"/>
  <c r="O2294" i="7"/>
  <c r="O2295" i="7"/>
  <c r="O2296" i="7"/>
  <c r="O2297" i="7"/>
  <c r="O2298" i="7"/>
  <c r="O2299" i="7"/>
  <c r="O2300" i="7"/>
  <c r="O2301" i="7"/>
  <c r="O2302" i="7"/>
  <c r="O2303" i="7"/>
  <c r="O2304" i="7"/>
  <c r="O2305" i="7"/>
  <c r="O2306" i="7"/>
  <c r="O2307" i="7"/>
  <c r="O2308" i="7"/>
  <c r="O2309" i="7"/>
  <c r="O2310" i="7"/>
  <c r="O2311" i="7"/>
  <c r="O2312" i="7"/>
  <c r="O2313" i="7"/>
  <c r="O2314" i="7"/>
  <c r="O2315" i="7"/>
  <c r="O2316" i="7"/>
  <c r="O2317" i="7"/>
  <c r="O2318" i="7"/>
  <c r="O2319" i="7"/>
  <c r="O2320" i="7"/>
  <c r="O2321" i="7"/>
  <c r="O2322" i="7"/>
  <c r="O2323" i="7"/>
  <c r="O2324" i="7"/>
  <c r="O2325" i="7"/>
  <c r="O2326" i="7"/>
  <c r="O2327" i="7"/>
  <c r="O2328" i="7"/>
  <c r="O2329" i="7"/>
  <c r="O2330" i="7"/>
  <c r="O2331" i="7"/>
  <c r="O2332" i="7"/>
  <c r="O2333" i="7"/>
  <c r="O2334" i="7"/>
  <c r="O2335" i="7"/>
  <c r="O2336" i="7"/>
  <c r="O2337" i="7"/>
  <c r="O2338" i="7"/>
  <c r="O2339" i="7"/>
  <c r="O2340" i="7"/>
  <c r="O2341" i="7"/>
  <c r="O2342" i="7"/>
  <c r="O2343" i="7"/>
  <c r="O2344" i="7"/>
  <c r="O2345" i="7"/>
  <c r="O2346" i="7"/>
  <c r="O2347" i="7"/>
  <c r="O2348" i="7"/>
  <c r="O2349" i="7"/>
  <c r="O2350" i="7"/>
  <c r="O2351" i="7"/>
  <c r="O2352" i="7"/>
  <c r="O2353" i="7"/>
  <c r="O2354" i="7"/>
  <c r="O2355" i="7"/>
  <c r="O2356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N1001" i="7"/>
  <c r="N1002" i="7"/>
  <c r="N1003" i="7"/>
  <c r="N1004" i="7"/>
  <c r="N1005" i="7"/>
  <c r="N1006" i="7"/>
  <c r="N1007" i="7"/>
  <c r="N1008" i="7"/>
  <c r="N1009" i="7"/>
  <c r="N1010" i="7"/>
  <c r="N1011" i="7"/>
  <c r="N1012" i="7"/>
  <c r="N1013" i="7"/>
  <c r="N1014" i="7"/>
  <c r="N1015" i="7"/>
  <c r="N1016" i="7"/>
  <c r="N1017" i="7"/>
  <c r="N1018" i="7"/>
  <c r="N1019" i="7"/>
  <c r="N1020" i="7"/>
  <c r="N1021" i="7"/>
  <c r="N1022" i="7"/>
  <c r="N1023" i="7"/>
  <c r="N1024" i="7"/>
  <c r="N1025" i="7"/>
  <c r="N1026" i="7"/>
  <c r="N1027" i="7"/>
  <c r="N1028" i="7"/>
  <c r="N1029" i="7"/>
  <c r="N1030" i="7"/>
  <c r="N1031" i="7"/>
  <c r="N1032" i="7"/>
  <c r="N1033" i="7"/>
  <c r="N1034" i="7"/>
  <c r="N1035" i="7"/>
  <c r="N1036" i="7"/>
  <c r="N1037" i="7"/>
  <c r="N1038" i="7"/>
  <c r="N1039" i="7"/>
  <c r="N1040" i="7"/>
  <c r="N1041" i="7"/>
  <c r="N1042" i="7"/>
  <c r="N1043" i="7"/>
  <c r="N1044" i="7"/>
  <c r="N1045" i="7"/>
  <c r="N1046" i="7"/>
  <c r="N1047" i="7"/>
  <c r="N1048" i="7"/>
  <c r="N1049" i="7"/>
  <c r="N1050" i="7"/>
  <c r="N1051" i="7"/>
  <c r="N1052" i="7"/>
  <c r="N1053" i="7"/>
  <c r="N1054" i="7"/>
  <c r="N1055" i="7"/>
  <c r="N1056" i="7"/>
  <c r="N1057" i="7"/>
  <c r="N1058" i="7"/>
  <c r="N1059" i="7"/>
  <c r="N1060" i="7"/>
  <c r="N1061" i="7"/>
  <c r="N1062" i="7"/>
  <c r="N1063" i="7"/>
  <c r="N1064" i="7"/>
  <c r="N1065" i="7"/>
  <c r="N1066" i="7"/>
  <c r="N1067" i="7"/>
  <c r="N1068" i="7"/>
  <c r="N1069" i="7"/>
  <c r="N1070" i="7"/>
  <c r="N1071" i="7"/>
  <c r="N1072" i="7"/>
  <c r="N1073" i="7"/>
  <c r="N1074" i="7"/>
  <c r="N1075" i="7"/>
  <c r="N1076" i="7"/>
  <c r="N1077" i="7"/>
  <c r="N1078" i="7"/>
  <c r="N1079" i="7"/>
  <c r="N1080" i="7"/>
  <c r="N1081" i="7"/>
  <c r="N1082" i="7"/>
  <c r="N1083" i="7"/>
  <c r="N1084" i="7"/>
  <c r="N1085" i="7"/>
  <c r="N1086" i="7"/>
  <c r="N1087" i="7"/>
  <c r="N1088" i="7"/>
  <c r="N1089" i="7"/>
  <c r="N1090" i="7"/>
  <c r="N1091" i="7"/>
  <c r="N1092" i="7"/>
  <c r="N1093" i="7"/>
  <c r="N1094" i="7"/>
  <c r="N1095" i="7"/>
  <c r="N1096" i="7"/>
  <c r="N1097" i="7"/>
  <c r="N1098" i="7"/>
  <c r="N1099" i="7"/>
  <c r="N1100" i="7"/>
  <c r="N1101" i="7"/>
  <c r="N1102" i="7"/>
  <c r="N1103" i="7"/>
  <c r="N1104" i="7"/>
  <c r="N1105" i="7"/>
  <c r="N1106" i="7"/>
  <c r="N1107" i="7"/>
  <c r="N1108" i="7"/>
  <c r="N1109" i="7"/>
  <c r="N1110" i="7"/>
  <c r="N1111" i="7"/>
  <c r="N1112" i="7"/>
  <c r="N1113" i="7"/>
  <c r="N1114" i="7"/>
  <c r="N1115" i="7"/>
  <c r="N1116" i="7"/>
  <c r="N1117" i="7"/>
  <c r="N1118" i="7"/>
  <c r="N1119" i="7"/>
  <c r="N1120" i="7"/>
  <c r="N1121" i="7"/>
  <c r="N1122" i="7"/>
  <c r="N1123" i="7"/>
  <c r="N1124" i="7"/>
  <c r="N1125" i="7"/>
  <c r="N1126" i="7"/>
  <c r="N1127" i="7"/>
  <c r="N1128" i="7"/>
  <c r="N1129" i="7"/>
  <c r="N1130" i="7"/>
  <c r="N1131" i="7"/>
  <c r="N1132" i="7"/>
  <c r="N1133" i="7"/>
  <c r="N1134" i="7"/>
  <c r="N1135" i="7"/>
  <c r="N1136" i="7"/>
  <c r="N1137" i="7"/>
  <c r="N1138" i="7"/>
  <c r="N1139" i="7"/>
  <c r="N1140" i="7"/>
  <c r="N1141" i="7"/>
  <c r="N1142" i="7"/>
  <c r="N1143" i="7"/>
  <c r="N1144" i="7"/>
  <c r="N1145" i="7"/>
  <c r="N1146" i="7"/>
  <c r="N1147" i="7"/>
  <c r="N1148" i="7"/>
  <c r="N1149" i="7"/>
  <c r="N1150" i="7"/>
  <c r="N1151" i="7"/>
  <c r="N1152" i="7"/>
  <c r="N1153" i="7"/>
  <c r="N1154" i="7"/>
  <c r="N1155" i="7"/>
  <c r="N1156" i="7"/>
  <c r="N1157" i="7"/>
  <c r="N1158" i="7"/>
  <c r="N1159" i="7"/>
  <c r="N1160" i="7"/>
  <c r="N1161" i="7"/>
  <c r="N1162" i="7"/>
  <c r="N1163" i="7"/>
  <c r="N1164" i="7"/>
  <c r="N1165" i="7"/>
  <c r="N1166" i="7"/>
  <c r="N1167" i="7"/>
  <c r="N1168" i="7"/>
  <c r="N1169" i="7"/>
  <c r="N1170" i="7"/>
  <c r="N1171" i="7"/>
  <c r="N1172" i="7"/>
  <c r="N1173" i="7"/>
  <c r="N1174" i="7"/>
  <c r="N1175" i="7"/>
  <c r="N1176" i="7"/>
  <c r="N1177" i="7"/>
  <c r="N1178" i="7"/>
  <c r="N1179" i="7"/>
  <c r="N1180" i="7"/>
  <c r="N1181" i="7"/>
  <c r="N1182" i="7"/>
  <c r="N1183" i="7"/>
  <c r="N1184" i="7"/>
  <c r="N1185" i="7"/>
  <c r="N1186" i="7"/>
  <c r="N1187" i="7"/>
  <c r="N1188" i="7"/>
  <c r="N1189" i="7"/>
  <c r="N1190" i="7"/>
  <c r="N1191" i="7"/>
  <c r="N1192" i="7"/>
  <c r="N1193" i="7"/>
  <c r="N1194" i="7"/>
  <c r="N1195" i="7"/>
  <c r="N1196" i="7"/>
  <c r="N1197" i="7"/>
  <c r="N1198" i="7"/>
  <c r="N1199" i="7"/>
  <c r="N1200" i="7"/>
  <c r="N1201" i="7"/>
  <c r="N1202" i="7"/>
  <c r="N1203" i="7"/>
  <c r="N1204" i="7"/>
  <c r="N1205" i="7"/>
  <c r="N1206" i="7"/>
  <c r="N1207" i="7"/>
  <c r="N1208" i="7"/>
  <c r="N1209" i="7"/>
  <c r="N1210" i="7"/>
  <c r="N1211" i="7"/>
  <c r="N1212" i="7"/>
  <c r="N1213" i="7"/>
  <c r="N1214" i="7"/>
  <c r="N1215" i="7"/>
  <c r="N1216" i="7"/>
  <c r="N1217" i="7"/>
  <c r="N1218" i="7"/>
  <c r="N1219" i="7"/>
  <c r="N1220" i="7"/>
  <c r="N1221" i="7"/>
  <c r="N1222" i="7"/>
  <c r="N1223" i="7"/>
  <c r="N1224" i="7"/>
  <c r="N1225" i="7"/>
  <c r="N1226" i="7"/>
  <c r="N1227" i="7"/>
  <c r="N1228" i="7"/>
  <c r="N1229" i="7"/>
  <c r="N1230" i="7"/>
  <c r="N1231" i="7"/>
  <c r="N1232" i="7"/>
  <c r="N1233" i="7"/>
  <c r="N1234" i="7"/>
  <c r="N1235" i="7"/>
  <c r="N1236" i="7"/>
  <c r="N1237" i="7"/>
  <c r="N1238" i="7"/>
  <c r="N1239" i="7"/>
  <c r="N1240" i="7"/>
  <c r="N1241" i="7"/>
  <c r="N1242" i="7"/>
  <c r="N1243" i="7"/>
  <c r="N1244" i="7"/>
  <c r="N1245" i="7"/>
  <c r="N1246" i="7"/>
  <c r="N1247" i="7"/>
  <c r="N1248" i="7"/>
  <c r="N1249" i="7"/>
  <c r="N1250" i="7"/>
  <c r="N1251" i="7"/>
  <c r="N1252" i="7"/>
  <c r="N1253" i="7"/>
  <c r="N1254" i="7"/>
  <c r="N1255" i="7"/>
  <c r="N1256" i="7"/>
  <c r="N1257" i="7"/>
  <c r="N1258" i="7"/>
  <c r="N1259" i="7"/>
  <c r="N1260" i="7"/>
  <c r="N1261" i="7"/>
  <c r="N1262" i="7"/>
  <c r="N1263" i="7"/>
  <c r="N1264" i="7"/>
  <c r="N1265" i="7"/>
  <c r="N1266" i="7"/>
  <c r="N1267" i="7"/>
  <c r="N1268" i="7"/>
  <c r="N1269" i="7"/>
  <c r="N1270" i="7"/>
  <c r="N1271" i="7"/>
  <c r="N1272" i="7"/>
  <c r="N1273" i="7"/>
  <c r="N1274" i="7"/>
  <c r="N1275" i="7"/>
  <c r="N1276" i="7"/>
  <c r="N1277" i="7"/>
  <c r="N1278" i="7"/>
  <c r="N1279" i="7"/>
  <c r="N1280" i="7"/>
  <c r="N1281" i="7"/>
  <c r="N1282" i="7"/>
  <c r="N1283" i="7"/>
  <c r="N1284" i="7"/>
  <c r="N1285" i="7"/>
  <c r="N1286" i="7"/>
  <c r="N1287" i="7"/>
  <c r="N1288" i="7"/>
  <c r="N1289" i="7"/>
  <c r="N1290" i="7"/>
  <c r="N1291" i="7"/>
  <c r="N1292" i="7"/>
  <c r="N1293" i="7"/>
  <c r="N1294" i="7"/>
  <c r="N1295" i="7"/>
  <c r="N1296" i="7"/>
  <c r="N1297" i="7"/>
  <c r="N1298" i="7"/>
  <c r="N1299" i="7"/>
  <c r="N1300" i="7"/>
  <c r="N1301" i="7"/>
  <c r="N1302" i="7"/>
  <c r="N1303" i="7"/>
  <c r="N1304" i="7"/>
  <c r="N1305" i="7"/>
  <c r="N1306" i="7"/>
  <c r="N1307" i="7"/>
  <c r="N1308" i="7"/>
  <c r="N1309" i="7"/>
  <c r="N1310" i="7"/>
  <c r="N1311" i="7"/>
  <c r="N1312" i="7"/>
  <c r="N1313" i="7"/>
  <c r="N1314" i="7"/>
  <c r="N1315" i="7"/>
  <c r="N1316" i="7"/>
  <c r="N1317" i="7"/>
  <c r="N1318" i="7"/>
  <c r="N1319" i="7"/>
  <c r="N1320" i="7"/>
  <c r="N1321" i="7"/>
  <c r="N1322" i="7"/>
  <c r="N1323" i="7"/>
  <c r="N1324" i="7"/>
  <c r="N1325" i="7"/>
  <c r="N1326" i="7"/>
  <c r="N1327" i="7"/>
  <c r="N1328" i="7"/>
  <c r="N1329" i="7"/>
  <c r="N1330" i="7"/>
  <c r="N1331" i="7"/>
  <c r="N1332" i="7"/>
  <c r="N1333" i="7"/>
  <c r="N1334" i="7"/>
  <c r="N1335" i="7"/>
  <c r="N1336" i="7"/>
  <c r="N1337" i="7"/>
  <c r="N1338" i="7"/>
  <c r="N1339" i="7"/>
  <c r="N1340" i="7"/>
  <c r="N1341" i="7"/>
  <c r="N1342" i="7"/>
  <c r="N1343" i="7"/>
  <c r="N1344" i="7"/>
  <c r="N1345" i="7"/>
  <c r="N1346" i="7"/>
  <c r="N1347" i="7"/>
  <c r="N1348" i="7"/>
  <c r="N1349" i="7"/>
  <c r="N1350" i="7"/>
  <c r="N1351" i="7"/>
  <c r="N1352" i="7"/>
  <c r="N1353" i="7"/>
  <c r="N1354" i="7"/>
  <c r="N1355" i="7"/>
  <c r="N1356" i="7"/>
  <c r="N1357" i="7"/>
  <c r="N1358" i="7"/>
  <c r="N1359" i="7"/>
  <c r="N1360" i="7"/>
  <c r="N1361" i="7"/>
  <c r="N1362" i="7"/>
  <c r="N1363" i="7"/>
  <c r="N1364" i="7"/>
  <c r="N1365" i="7"/>
  <c r="N1366" i="7"/>
  <c r="N1367" i="7"/>
  <c r="N1368" i="7"/>
  <c r="N1369" i="7"/>
  <c r="N1370" i="7"/>
  <c r="N1371" i="7"/>
  <c r="N1372" i="7"/>
  <c r="N1373" i="7"/>
  <c r="N1374" i="7"/>
  <c r="N1375" i="7"/>
  <c r="N1376" i="7"/>
  <c r="N1377" i="7"/>
  <c r="N1378" i="7"/>
  <c r="N1379" i="7"/>
  <c r="N1380" i="7"/>
  <c r="N1381" i="7"/>
  <c r="N1382" i="7"/>
  <c r="N1383" i="7"/>
  <c r="N1384" i="7"/>
  <c r="N1385" i="7"/>
  <c r="N1386" i="7"/>
  <c r="N1387" i="7"/>
  <c r="N1388" i="7"/>
  <c r="N1389" i="7"/>
  <c r="N1390" i="7"/>
  <c r="N1391" i="7"/>
  <c r="N1392" i="7"/>
  <c r="N1393" i="7"/>
  <c r="N1394" i="7"/>
  <c r="N1395" i="7"/>
  <c r="N1396" i="7"/>
  <c r="N1397" i="7"/>
  <c r="N1398" i="7"/>
  <c r="N1399" i="7"/>
  <c r="N1400" i="7"/>
  <c r="N1401" i="7"/>
  <c r="N1402" i="7"/>
  <c r="N1403" i="7"/>
  <c r="N1404" i="7"/>
  <c r="N1405" i="7"/>
  <c r="N1406" i="7"/>
  <c r="N1407" i="7"/>
  <c r="N1408" i="7"/>
  <c r="N1409" i="7"/>
  <c r="N1410" i="7"/>
  <c r="N1411" i="7"/>
  <c r="N1412" i="7"/>
  <c r="N1413" i="7"/>
  <c r="N1414" i="7"/>
  <c r="N1415" i="7"/>
  <c r="N1416" i="7"/>
  <c r="N1417" i="7"/>
  <c r="N1418" i="7"/>
  <c r="N1419" i="7"/>
  <c r="N1420" i="7"/>
  <c r="N1421" i="7"/>
  <c r="N1422" i="7"/>
  <c r="N1423" i="7"/>
  <c r="N1424" i="7"/>
  <c r="N1425" i="7"/>
  <c r="N1426" i="7"/>
  <c r="N1427" i="7"/>
  <c r="N1428" i="7"/>
  <c r="N1429" i="7"/>
  <c r="N1430" i="7"/>
  <c r="N1431" i="7"/>
  <c r="N1432" i="7"/>
  <c r="N1433" i="7"/>
  <c r="N1434" i="7"/>
  <c r="N1435" i="7"/>
  <c r="N1436" i="7"/>
  <c r="N1437" i="7"/>
  <c r="N1438" i="7"/>
  <c r="N1439" i="7"/>
  <c r="N1440" i="7"/>
  <c r="N1441" i="7"/>
  <c r="N1442" i="7"/>
  <c r="N1443" i="7"/>
  <c r="N1444" i="7"/>
  <c r="N1445" i="7"/>
  <c r="N1446" i="7"/>
  <c r="N1447" i="7"/>
  <c r="N1448" i="7"/>
  <c r="N1449" i="7"/>
  <c r="N1450" i="7"/>
  <c r="N1451" i="7"/>
  <c r="N1452" i="7"/>
  <c r="N1453" i="7"/>
  <c r="N1454" i="7"/>
  <c r="N1455" i="7"/>
  <c r="N1456" i="7"/>
  <c r="N1457" i="7"/>
  <c r="N1458" i="7"/>
  <c r="N1459" i="7"/>
  <c r="N1460" i="7"/>
  <c r="N1461" i="7"/>
  <c r="N1462" i="7"/>
  <c r="N1463" i="7"/>
  <c r="N1464" i="7"/>
  <c r="N1465" i="7"/>
  <c r="N1466" i="7"/>
  <c r="N1467" i="7"/>
  <c r="N1468" i="7"/>
  <c r="N1469" i="7"/>
  <c r="N1470" i="7"/>
  <c r="N1471" i="7"/>
  <c r="N1472" i="7"/>
  <c r="N1473" i="7"/>
  <c r="N1474" i="7"/>
  <c r="N1475" i="7"/>
  <c r="N1476" i="7"/>
  <c r="N1477" i="7"/>
  <c r="N1478" i="7"/>
  <c r="N1479" i="7"/>
  <c r="N1480" i="7"/>
  <c r="N1481" i="7"/>
  <c r="N1482" i="7"/>
  <c r="N1483" i="7"/>
  <c r="N1484" i="7"/>
  <c r="N1485" i="7"/>
  <c r="N1486" i="7"/>
  <c r="N1487" i="7"/>
  <c r="N1488" i="7"/>
  <c r="N1489" i="7"/>
  <c r="N1490" i="7"/>
  <c r="N1491" i="7"/>
  <c r="N1492" i="7"/>
  <c r="N1493" i="7"/>
  <c r="N1494" i="7"/>
  <c r="N1495" i="7"/>
  <c r="N1496" i="7"/>
  <c r="N1497" i="7"/>
  <c r="N1498" i="7"/>
  <c r="N1499" i="7"/>
  <c r="N1500" i="7"/>
  <c r="N1501" i="7"/>
  <c r="N1502" i="7"/>
  <c r="N1503" i="7"/>
  <c r="N1504" i="7"/>
  <c r="N1505" i="7"/>
  <c r="N1506" i="7"/>
  <c r="N1507" i="7"/>
  <c r="N1508" i="7"/>
  <c r="N1509" i="7"/>
  <c r="N1510" i="7"/>
  <c r="N1511" i="7"/>
  <c r="N1512" i="7"/>
  <c r="N1513" i="7"/>
  <c r="N1514" i="7"/>
  <c r="N1515" i="7"/>
  <c r="N1516" i="7"/>
  <c r="N1517" i="7"/>
  <c r="N1518" i="7"/>
  <c r="N1519" i="7"/>
  <c r="N1520" i="7"/>
  <c r="N1521" i="7"/>
  <c r="N1522" i="7"/>
  <c r="N1523" i="7"/>
  <c r="N1524" i="7"/>
  <c r="N1525" i="7"/>
  <c r="N1526" i="7"/>
  <c r="N1527" i="7"/>
  <c r="N1528" i="7"/>
  <c r="N1529" i="7"/>
  <c r="N1530" i="7"/>
  <c r="N1531" i="7"/>
  <c r="N1532" i="7"/>
  <c r="N1533" i="7"/>
  <c r="N1534" i="7"/>
  <c r="N1535" i="7"/>
  <c r="N1536" i="7"/>
  <c r="N1537" i="7"/>
  <c r="N1538" i="7"/>
  <c r="N1539" i="7"/>
  <c r="N1540" i="7"/>
  <c r="N1541" i="7"/>
  <c r="N1542" i="7"/>
  <c r="N1543" i="7"/>
  <c r="N1544" i="7"/>
  <c r="N1545" i="7"/>
  <c r="N1546" i="7"/>
  <c r="N1547" i="7"/>
  <c r="N1548" i="7"/>
  <c r="N1549" i="7"/>
  <c r="N1550" i="7"/>
  <c r="N1551" i="7"/>
  <c r="N1552" i="7"/>
  <c r="N1553" i="7"/>
  <c r="N1554" i="7"/>
  <c r="N1555" i="7"/>
  <c r="N1556" i="7"/>
  <c r="N1557" i="7"/>
  <c r="N1558" i="7"/>
  <c r="N1559" i="7"/>
  <c r="N1560" i="7"/>
  <c r="N1561" i="7"/>
  <c r="N1562" i="7"/>
  <c r="N1563" i="7"/>
  <c r="N1564" i="7"/>
  <c r="N1565" i="7"/>
  <c r="N1566" i="7"/>
  <c r="N1567" i="7"/>
  <c r="N1568" i="7"/>
  <c r="N1569" i="7"/>
  <c r="N1570" i="7"/>
  <c r="N1571" i="7"/>
  <c r="N1572" i="7"/>
  <c r="N1573" i="7"/>
  <c r="N1574" i="7"/>
  <c r="N1575" i="7"/>
  <c r="N1576" i="7"/>
  <c r="N1577" i="7"/>
  <c r="N1578" i="7"/>
  <c r="N1579" i="7"/>
  <c r="N1580" i="7"/>
  <c r="N1581" i="7"/>
  <c r="N1582" i="7"/>
  <c r="N1583" i="7"/>
  <c r="N1584" i="7"/>
  <c r="N1585" i="7"/>
  <c r="N1586" i="7"/>
  <c r="N1587" i="7"/>
  <c r="N1588" i="7"/>
  <c r="N1589" i="7"/>
  <c r="N1590" i="7"/>
  <c r="N1591" i="7"/>
  <c r="N1592" i="7"/>
  <c r="N1593" i="7"/>
  <c r="N1594" i="7"/>
  <c r="N1595" i="7"/>
  <c r="N1596" i="7"/>
  <c r="N1597" i="7"/>
  <c r="N1598" i="7"/>
  <c r="N1599" i="7"/>
  <c r="N1600" i="7"/>
  <c r="N1601" i="7"/>
  <c r="N1602" i="7"/>
  <c r="N1603" i="7"/>
  <c r="N1604" i="7"/>
  <c r="N1605" i="7"/>
  <c r="N1606" i="7"/>
  <c r="N1607" i="7"/>
  <c r="N1608" i="7"/>
  <c r="N1609" i="7"/>
  <c r="N1610" i="7"/>
  <c r="N1611" i="7"/>
  <c r="N1612" i="7"/>
  <c r="N1613" i="7"/>
  <c r="N1614" i="7"/>
  <c r="N1615" i="7"/>
  <c r="N1616" i="7"/>
  <c r="N1617" i="7"/>
  <c r="N1618" i="7"/>
  <c r="N1619" i="7"/>
  <c r="N1620" i="7"/>
  <c r="N1621" i="7"/>
  <c r="N1622" i="7"/>
  <c r="N1623" i="7"/>
  <c r="N1624" i="7"/>
  <c r="N1625" i="7"/>
  <c r="N1626" i="7"/>
  <c r="N1627" i="7"/>
  <c r="N1628" i="7"/>
  <c r="N1629" i="7"/>
  <c r="N1630" i="7"/>
  <c r="N1631" i="7"/>
  <c r="N1632" i="7"/>
  <c r="N1633" i="7"/>
  <c r="N1634" i="7"/>
  <c r="N1635" i="7"/>
  <c r="N1636" i="7"/>
  <c r="N1637" i="7"/>
  <c r="N1638" i="7"/>
  <c r="N1639" i="7"/>
  <c r="N1640" i="7"/>
  <c r="N1641" i="7"/>
  <c r="N1642" i="7"/>
  <c r="N1643" i="7"/>
  <c r="N1644" i="7"/>
  <c r="N1645" i="7"/>
  <c r="N1646" i="7"/>
  <c r="N1647" i="7"/>
  <c r="N1648" i="7"/>
  <c r="N1649" i="7"/>
  <c r="N1650" i="7"/>
  <c r="N1651" i="7"/>
  <c r="N1652" i="7"/>
  <c r="N1653" i="7"/>
  <c r="N1654" i="7"/>
  <c r="N1655" i="7"/>
  <c r="N1656" i="7"/>
  <c r="N1657" i="7"/>
  <c r="N1658" i="7"/>
  <c r="N1659" i="7"/>
  <c r="N1660" i="7"/>
  <c r="N1661" i="7"/>
  <c r="N1662" i="7"/>
  <c r="N1663" i="7"/>
  <c r="N1664" i="7"/>
  <c r="N1665" i="7"/>
  <c r="N1666" i="7"/>
  <c r="N1667" i="7"/>
  <c r="N1668" i="7"/>
  <c r="N1669" i="7"/>
  <c r="N1670" i="7"/>
  <c r="N1671" i="7"/>
  <c r="N1672" i="7"/>
  <c r="N1673" i="7"/>
  <c r="N1674" i="7"/>
  <c r="N1675" i="7"/>
  <c r="N1676" i="7"/>
  <c r="N1677" i="7"/>
  <c r="N1678" i="7"/>
  <c r="N1679" i="7"/>
  <c r="N1680" i="7"/>
  <c r="N1681" i="7"/>
  <c r="N1682" i="7"/>
  <c r="N1683" i="7"/>
  <c r="N1684" i="7"/>
  <c r="N1685" i="7"/>
  <c r="N1686" i="7"/>
  <c r="N1687" i="7"/>
  <c r="N1688" i="7"/>
  <c r="N1689" i="7"/>
  <c r="N1690" i="7"/>
  <c r="N1691" i="7"/>
  <c r="N1692" i="7"/>
  <c r="N1693" i="7"/>
  <c r="N1694" i="7"/>
  <c r="N1695" i="7"/>
  <c r="N1696" i="7"/>
  <c r="N1697" i="7"/>
  <c r="N1698" i="7"/>
  <c r="N1699" i="7"/>
  <c r="N1700" i="7"/>
  <c r="N1701" i="7"/>
  <c r="N1702" i="7"/>
  <c r="N1703" i="7"/>
  <c r="N1704" i="7"/>
  <c r="N1705" i="7"/>
  <c r="N1706" i="7"/>
  <c r="N1707" i="7"/>
  <c r="N1708" i="7"/>
  <c r="N1709" i="7"/>
  <c r="N1710" i="7"/>
  <c r="N1711" i="7"/>
  <c r="N1712" i="7"/>
  <c r="N1713" i="7"/>
  <c r="N1714" i="7"/>
  <c r="N1715" i="7"/>
  <c r="N1716" i="7"/>
  <c r="N1717" i="7"/>
  <c r="N1718" i="7"/>
  <c r="N1719" i="7"/>
  <c r="N1720" i="7"/>
  <c r="N1721" i="7"/>
  <c r="N1722" i="7"/>
  <c r="N1723" i="7"/>
  <c r="N1724" i="7"/>
  <c r="N1725" i="7"/>
  <c r="N1726" i="7"/>
  <c r="N1727" i="7"/>
  <c r="N1728" i="7"/>
  <c r="N1729" i="7"/>
  <c r="N1730" i="7"/>
  <c r="N1731" i="7"/>
  <c r="N1732" i="7"/>
  <c r="N1733" i="7"/>
  <c r="N1734" i="7"/>
  <c r="N1735" i="7"/>
  <c r="N1736" i="7"/>
  <c r="N1737" i="7"/>
  <c r="N1738" i="7"/>
  <c r="N1739" i="7"/>
  <c r="N1740" i="7"/>
  <c r="N1741" i="7"/>
  <c r="N1742" i="7"/>
  <c r="N1743" i="7"/>
  <c r="N1744" i="7"/>
  <c r="N1745" i="7"/>
  <c r="N1746" i="7"/>
  <c r="N1747" i="7"/>
  <c r="N1748" i="7"/>
  <c r="N1749" i="7"/>
  <c r="N1750" i="7"/>
  <c r="N1751" i="7"/>
  <c r="N1752" i="7"/>
  <c r="N1753" i="7"/>
  <c r="N1754" i="7"/>
  <c r="N1755" i="7"/>
  <c r="N1756" i="7"/>
  <c r="N1757" i="7"/>
  <c r="N1758" i="7"/>
  <c r="N1759" i="7"/>
  <c r="N1760" i="7"/>
  <c r="N1761" i="7"/>
  <c r="N1762" i="7"/>
  <c r="N1763" i="7"/>
  <c r="N1764" i="7"/>
  <c r="N1765" i="7"/>
  <c r="N1766" i="7"/>
  <c r="N1767" i="7"/>
  <c r="N1768" i="7"/>
  <c r="N1769" i="7"/>
  <c r="N1770" i="7"/>
  <c r="N1771" i="7"/>
  <c r="N1772" i="7"/>
  <c r="N1773" i="7"/>
  <c r="N1774" i="7"/>
  <c r="N1775" i="7"/>
  <c r="N1776" i="7"/>
  <c r="N1777" i="7"/>
  <c r="N1778" i="7"/>
  <c r="N1779" i="7"/>
  <c r="N1780" i="7"/>
  <c r="N1781" i="7"/>
  <c r="N1782" i="7"/>
  <c r="N1783" i="7"/>
  <c r="N1784" i="7"/>
  <c r="N1785" i="7"/>
  <c r="N1786" i="7"/>
  <c r="N1787" i="7"/>
  <c r="N1788" i="7"/>
  <c r="N1789" i="7"/>
  <c r="N1790" i="7"/>
  <c r="N1791" i="7"/>
  <c r="N1792" i="7"/>
  <c r="N1793" i="7"/>
  <c r="N1794" i="7"/>
  <c r="N1795" i="7"/>
  <c r="N1796" i="7"/>
  <c r="N1797" i="7"/>
  <c r="N1798" i="7"/>
  <c r="N1799" i="7"/>
  <c r="N1800" i="7"/>
  <c r="N1801" i="7"/>
  <c r="N1802" i="7"/>
  <c r="N1803" i="7"/>
  <c r="N1804" i="7"/>
  <c r="N1805" i="7"/>
  <c r="N1806" i="7"/>
  <c r="N1807" i="7"/>
  <c r="N1808" i="7"/>
  <c r="N1809" i="7"/>
  <c r="N1810" i="7"/>
  <c r="N1811" i="7"/>
  <c r="N1812" i="7"/>
  <c r="N1813" i="7"/>
  <c r="N1814" i="7"/>
  <c r="N1815" i="7"/>
  <c r="N1816" i="7"/>
  <c r="N1817" i="7"/>
  <c r="N1818" i="7"/>
  <c r="N1819" i="7"/>
  <c r="N1820" i="7"/>
  <c r="N1821" i="7"/>
  <c r="N1822" i="7"/>
  <c r="N1823" i="7"/>
  <c r="N1824" i="7"/>
  <c r="N1825" i="7"/>
  <c r="N1826" i="7"/>
  <c r="N1827" i="7"/>
  <c r="N1828" i="7"/>
  <c r="N1829" i="7"/>
  <c r="N1830" i="7"/>
  <c r="N1831" i="7"/>
  <c r="N1832" i="7"/>
  <c r="N1833" i="7"/>
  <c r="N1834" i="7"/>
  <c r="N1835" i="7"/>
  <c r="N1836" i="7"/>
  <c r="N1837" i="7"/>
  <c r="N1838" i="7"/>
  <c r="N1839" i="7"/>
  <c r="N1840" i="7"/>
  <c r="N1841" i="7"/>
  <c r="N1842" i="7"/>
  <c r="N1843" i="7"/>
  <c r="N1844" i="7"/>
  <c r="N1845" i="7"/>
  <c r="N1846" i="7"/>
  <c r="N1847" i="7"/>
  <c r="N1848" i="7"/>
  <c r="N1849" i="7"/>
  <c r="N1850" i="7"/>
  <c r="N1851" i="7"/>
  <c r="N1852" i="7"/>
  <c r="N1853" i="7"/>
  <c r="N1854" i="7"/>
  <c r="N1855" i="7"/>
  <c r="N1856" i="7"/>
  <c r="N1857" i="7"/>
  <c r="N1858" i="7"/>
  <c r="N1859" i="7"/>
  <c r="N1860" i="7"/>
  <c r="N1861" i="7"/>
  <c r="N1862" i="7"/>
  <c r="N1863" i="7"/>
  <c r="N1864" i="7"/>
  <c r="N1865" i="7"/>
  <c r="N1866" i="7"/>
  <c r="N1867" i="7"/>
  <c r="N1868" i="7"/>
  <c r="N1869" i="7"/>
  <c r="N1870" i="7"/>
  <c r="N1871" i="7"/>
  <c r="N1872" i="7"/>
  <c r="N1873" i="7"/>
  <c r="N1874" i="7"/>
  <c r="N1875" i="7"/>
  <c r="N1876" i="7"/>
  <c r="N1877" i="7"/>
  <c r="N1878" i="7"/>
  <c r="N1879" i="7"/>
  <c r="N1880" i="7"/>
  <c r="N1881" i="7"/>
  <c r="N1882" i="7"/>
  <c r="N1883" i="7"/>
  <c r="N1884" i="7"/>
  <c r="N1885" i="7"/>
  <c r="N1886" i="7"/>
  <c r="N1887" i="7"/>
  <c r="N1888" i="7"/>
  <c r="N1889" i="7"/>
  <c r="N1890" i="7"/>
  <c r="N1891" i="7"/>
  <c r="N1892" i="7"/>
  <c r="N1893" i="7"/>
  <c r="N1894" i="7"/>
  <c r="N1895" i="7"/>
  <c r="N1896" i="7"/>
  <c r="N1897" i="7"/>
  <c r="N1898" i="7"/>
  <c r="N1899" i="7"/>
  <c r="N1900" i="7"/>
  <c r="N1901" i="7"/>
  <c r="N1902" i="7"/>
  <c r="N1903" i="7"/>
  <c r="N1904" i="7"/>
  <c r="N1905" i="7"/>
  <c r="N1906" i="7"/>
  <c r="N1907" i="7"/>
  <c r="N1908" i="7"/>
  <c r="N1909" i="7"/>
  <c r="N1910" i="7"/>
  <c r="N1911" i="7"/>
  <c r="N1912" i="7"/>
  <c r="N1913" i="7"/>
  <c r="N1914" i="7"/>
  <c r="N1915" i="7"/>
  <c r="N1916" i="7"/>
  <c r="N1917" i="7"/>
  <c r="N1918" i="7"/>
  <c r="N1919" i="7"/>
  <c r="N1920" i="7"/>
  <c r="N1921" i="7"/>
  <c r="N1922" i="7"/>
  <c r="N1923" i="7"/>
  <c r="N1924" i="7"/>
  <c r="N1925" i="7"/>
  <c r="N1926" i="7"/>
  <c r="N1927" i="7"/>
  <c r="N1928" i="7"/>
  <c r="N1929" i="7"/>
  <c r="N1930" i="7"/>
  <c r="N1931" i="7"/>
  <c r="N1932" i="7"/>
  <c r="N1933" i="7"/>
  <c r="N1934" i="7"/>
  <c r="N1935" i="7"/>
  <c r="N1936" i="7"/>
  <c r="N1937" i="7"/>
  <c r="N1938" i="7"/>
  <c r="N1939" i="7"/>
  <c r="N1940" i="7"/>
  <c r="N1941" i="7"/>
  <c r="N1942" i="7"/>
  <c r="N1943" i="7"/>
  <c r="N1944" i="7"/>
  <c r="N1945" i="7"/>
  <c r="N1946" i="7"/>
  <c r="N1947" i="7"/>
  <c r="N1948" i="7"/>
  <c r="N1949" i="7"/>
  <c r="N1950" i="7"/>
  <c r="N1951" i="7"/>
  <c r="N1952" i="7"/>
  <c r="N1953" i="7"/>
  <c r="N1954" i="7"/>
  <c r="N1955" i="7"/>
  <c r="N1956" i="7"/>
  <c r="N1957" i="7"/>
  <c r="N1958" i="7"/>
  <c r="N1959" i="7"/>
  <c r="N1960" i="7"/>
  <c r="N1961" i="7"/>
  <c r="N1962" i="7"/>
  <c r="N1963" i="7"/>
  <c r="N1964" i="7"/>
  <c r="N1965" i="7"/>
  <c r="N1966" i="7"/>
  <c r="N1967" i="7"/>
  <c r="N1968" i="7"/>
  <c r="N1969" i="7"/>
  <c r="N1970" i="7"/>
  <c r="N1971" i="7"/>
  <c r="N1972" i="7"/>
  <c r="N1973" i="7"/>
  <c r="N1974" i="7"/>
  <c r="N1975" i="7"/>
  <c r="N1976" i="7"/>
  <c r="N1977" i="7"/>
  <c r="N1978" i="7"/>
  <c r="N1979" i="7"/>
  <c r="N1980" i="7"/>
  <c r="N1981" i="7"/>
  <c r="N1982" i="7"/>
  <c r="N1983" i="7"/>
  <c r="N1984" i="7"/>
  <c r="N1985" i="7"/>
  <c r="N1986" i="7"/>
  <c r="N1987" i="7"/>
  <c r="N1988" i="7"/>
  <c r="N1989" i="7"/>
  <c r="N1990" i="7"/>
  <c r="N1991" i="7"/>
  <c r="N1992" i="7"/>
  <c r="N1993" i="7"/>
  <c r="N1994" i="7"/>
  <c r="N1995" i="7"/>
  <c r="N1996" i="7"/>
  <c r="N1997" i="7"/>
  <c r="N1998" i="7"/>
  <c r="N1999" i="7"/>
  <c r="N2000" i="7"/>
  <c r="N2001" i="7"/>
  <c r="N2002" i="7"/>
  <c r="N2003" i="7"/>
  <c r="N2004" i="7"/>
  <c r="N2005" i="7"/>
  <c r="N2006" i="7"/>
  <c r="N2007" i="7"/>
  <c r="N2008" i="7"/>
  <c r="N2009" i="7"/>
  <c r="N2010" i="7"/>
  <c r="N2011" i="7"/>
  <c r="N2012" i="7"/>
  <c r="N2013" i="7"/>
  <c r="N2014" i="7"/>
  <c r="N2015" i="7"/>
  <c r="N2016" i="7"/>
  <c r="N2017" i="7"/>
  <c r="N2018" i="7"/>
  <c r="N2019" i="7"/>
  <c r="N2020" i="7"/>
  <c r="N2021" i="7"/>
  <c r="N2022" i="7"/>
  <c r="N2023" i="7"/>
  <c r="N2024" i="7"/>
  <c r="N2025" i="7"/>
  <c r="N2026" i="7"/>
  <c r="N2027" i="7"/>
  <c r="N2028" i="7"/>
  <c r="N2029" i="7"/>
  <c r="N2030" i="7"/>
  <c r="N2031" i="7"/>
  <c r="N2032" i="7"/>
  <c r="N2033" i="7"/>
  <c r="N2034" i="7"/>
  <c r="N2035" i="7"/>
  <c r="N2036" i="7"/>
  <c r="N2037" i="7"/>
  <c r="N2038" i="7"/>
  <c r="N2039" i="7"/>
  <c r="N2040" i="7"/>
  <c r="N2041" i="7"/>
  <c r="N2042" i="7"/>
  <c r="N2043" i="7"/>
  <c r="N2044" i="7"/>
  <c r="N2045" i="7"/>
  <c r="N2046" i="7"/>
  <c r="N2047" i="7"/>
  <c r="N2048" i="7"/>
  <c r="N2049" i="7"/>
  <c r="N2050" i="7"/>
  <c r="N2051" i="7"/>
  <c r="N2052" i="7"/>
  <c r="N2053" i="7"/>
  <c r="N2054" i="7"/>
  <c r="N2055" i="7"/>
  <c r="N2056" i="7"/>
  <c r="N2057" i="7"/>
  <c r="N2058" i="7"/>
  <c r="N2059" i="7"/>
  <c r="N2060" i="7"/>
  <c r="N2061" i="7"/>
  <c r="N2062" i="7"/>
  <c r="N2063" i="7"/>
  <c r="N2064" i="7"/>
  <c r="N2065" i="7"/>
  <c r="N2066" i="7"/>
  <c r="N2067" i="7"/>
  <c r="N2068" i="7"/>
  <c r="N2069" i="7"/>
  <c r="N2070" i="7"/>
  <c r="N2071" i="7"/>
  <c r="N2072" i="7"/>
  <c r="N2073" i="7"/>
  <c r="N2074" i="7"/>
  <c r="N2075" i="7"/>
  <c r="N2076" i="7"/>
  <c r="N2077" i="7"/>
  <c r="N2078" i="7"/>
  <c r="N2079" i="7"/>
  <c r="N2080" i="7"/>
  <c r="N2081" i="7"/>
  <c r="N2082" i="7"/>
  <c r="N2083" i="7"/>
  <c r="N2084" i="7"/>
  <c r="N2085" i="7"/>
  <c r="N2086" i="7"/>
  <c r="N2087" i="7"/>
  <c r="N2088" i="7"/>
  <c r="N2089" i="7"/>
  <c r="N2090" i="7"/>
  <c r="N2091" i="7"/>
  <c r="N2092" i="7"/>
  <c r="N2093" i="7"/>
  <c r="N2094" i="7"/>
  <c r="N2095" i="7"/>
  <c r="N2096" i="7"/>
  <c r="N2097" i="7"/>
  <c r="N2098" i="7"/>
  <c r="N2099" i="7"/>
  <c r="N2100" i="7"/>
  <c r="N2101" i="7"/>
  <c r="N2102" i="7"/>
  <c r="N2103" i="7"/>
  <c r="N2104" i="7"/>
  <c r="N2105" i="7"/>
  <c r="N2106" i="7"/>
  <c r="N2107" i="7"/>
  <c r="N2108" i="7"/>
  <c r="N2109" i="7"/>
  <c r="N2110" i="7"/>
  <c r="N2111" i="7"/>
  <c r="N2112" i="7"/>
  <c r="N2113" i="7"/>
  <c r="N2114" i="7"/>
  <c r="N2115" i="7"/>
  <c r="N2116" i="7"/>
  <c r="N2117" i="7"/>
  <c r="N2118" i="7"/>
  <c r="N2119" i="7"/>
  <c r="N2120" i="7"/>
  <c r="N2121" i="7"/>
  <c r="N2122" i="7"/>
  <c r="N2123" i="7"/>
  <c r="N2124" i="7"/>
  <c r="N2125" i="7"/>
  <c r="N2126" i="7"/>
  <c r="N2127" i="7"/>
  <c r="N2128" i="7"/>
  <c r="N2129" i="7"/>
  <c r="N2130" i="7"/>
  <c r="N2131" i="7"/>
  <c r="N2132" i="7"/>
  <c r="N2133" i="7"/>
  <c r="N2134" i="7"/>
  <c r="N2135" i="7"/>
  <c r="N2136" i="7"/>
  <c r="N2137" i="7"/>
  <c r="N2138" i="7"/>
  <c r="N2139" i="7"/>
  <c r="N2140" i="7"/>
  <c r="N2141" i="7"/>
  <c r="N2142" i="7"/>
  <c r="N2143" i="7"/>
  <c r="N2144" i="7"/>
  <c r="N2145" i="7"/>
  <c r="N2146" i="7"/>
  <c r="N2147" i="7"/>
  <c r="N2148" i="7"/>
  <c r="N2149" i="7"/>
  <c r="N2150" i="7"/>
  <c r="N2151" i="7"/>
  <c r="N2152" i="7"/>
  <c r="N2153" i="7"/>
  <c r="N2154" i="7"/>
  <c r="N2155" i="7"/>
  <c r="N2156" i="7"/>
  <c r="N2157" i="7"/>
  <c r="N2158" i="7"/>
  <c r="N2159" i="7"/>
  <c r="N2160" i="7"/>
  <c r="N2161" i="7"/>
  <c r="N2162" i="7"/>
  <c r="N2163" i="7"/>
  <c r="N2164" i="7"/>
  <c r="N2165" i="7"/>
  <c r="N2166" i="7"/>
  <c r="N2167" i="7"/>
  <c r="N2168" i="7"/>
  <c r="N2169" i="7"/>
  <c r="N2170" i="7"/>
  <c r="N2171" i="7"/>
  <c r="N2172" i="7"/>
  <c r="N2173" i="7"/>
  <c r="N2174" i="7"/>
  <c r="N2175" i="7"/>
  <c r="N2176" i="7"/>
  <c r="N2177" i="7"/>
  <c r="N2178" i="7"/>
  <c r="N2179" i="7"/>
  <c r="N2180" i="7"/>
  <c r="N2181" i="7"/>
  <c r="N2182" i="7"/>
  <c r="N2183" i="7"/>
  <c r="N2184" i="7"/>
  <c r="N2185" i="7"/>
  <c r="N2186" i="7"/>
  <c r="N2187" i="7"/>
  <c r="N2188" i="7"/>
  <c r="N2189" i="7"/>
  <c r="N2190" i="7"/>
  <c r="N2191" i="7"/>
  <c r="N2192" i="7"/>
  <c r="N2193" i="7"/>
  <c r="N2194" i="7"/>
  <c r="N2195" i="7"/>
  <c r="N2196" i="7"/>
  <c r="N2197" i="7"/>
  <c r="N2198" i="7"/>
  <c r="N2199" i="7"/>
  <c r="N2200" i="7"/>
  <c r="N2201" i="7"/>
  <c r="N2202" i="7"/>
  <c r="N2203" i="7"/>
  <c r="N2204" i="7"/>
  <c r="N2205" i="7"/>
  <c r="N2206" i="7"/>
  <c r="N2207" i="7"/>
  <c r="N2208" i="7"/>
  <c r="N2209" i="7"/>
  <c r="N2210" i="7"/>
  <c r="N2211" i="7"/>
  <c r="N2212" i="7"/>
  <c r="N2213" i="7"/>
  <c r="N2214" i="7"/>
  <c r="N2215" i="7"/>
  <c r="N2216" i="7"/>
  <c r="N2217" i="7"/>
  <c r="N2218" i="7"/>
  <c r="N2219" i="7"/>
  <c r="N2220" i="7"/>
  <c r="N2221" i="7"/>
  <c r="N2222" i="7"/>
  <c r="N2223" i="7"/>
  <c r="N2224" i="7"/>
  <c r="N2225" i="7"/>
  <c r="N2226" i="7"/>
  <c r="N2227" i="7"/>
  <c r="N2228" i="7"/>
  <c r="N2229" i="7"/>
  <c r="N2230" i="7"/>
  <c r="N2231" i="7"/>
  <c r="N2232" i="7"/>
  <c r="N2233" i="7"/>
  <c r="N2234" i="7"/>
  <c r="N2235" i="7"/>
  <c r="N2236" i="7"/>
  <c r="N2237" i="7"/>
  <c r="N2238" i="7"/>
  <c r="N2239" i="7"/>
  <c r="N2240" i="7"/>
  <c r="N2241" i="7"/>
  <c r="N2242" i="7"/>
  <c r="N2243" i="7"/>
  <c r="N2244" i="7"/>
  <c r="N2245" i="7"/>
  <c r="N2246" i="7"/>
  <c r="N2247" i="7"/>
  <c r="N2248" i="7"/>
  <c r="N2249" i="7"/>
  <c r="N2250" i="7"/>
  <c r="N2251" i="7"/>
  <c r="N2252" i="7"/>
  <c r="N2253" i="7"/>
  <c r="N2254" i="7"/>
  <c r="N2255" i="7"/>
  <c r="N2256" i="7"/>
  <c r="N2257" i="7"/>
  <c r="N2258" i="7"/>
  <c r="N2259" i="7"/>
  <c r="N2260" i="7"/>
  <c r="N2261" i="7"/>
  <c r="N2262" i="7"/>
  <c r="N2263" i="7"/>
  <c r="N2264" i="7"/>
  <c r="N2265" i="7"/>
  <c r="N2266" i="7"/>
  <c r="N2267" i="7"/>
  <c r="N2268" i="7"/>
  <c r="N2269" i="7"/>
  <c r="N2270" i="7"/>
  <c r="N2271" i="7"/>
  <c r="N2272" i="7"/>
  <c r="N2273" i="7"/>
  <c r="N2274" i="7"/>
  <c r="N2275" i="7"/>
  <c r="N2276" i="7"/>
  <c r="N2277" i="7"/>
  <c r="N2278" i="7"/>
  <c r="N2279" i="7"/>
  <c r="N2280" i="7"/>
  <c r="N2281" i="7"/>
  <c r="N2282" i="7"/>
  <c r="N2283" i="7"/>
  <c r="N2284" i="7"/>
  <c r="N2285" i="7"/>
  <c r="N2286" i="7"/>
  <c r="N2287" i="7"/>
  <c r="N2288" i="7"/>
  <c r="N2289" i="7"/>
  <c r="N2290" i="7"/>
  <c r="N2291" i="7"/>
  <c r="N2292" i="7"/>
  <c r="N2293" i="7"/>
  <c r="N2294" i="7"/>
  <c r="N2295" i="7"/>
  <c r="N2296" i="7"/>
  <c r="N2297" i="7"/>
  <c r="N2298" i="7"/>
  <c r="N2299" i="7"/>
  <c r="N2300" i="7"/>
  <c r="N2301" i="7"/>
  <c r="N2302" i="7"/>
  <c r="N2303" i="7"/>
  <c r="N2304" i="7"/>
  <c r="N2305" i="7"/>
  <c r="N2306" i="7"/>
  <c r="N2307" i="7"/>
  <c r="N2308" i="7"/>
  <c r="N2309" i="7"/>
  <c r="N2310" i="7"/>
  <c r="N2311" i="7"/>
  <c r="N2312" i="7"/>
  <c r="N2313" i="7"/>
  <c r="N2314" i="7"/>
  <c r="N2315" i="7"/>
  <c r="N2316" i="7"/>
  <c r="N2317" i="7"/>
  <c r="N2318" i="7"/>
  <c r="N2319" i="7"/>
  <c r="N2320" i="7"/>
  <c r="N2321" i="7"/>
  <c r="N2322" i="7"/>
  <c r="N2323" i="7"/>
  <c r="N2324" i="7"/>
  <c r="N2325" i="7"/>
  <c r="N2326" i="7"/>
  <c r="N2327" i="7"/>
  <c r="N2328" i="7"/>
  <c r="N2329" i="7"/>
  <c r="N2330" i="7"/>
  <c r="N2331" i="7"/>
  <c r="N2332" i="7"/>
  <c r="N2333" i="7"/>
  <c r="N2334" i="7"/>
  <c r="N2335" i="7"/>
  <c r="N2336" i="7"/>
  <c r="N2337" i="7"/>
  <c r="N2338" i="7"/>
  <c r="N2339" i="7"/>
  <c r="N2340" i="7"/>
  <c r="N2341" i="7"/>
  <c r="N2342" i="7"/>
  <c r="N2343" i="7"/>
  <c r="N2344" i="7"/>
  <c r="N2345" i="7"/>
  <c r="N2346" i="7"/>
  <c r="N2347" i="7"/>
  <c r="N2348" i="7"/>
  <c r="N2349" i="7"/>
  <c r="N2350" i="7"/>
  <c r="N2351" i="7"/>
  <c r="N2352" i="7"/>
  <c r="N2353" i="7"/>
  <c r="N2354" i="7"/>
  <c r="N2355" i="7"/>
  <c r="N2356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2014" i="7"/>
  <c r="M2015" i="7"/>
  <c r="M2016" i="7"/>
  <c r="M2017" i="7"/>
  <c r="M2018" i="7"/>
  <c r="M2019" i="7"/>
  <c r="M2020" i="7"/>
  <c r="M2021" i="7"/>
  <c r="M2022" i="7"/>
  <c r="M2023" i="7"/>
  <c r="M2024" i="7"/>
  <c r="M2025" i="7"/>
  <c r="M2026" i="7"/>
  <c r="M2027" i="7"/>
  <c r="M2028" i="7"/>
  <c r="M2029" i="7"/>
  <c r="M2030" i="7"/>
  <c r="M2031" i="7"/>
  <c r="M2032" i="7"/>
  <c r="M2033" i="7"/>
  <c r="M2034" i="7"/>
  <c r="M2035" i="7"/>
  <c r="M2036" i="7"/>
  <c r="M2037" i="7"/>
  <c r="M2038" i="7"/>
  <c r="M2039" i="7"/>
  <c r="M2040" i="7"/>
  <c r="M2041" i="7"/>
  <c r="M2042" i="7"/>
  <c r="M2043" i="7"/>
  <c r="M2044" i="7"/>
  <c r="M2045" i="7"/>
  <c r="M2046" i="7"/>
  <c r="M2047" i="7"/>
  <c r="M2048" i="7"/>
  <c r="M2049" i="7"/>
  <c r="M2050" i="7"/>
  <c r="M2051" i="7"/>
  <c r="M2052" i="7"/>
  <c r="M2053" i="7"/>
  <c r="M2054" i="7"/>
  <c r="M2055" i="7"/>
  <c r="M2056" i="7"/>
  <c r="M2057" i="7"/>
  <c r="M2058" i="7"/>
  <c r="M2059" i="7"/>
  <c r="M2060" i="7"/>
  <c r="M2061" i="7"/>
  <c r="M2062" i="7"/>
  <c r="M2063" i="7"/>
  <c r="M2064" i="7"/>
  <c r="M2065" i="7"/>
  <c r="M2066" i="7"/>
  <c r="M2067" i="7"/>
  <c r="M2068" i="7"/>
  <c r="M2069" i="7"/>
  <c r="M2070" i="7"/>
  <c r="M2071" i="7"/>
  <c r="M2072" i="7"/>
  <c r="M2073" i="7"/>
  <c r="M2074" i="7"/>
  <c r="M2075" i="7"/>
  <c r="M2076" i="7"/>
  <c r="M2077" i="7"/>
  <c r="M2078" i="7"/>
  <c r="M2079" i="7"/>
  <c r="M2080" i="7"/>
  <c r="M2081" i="7"/>
  <c r="M2082" i="7"/>
  <c r="M2083" i="7"/>
  <c r="M2084" i="7"/>
  <c r="M2085" i="7"/>
  <c r="M2086" i="7"/>
  <c r="M2087" i="7"/>
  <c r="M2088" i="7"/>
  <c r="M2089" i="7"/>
  <c r="M2090" i="7"/>
  <c r="M2091" i="7"/>
  <c r="M2092" i="7"/>
  <c r="M2093" i="7"/>
  <c r="M2094" i="7"/>
  <c r="M2095" i="7"/>
  <c r="M2096" i="7"/>
  <c r="M2097" i="7"/>
  <c r="M2098" i="7"/>
  <c r="M2099" i="7"/>
  <c r="M2100" i="7"/>
  <c r="M2101" i="7"/>
  <c r="M2102" i="7"/>
  <c r="M2103" i="7"/>
  <c r="M2104" i="7"/>
  <c r="M2105" i="7"/>
  <c r="M2106" i="7"/>
  <c r="M2107" i="7"/>
  <c r="M2108" i="7"/>
  <c r="M2109" i="7"/>
  <c r="M2110" i="7"/>
  <c r="M2111" i="7"/>
  <c r="M2112" i="7"/>
  <c r="M2113" i="7"/>
  <c r="M2114" i="7"/>
  <c r="M2115" i="7"/>
  <c r="M2116" i="7"/>
  <c r="M2117" i="7"/>
  <c r="M2118" i="7"/>
  <c r="M2119" i="7"/>
  <c r="M2120" i="7"/>
  <c r="M2121" i="7"/>
  <c r="M2122" i="7"/>
  <c r="M2123" i="7"/>
  <c r="M2124" i="7"/>
  <c r="M2125" i="7"/>
  <c r="M2126" i="7"/>
  <c r="M2127" i="7"/>
  <c r="M2128" i="7"/>
  <c r="M2129" i="7"/>
  <c r="M2130" i="7"/>
  <c r="M2131" i="7"/>
  <c r="M2132" i="7"/>
  <c r="M2133" i="7"/>
  <c r="M2134" i="7"/>
  <c r="M2135" i="7"/>
  <c r="M2136" i="7"/>
  <c r="M2137" i="7"/>
  <c r="M2138" i="7"/>
  <c r="M2139" i="7"/>
  <c r="M2140" i="7"/>
  <c r="M2141" i="7"/>
  <c r="M2142" i="7"/>
  <c r="M2143" i="7"/>
  <c r="M2144" i="7"/>
  <c r="M2145" i="7"/>
  <c r="M2146" i="7"/>
  <c r="M2147" i="7"/>
  <c r="M2148" i="7"/>
  <c r="M2149" i="7"/>
  <c r="M2150" i="7"/>
  <c r="M2151" i="7"/>
  <c r="M2152" i="7"/>
  <c r="M2153" i="7"/>
  <c r="M2154" i="7"/>
  <c r="M2155" i="7"/>
  <c r="M2156" i="7"/>
  <c r="M2157" i="7"/>
  <c r="M2158" i="7"/>
  <c r="M2159" i="7"/>
  <c r="M2160" i="7"/>
  <c r="M2161" i="7"/>
  <c r="M2162" i="7"/>
  <c r="M2163" i="7"/>
  <c r="M2164" i="7"/>
  <c r="M2165" i="7"/>
  <c r="M2166" i="7"/>
  <c r="M2167" i="7"/>
  <c r="M2168" i="7"/>
  <c r="M2169" i="7"/>
  <c r="M2170" i="7"/>
  <c r="M2171" i="7"/>
  <c r="M2172" i="7"/>
  <c r="M2173" i="7"/>
  <c r="M2174" i="7"/>
  <c r="M2175" i="7"/>
  <c r="M2176" i="7"/>
  <c r="M2177" i="7"/>
  <c r="M2178" i="7"/>
  <c r="M2179" i="7"/>
  <c r="M2180" i="7"/>
  <c r="M2181" i="7"/>
  <c r="M2182" i="7"/>
  <c r="M2183" i="7"/>
  <c r="M2184" i="7"/>
  <c r="M2185" i="7"/>
  <c r="M2186" i="7"/>
  <c r="M2187" i="7"/>
  <c r="M2188" i="7"/>
  <c r="M2189" i="7"/>
  <c r="M2190" i="7"/>
  <c r="M2191" i="7"/>
  <c r="M2192" i="7"/>
  <c r="M2193" i="7"/>
  <c r="M2194" i="7"/>
  <c r="M2195" i="7"/>
  <c r="M2196" i="7"/>
  <c r="M2197" i="7"/>
  <c r="M2198" i="7"/>
  <c r="M2199" i="7"/>
  <c r="M2200" i="7"/>
  <c r="M2201" i="7"/>
  <c r="M2202" i="7"/>
  <c r="M2203" i="7"/>
  <c r="M2204" i="7"/>
  <c r="M2205" i="7"/>
  <c r="M2206" i="7"/>
  <c r="M2207" i="7"/>
  <c r="M2208" i="7"/>
  <c r="M2209" i="7"/>
  <c r="M2210" i="7"/>
  <c r="M2211" i="7"/>
  <c r="M2212" i="7"/>
  <c r="M2213" i="7"/>
  <c r="M2214" i="7"/>
  <c r="M2215" i="7"/>
  <c r="M2216" i="7"/>
  <c r="M2217" i="7"/>
  <c r="M2218" i="7"/>
  <c r="M2219" i="7"/>
  <c r="M2220" i="7"/>
  <c r="M2221" i="7"/>
  <c r="M2222" i="7"/>
  <c r="M2223" i="7"/>
  <c r="M2224" i="7"/>
  <c r="M2225" i="7"/>
  <c r="M2226" i="7"/>
  <c r="M2227" i="7"/>
  <c r="M2228" i="7"/>
  <c r="M2229" i="7"/>
  <c r="M2230" i="7"/>
  <c r="M2231" i="7"/>
  <c r="M2232" i="7"/>
  <c r="M2233" i="7"/>
  <c r="M2234" i="7"/>
  <c r="M2235" i="7"/>
  <c r="M2236" i="7"/>
  <c r="M2237" i="7"/>
  <c r="M2238" i="7"/>
  <c r="M2239" i="7"/>
  <c r="M2240" i="7"/>
  <c r="M2241" i="7"/>
  <c r="M2242" i="7"/>
  <c r="M2243" i="7"/>
  <c r="M2244" i="7"/>
  <c r="M2245" i="7"/>
  <c r="M2246" i="7"/>
  <c r="M2247" i="7"/>
  <c r="M2248" i="7"/>
  <c r="M2249" i="7"/>
  <c r="M2250" i="7"/>
  <c r="M2251" i="7"/>
  <c r="M2252" i="7"/>
  <c r="M2253" i="7"/>
  <c r="M2254" i="7"/>
  <c r="M2255" i="7"/>
  <c r="M2256" i="7"/>
  <c r="M2257" i="7"/>
  <c r="M2258" i="7"/>
  <c r="M2259" i="7"/>
  <c r="M2260" i="7"/>
  <c r="M2261" i="7"/>
  <c r="M2262" i="7"/>
  <c r="M2263" i="7"/>
  <c r="M2264" i="7"/>
  <c r="M2265" i="7"/>
  <c r="M2266" i="7"/>
  <c r="M2267" i="7"/>
  <c r="M2268" i="7"/>
  <c r="M2269" i="7"/>
  <c r="M2270" i="7"/>
  <c r="M2271" i="7"/>
  <c r="M2272" i="7"/>
  <c r="M2273" i="7"/>
  <c r="M2274" i="7"/>
  <c r="M2275" i="7"/>
  <c r="M2276" i="7"/>
  <c r="M2277" i="7"/>
  <c r="M2278" i="7"/>
  <c r="M2279" i="7"/>
  <c r="M2280" i="7"/>
  <c r="M2281" i="7"/>
  <c r="M2282" i="7"/>
  <c r="M2283" i="7"/>
  <c r="M2284" i="7"/>
  <c r="M2285" i="7"/>
  <c r="M2286" i="7"/>
  <c r="M2287" i="7"/>
  <c r="M2288" i="7"/>
  <c r="M2289" i="7"/>
  <c r="M2290" i="7"/>
  <c r="M2291" i="7"/>
  <c r="M2292" i="7"/>
  <c r="M2293" i="7"/>
  <c r="M2294" i="7"/>
  <c r="M2295" i="7"/>
  <c r="M2296" i="7"/>
  <c r="M2297" i="7"/>
  <c r="M2298" i="7"/>
  <c r="M2299" i="7"/>
  <c r="M2300" i="7"/>
  <c r="M2301" i="7"/>
  <c r="M2302" i="7"/>
  <c r="M2303" i="7"/>
  <c r="M2304" i="7"/>
  <c r="M2305" i="7"/>
  <c r="M2306" i="7"/>
  <c r="M2307" i="7"/>
  <c r="M2308" i="7"/>
  <c r="M2309" i="7"/>
  <c r="M2310" i="7"/>
  <c r="M2311" i="7"/>
  <c r="M2312" i="7"/>
  <c r="M2313" i="7"/>
  <c r="M2314" i="7"/>
  <c r="M2315" i="7"/>
  <c r="M2316" i="7"/>
  <c r="M2317" i="7"/>
  <c r="M2318" i="7"/>
  <c r="M2319" i="7"/>
  <c r="M2320" i="7"/>
  <c r="M2321" i="7"/>
  <c r="M2322" i="7"/>
  <c r="M2323" i="7"/>
  <c r="M2324" i="7"/>
  <c r="M2325" i="7"/>
  <c r="M2326" i="7"/>
  <c r="M2327" i="7"/>
  <c r="M2328" i="7"/>
  <c r="M2329" i="7"/>
  <c r="M2330" i="7"/>
  <c r="M2331" i="7"/>
  <c r="M2332" i="7"/>
  <c r="M2333" i="7"/>
  <c r="M2334" i="7"/>
  <c r="M2335" i="7"/>
  <c r="M2336" i="7"/>
  <c r="M2337" i="7"/>
  <c r="M2338" i="7"/>
  <c r="M2339" i="7"/>
  <c r="M2340" i="7"/>
  <c r="M2341" i="7"/>
  <c r="M2342" i="7"/>
  <c r="M2343" i="7"/>
  <c r="M2344" i="7"/>
  <c r="M2345" i="7"/>
  <c r="M2346" i="7"/>
  <c r="M2347" i="7"/>
  <c r="M2348" i="7"/>
  <c r="M2349" i="7"/>
  <c r="M2350" i="7"/>
  <c r="M2351" i="7"/>
  <c r="M2352" i="7"/>
  <c r="M2353" i="7"/>
  <c r="M2354" i="7"/>
  <c r="M2355" i="7"/>
  <c r="M2356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025" i="7"/>
  <c r="L1026" i="7"/>
  <c r="L1027" i="7"/>
  <c r="L1028" i="7"/>
  <c r="L1029" i="7"/>
  <c r="L1030" i="7"/>
  <c r="L1031" i="7"/>
  <c r="L1032" i="7"/>
  <c r="L1033" i="7"/>
  <c r="L1034" i="7"/>
  <c r="L1035" i="7"/>
  <c r="L1036" i="7"/>
  <c r="L1037" i="7"/>
  <c r="L1038" i="7"/>
  <c r="L1039" i="7"/>
  <c r="L1040" i="7"/>
  <c r="L1041" i="7"/>
  <c r="L1042" i="7"/>
  <c r="L1043" i="7"/>
  <c r="L1044" i="7"/>
  <c r="L1045" i="7"/>
  <c r="L1046" i="7"/>
  <c r="L1047" i="7"/>
  <c r="L1048" i="7"/>
  <c r="L1049" i="7"/>
  <c r="L1050" i="7"/>
  <c r="L1051" i="7"/>
  <c r="L1052" i="7"/>
  <c r="L1053" i="7"/>
  <c r="L1054" i="7"/>
  <c r="L1055" i="7"/>
  <c r="L1056" i="7"/>
  <c r="L1057" i="7"/>
  <c r="L1058" i="7"/>
  <c r="L1059" i="7"/>
  <c r="L1060" i="7"/>
  <c r="L1061" i="7"/>
  <c r="L1062" i="7"/>
  <c r="L1063" i="7"/>
  <c r="L1064" i="7"/>
  <c r="L1065" i="7"/>
  <c r="L1066" i="7"/>
  <c r="L1067" i="7"/>
  <c r="L1068" i="7"/>
  <c r="L1069" i="7"/>
  <c r="L1070" i="7"/>
  <c r="L1071" i="7"/>
  <c r="L1072" i="7"/>
  <c r="L1073" i="7"/>
  <c r="L1074" i="7"/>
  <c r="L1075" i="7"/>
  <c r="L1076" i="7"/>
  <c r="L1077" i="7"/>
  <c r="L1078" i="7"/>
  <c r="L1079" i="7"/>
  <c r="L1080" i="7"/>
  <c r="L1081" i="7"/>
  <c r="L1082" i="7"/>
  <c r="L1083" i="7"/>
  <c r="L1084" i="7"/>
  <c r="L1085" i="7"/>
  <c r="L1086" i="7"/>
  <c r="L1087" i="7"/>
  <c r="L1088" i="7"/>
  <c r="L1089" i="7"/>
  <c r="L1090" i="7"/>
  <c r="L1091" i="7"/>
  <c r="L1092" i="7"/>
  <c r="L1093" i="7"/>
  <c r="L1094" i="7"/>
  <c r="L1095" i="7"/>
  <c r="L1096" i="7"/>
  <c r="L1097" i="7"/>
  <c r="L1098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113" i="7"/>
  <c r="L1114" i="7"/>
  <c r="L1115" i="7"/>
  <c r="L1116" i="7"/>
  <c r="L1117" i="7"/>
  <c r="L1118" i="7"/>
  <c r="L1119" i="7"/>
  <c r="L1120" i="7"/>
  <c r="L1121" i="7"/>
  <c r="L1122" i="7"/>
  <c r="L1123" i="7"/>
  <c r="L1124" i="7"/>
  <c r="L1125" i="7"/>
  <c r="L1126" i="7"/>
  <c r="L1127" i="7"/>
  <c r="L1128" i="7"/>
  <c r="L1129" i="7"/>
  <c r="L1130" i="7"/>
  <c r="L1131" i="7"/>
  <c r="L1132" i="7"/>
  <c r="L1133" i="7"/>
  <c r="L1134" i="7"/>
  <c r="L1135" i="7"/>
  <c r="L1136" i="7"/>
  <c r="L1137" i="7"/>
  <c r="L1138" i="7"/>
  <c r="L1139" i="7"/>
  <c r="L1140" i="7"/>
  <c r="L1141" i="7"/>
  <c r="L1142" i="7"/>
  <c r="L1143" i="7"/>
  <c r="L1144" i="7"/>
  <c r="L1145" i="7"/>
  <c r="L1146" i="7"/>
  <c r="L1147" i="7"/>
  <c r="L1148" i="7"/>
  <c r="L1149" i="7"/>
  <c r="L1150" i="7"/>
  <c r="L1151" i="7"/>
  <c r="L1152" i="7"/>
  <c r="L1153" i="7"/>
  <c r="L1154" i="7"/>
  <c r="L1155" i="7"/>
  <c r="L1156" i="7"/>
  <c r="L1157" i="7"/>
  <c r="L1158" i="7"/>
  <c r="L1159" i="7"/>
  <c r="L1160" i="7"/>
  <c r="L1161" i="7"/>
  <c r="L1162" i="7"/>
  <c r="L1163" i="7"/>
  <c r="L1164" i="7"/>
  <c r="L1165" i="7"/>
  <c r="L1166" i="7"/>
  <c r="L1167" i="7"/>
  <c r="L1168" i="7"/>
  <c r="L1169" i="7"/>
  <c r="L1170" i="7"/>
  <c r="L1171" i="7"/>
  <c r="L1172" i="7"/>
  <c r="L1173" i="7"/>
  <c r="L1174" i="7"/>
  <c r="L1175" i="7"/>
  <c r="L1176" i="7"/>
  <c r="L1177" i="7"/>
  <c r="L1178" i="7"/>
  <c r="L1179" i="7"/>
  <c r="L1180" i="7"/>
  <c r="L1181" i="7"/>
  <c r="L1182" i="7"/>
  <c r="L1183" i="7"/>
  <c r="L1184" i="7"/>
  <c r="L1185" i="7"/>
  <c r="L1186" i="7"/>
  <c r="L1187" i="7"/>
  <c r="L1188" i="7"/>
  <c r="L1189" i="7"/>
  <c r="L1190" i="7"/>
  <c r="L1191" i="7"/>
  <c r="L1192" i="7"/>
  <c r="L1193" i="7"/>
  <c r="L1194" i="7"/>
  <c r="L1195" i="7"/>
  <c r="L1196" i="7"/>
  <c r="L1197" i="7"/>
  <c r="L1198" i="7"/>
  <c r="L1199" i="7"/>
  <c r="L1200" i="7"/>
  <c r="L1201" i="7"/>
  <c r="L1202" i="7"/>
  <c r="L1203" i="7"/>
  <c r="L1204" i="7"/>
  <c r="L1205" i="7"/>
  <c r="L1206" i="7"/>
  <c r="L1207" i="7"/>
  <c r="L1208" i="7"/>
  <c r="L1209" i="7"/>
  <c r="L1210" i="7"/>
  <c r="L1211" i="7"/>
  <c r="L1212" i="7"/>
  <c r="L1213" i="7"/>
  <c r="L1214" i="7"/>
  <c r="L1215" i="7"/>
  <c r="L1216" i="7"/>
  <c r="L1217" i="7"/>
  <c r="L1218" i="7"/>
  <c r="L1219" i="7"/>
  <c r="L1220" i="7"/>
  <c r="L1221" i="7"/>
  <c r="L1222" i="7"/>
  <c r="L1223" i="7"/>
  <c r="L1224" i="7"/>
  <c r="L1225" i="7"/>
  <c r="L1226" i="7"/>
  <c r="L1227" i="7"/>
  <c r="L1228" i="7"/>
  <c r="L1229" i="7"/>
  <c r="L1230" i="7"/>
  <c r="L1231" i="7"/>
  <c r="L1232" i="7"/>
  <c r="L1233" i="7"/>
  <c r="L1234" i="7"/>
  <c r="L1235" i="7"/>
  <c r="L1236" i="7"/>
  <c r="L1237" i="7"/>
  <c r="L1238" i="7"/>
  <c r="L1239" i="7"/>
  <c r="L1240" i="7"/>
  <c r="L1241" i="7"/>
  <c r="L1242" i="7"/>
  <c r="L1243" i="7"/>
  <c r="L1244" i="7"/>
  <c r="L1245" i="7"/>
  <c r="L1246" i="7"/>
  <c r="L1247" i="7"/>
  <c r="L1248" i="7"/>
  <c r="L1249" i="7"/>
  <c r="L1250" i="7"/>
  <c r="L1251" i="7"/>
  <c r="L1252" i="7"/>
  <c r="L1253" i="7"/>
  <c r="L1254" i="7"/>
  <c r="L1255" i="7"/>
  <c r="L1256" i="7"/>
  <c r="L1257" i="7"/>
  <c r="L1258" i="7"/>
  <c r="L1259" i="7"/>
  <c r="L1260" i="7"/>
  <c r="L1261" i="7"/>
  <c r="L1262" i="7"/>
  <c r="L1263" i="7"/>
  <c r="L1264" i="7"/>
  <c r="L1265" i="7"/>
  <c r="L1266" i="7"/>
  <c r="L1267" i="7"/>
  <c r="L1268" i="7"/>
  <c r="L1269" i="7"/>
  <c r="L1270" i="7"/>
  <c r="L1271" i="7"/>
  <c r="L1272" i="7"/>
  <c r="L1273" i="7"/>
  <c r="L1274" i="7"/>
  <c r="L1275" i="7"/>
  <c r="L1276" i="7"/>
  <c r="L1277" i="7"/>
  <c r="L1278" i="7"/>
  <c r="L1279" i="7"/>
  <c r="L1280" i="7"/>
  <c r="L1281" i="7"/>
  <c r="L1282" i="7"/>
  <c r="L1283" i="7"/>
  <c r="L1284" i="7"/>
  <c r="L1285" i="7"/>
  <c r="L1286" i="7"/>
  <c r="L1287" i="7"/>
  <c r="L1288" i="7"/>
  <c r="L1289" i="7"/>
  <c r="L1290" i="7"/>
  <c r="L1291" i="7"/>
  <c r="L1292" i="7"/>
  <c r="L1293" i="7"/>
  <c r="L1294" i="7"/>
  <c r="L1295" i="7"/>
  <c r="L1296" i="7"/>
  <c r="L1297" i="7"/>
  <c r="L1298" i="7"/>
  <c r="L1299" i="7"/>
  <c r="L1300" i="7"/>
  <c r="L1301" i="7"/>
  <c r="L1302" i="7"/>
  <c r="L1303" i="7"/>
  <c r="L1304" i="7"/>
  <c r="L1305" i="7"/>
  <c r="L1306" i="7"/>
  <c r="L1307" i="7"/>
  <c r="L1308" i="7"/>
  <c r="L1309" i="7"/>
  <c r="L1310" i="7"/>
  <c r="L1311" i="7"/>
  <c r="L1312" i="7"/>
  <c r="L1313" i="7"/>
  <c r="L1314" i="7"/>
  <c r="L1315" i="7"/>
  <c r="L1316" i="7"/>
  <c r="L1317" i="7"/>
  <c r="L1318" i="7"/>
  <c r="L1319" i="7"/>
  <c r="L1320" i="7"/>
  <c r="L1321" i="7"/>
  <c r="L1322" i="7"/>
  <c r="L1323" i="7"/>
  <c r="L1324" i="7"/>
  <c r="L1325" i="7"/>
  <c r="L1326" i="7"/>
  <c r="L1327" i="7"/>
  <c r="L1328" i="7"/>
  <c r="L1329" i="7"/>
  <c r="L1330" i="7"/>
  <c r="L1331" i="7"/>
  <c r="L1332" i="7"/>
  <c r="L1333" i="7"/>
  <c r="L1334" i="7"/>
  <c r="L1335" i="7"/>
  <c r="L1336" i="7"/>
  <c r="L1337" i="7"/>
  <c r="L1338" i="7"/>
  <c r="L1339" i="7"/>
  <c r="L1340" i="7"/>
  <c r="L1341" i="7"/>
  <c r="L1342" i="7"/>
  <c r="L1343" i="7"/>
  <c r="L1344" i="7"/>
  <c r="L1345" i="7"/>
  <c r="L1346" i="7"/>
  <c r="L1347" i="7"/>
  <c r="L1348" i="7"/>
  <c r="L1349" i="7"/>
  <c r="L1350" i="7"/>
  <c r="L1351" i="7"/>
  <c r="L1352" i="7"/>
  <c r="L1353" i="7"/>
  <c r="L1354" i="7"/>
  <c r="L1355" i="7"/>
  <c r="L1356" i="7"/>
  <c r="L1357" i="7"/>
  <c r="L1358" i="7"/>
  <c r="L1359" i="7"/>
  <c r="L1360" i="7"/>
  <c r="L1361" i="7"/>
  <c r="L1362" i="7"/>
  <c r="L1363" i="7"/>
  <c r="L1364" i="7"/>
  <c r="L1365" i="7"/>
  <c r="L1366" i="7"/>
  <c r="L1367" i="7"/>
  <c r="L1368" i="7"/>
  <c r="L1369" i="7"/>
  <c r="L1370" i="7"/>
  <c r="L1371" i="7"/>
  <c r="L1372" i="7"/>
  <c r="L1373" i="7"/>
  <c r="L1374" i="7"/>
  <c r="L1375" i="7"/>
  <c r="L1376" i="7"/>
  <c r="L1377" i="7"/>
  <c r="L1378" i="7"/>
  <c r="L1379" i="7"/>
  <c r="L1380" i="7"/>
  <c r="L1381" i="7"/>
  <c r="L1382" i="7"/>
  <c r="L1383" i="7"/>
  <c r="L1384" i="7"/>
  <c r="L1385" i="7"/>
  <c r="L1386" i="7"/>
  <c r="L1387" i="7"/>
  <c r="L1388" i="7"/>
  <c r="L1389" i="7"/>
  <c r="L1390" i="7"/>
  <c r="L1391" i="7"/>
  <c r="L1392" i="7"/>
  <c r="L1393" i="7"/>
  <c r="L1394" i="7"/>
  <c r="L1395" i="7"/>
  <c r="L1396" i="7"/>
  <c r="L1397" i="7"/>
  <c r="L1398" i="7"/>
  <c r="L1399" i="7"/>
  <c r="L1400" i="7"/>
  <c r="L1401" i="7"/>
  <c r="L1402" i="7"/>
  <c r="L1403" i="7"/>
  <c r="L1404" i="7"/>
  <c r="L1405" i="7"/>
  <c r="L1406" i="7"/>
  <c r="L1407" i="7"/>
  <c r="L1408" i="7"/>
  <c r="L1409" i="7"/>
  <c r="L1410" i="7"/>
  <c r="L1411" i="7"/>
  <c r="L1412" i="7"/>
  <c r="L1413" i="7"/>
  <c r="L1414" i="7"/>
  <c r="L1415" i="7"/>
  <c r="L1416" i="7"/>
  <c r="L1417" i="7"/>
  <c r="L1418" i="7"/>
  <c r="L1419" i="7"/>
  <c r="L1420" i="7"/>
  <c r="L1421" i="7"/>
  <c r="L1422" i="7"/>
  <c r="L1423" i="7"/>
  <c r="L1424" i="7"/>
  <c r="L1425" i="7"/>
  <c r="L1426" i="7"/>
  <c r="L1427" i="7"/>
  <c r="L1428" i="7"/>
  <c r="L1429" i="7"/>
  <c r="L1430" i="7"/>
  <c r="L1431" i="7"/>
  <c r="L1432" i="7"/>
  <c r="L1433" i="7"/>
  <c r="L1434" i="7"/>
  <c r="L1435" i="7"/>
  <c r="L1436" i="7"/>
  <c r="L1437" i="7"/>
  <c r="L1438" i="7"/>
  <c r="L1439" i="7"/>
  <c r="L1440" i="7"/>
  <c r="L1441" i="7"/>
  <c r="L1442" i="7"/>
  <c r="L1443" i="7"/>
  <c r="L1444" i="7"/>
  <c r="L1445" i="7"/>
  <c r="L1446" i="7"/>
  <c r="L1447" i="7"/>
  <c r="L1448" i="7"/>
  <c r="L1449" i="7"/>
  <c r="L1450" i="7"/>
  <c r="L1451" i="7"/>
  <c r="L1452" i="7"/>
  <c r="L1453" i="7"/>
  <c r="L1454" i="7"/>
  <c r="L1455" i="7"/>
  <c r="L1456" i="7"/>
  <c r="L1457" i="7"/>
  <c r="L1458" i="7"/>
  <c r="L1459" i="7"/>
  <c r="L1460" i="7"/>
  <c r="L1461" i="7"/>
  <c r="L1462" i="7"/>
  <c r="L1463" i="7"/>
  <c r="L1464" i="7"/>
  <c r="L1465" i="7"/>
  <c r="L1466" i="7"/>
  <c r="L1467" i="7"/>
  <c r="L1468" i="7"/>
  <c r="L1469" i="7"/>
  <c r="L1470" i="7"/>
  <c r="L1471" i="7"/>
  <c r="L1472" i="7"/>
  <c r="L1473" i="7"/>
  <c r="L1474" i="7"/>
  <c r="L1475" i="7"/>
  <c r="L1476" i="7"/>
  <c r="L1477" i="7"/>
  <c r="L1478" i="7"/>
  <c r="L1479" i="7"/>
  <c r="L1480" i="7"/>
  <c r="L1481" i="7"/>
  <c r="L1482" i="7"/>
  <c r="L1483" i="7"/>
  <c r="L1484" i="7"/>
  <c r="L1485" i="7"/>
  <c r="L1486" i="7"/>
  <c r="L1487" i="7"/>
  <c r="L1488" i="7"/>
  <c r="L1489" i="7"/>
  <c r="L1490" i="7"/>
  <c r="L1491" i="7"/>
  <c r="L1492" i="7"/>
  <c r="L1493" i="7"/>
  <c r="L1494" i="7"/>
  <c r="L1495" i="7"/>
  <c r="L1496" i="7"/>
  <c r="L1497" i="7"/>
  <c r="L1498" i="7"/>
  <c r="L1499" i="7"/>
  <c r="L1500" i="7"/>
  <c r="L1501" i="7"/>
  <c r="L1502" i="7"/>
  <c r="L1503" i="7"/>
  <c r="L1504" i="7"/>
  <c r="L1505" i="7"/>
  <c r="L1506" i="7"/>
  <c r="L1507" i="7"/>
  <c r="L1508" i="7"/>
  <c r="L1509" i="7"/>
  <c r="L1510" i="7"/>
  <c r="L1511" i="7"/>
  <c r="L1512" i="7"/>
  <c r="L1513" i="7"/>
  <c r="L1514" i="7"/>
  <c r="L1515" i="7"/>
  <c r="L1516" i="7"/>
  <c r="L1517" i="7"/>
  <c r="L1518" i="7"/>
  <c r="L1519" i="7"/>
  <c r="L1520" i="7"/>
  <c r="L1521" i="7"/>
  <c r="L1522" i="7"/>
  <c r="L1523" i="7"/>
  <c r="L1524" i="7"/>
  <c r="L1525" i="7"/>
  <c r="L1526" i="7"/>
  <c r="L1527" i="7"/>
  <c r="L1528" i="7"/>
  <c r="L1529" i="7"/>
  <c r="L1530" i="7"/>
  <c r="L1531" i="7"/>
  <c r="L1532" i="7"/>
  <c r="L1533" i="7"/>
  <c r="L1534" i="7"/>
  <c r="L1535" i="7"/>
  <c r="L1536" i="7"/>
  <c r="L1537" i="7"/>
  <c r="L1538" i="7"/>
  <c r="L1539" i="7"/>
  <c r="L1540" i="7"/>
  <c r="L1541" i="7"/>
  <c r="L1542" i="7"/>
  <c r="L1543" i="7"/>
  <c r="L1544" i="7"/>
  <c r="L1545" i="7"/>
  <c r="L1546" i="7"/>
  <c r="L1547" i="7"/>
  <c r="L1548" i="7"/>
  <c r="L1549" i="7"/>
  <c r="L1550" i="7"/>
  <c r="L1551" i="7"/>
  <c r="L1552" i="7"/>
  <c r="L1553" i="7"/>
  <c r="L1554" i="7"/>
  <c r="L1555" i="7"/>
  <c r="L1556" i="7"/>
  <c r="L1557" i="7"/>
  <c r="L1558" i="7"/>
  <c r="L1559" i="7"/>
  <c r="L1560" i="7"/>
  <c r="L1561" i="7"/>
  <c r="L1562" i="7"/>
  <c r="L1563" i="7"/>
  <c r="L1564" i="7"/>
  <c r="L1565" i="7"/>
  <c r="L1566" i="7"/>
  <c r="L1567" i="7"/>
  <c r="L1568" i="7"/>
  <c r="L1569" i="7"/>
  <c r="L1570" i="7"/>
  <c r="L1571" i="7"/>
  <c r="L1572" i="7"/>
  <c r="L1573" i="7"/>
  <c r="L1574" i="7"/>
  <c r="L1575" i="7"/>
  <c r="L1576" i="7"/>
  <c r="L1577" i="7"/>
  <c r="L1578" i="7"/>
  <c r="L1579" i="7"/>
  <c r="L1580" i="7"/>
  <c r="L1581" i="7"/>
  <c r="L1582" i="7"/>
  <c r="L1583" i="7"/>
  <c r="L1584" i="7"/>
  <c r="L1585" i="7"/>
  <c r="L1586" i="7"/>
  <c r="L1587" i="7"/>
  <c r="L1588" i="7"/>
  <c r="L1589" i="7"/>
  <c r="L1590" i="7"/>
  <c r="L1591" i="7"/>
  <c r="L1592" i="7"/>
  <c r="L1593" i="7"/>
  <c r="L1594" i="7"/>
  <c r="L1595" i="7"/>
  <c r="L1596" i="7"/>
  <c r="L1597" i="7"/>
  <c r="L1598" i="7"/>
  <c r="L1599" i="7"/>
  <c r="L1600" i="7"/>
  <c r="L1601" i="7"/>
  <c r="L1602" i="7"/>
  <c r="L1603" i="7"/>
  <c r="L1604" i="7"/>
  <c r="L1605" i="7"/>
  <c r="L1606" i="7"/>
  <c r="L1607" i="7"/>
  <c r="L1608" i="7"/>
  <c r="L1609" i="7"/>
  <c r="L1610" i="7"/>
  <c r="L1611" i="7"/>
  <c r="L1612" i="7"/>
  <c r="L1613" i="7"/>
  <c r="L1614" i="7"/>
  <c r="L1615" i="7"/>
  <c r="L1616" i="7"/>
  <c r="L1617" i="7"/>
  <c r="L1618" i="7"/>
  <c r="L1619" i="7"/>
  <c r="L1620" i="7"/>
  <c r="L1621" i="7"/>
  <c r="L1622" i="7"/>
  <c r="L1623" i="7"/>
  <c r="L1624" i="7"/>
  <c r="L1625" i="7"/>
  <c r="L1626" i="7"/>
  <c r="L1627" i="7"/>
  <c r="L1628" i="7"/>
  <c r="L1629" i="7"/>
  <c r="L1630" i="7"/>
  <c r="L1631" i="7"/>
  <c r="L1632" i="7"/>
  <c r="L1633" i="7"/>
  <c r="L1634" i="7"/>
  <c r="L1635" i="7"/>
  <c r="L1636" i="7"/>
  <c r="L1637" i="7"/>
  <c r="L1638" i="7"/>
  <c r="L1639" i="7"/>
  <c r="L1640" i="7"/>
  <c r="L1641" i="7"/>
  <c r="L1642" i="7"/>
  <c r="L1643" i="7"/>
  <c r="L1644" i="7"/>
  <c r="L1645" i="7"/>
  <c r="L1646" i="7"/>
  <c r="L1647" i="7"/>
  <c r="L1648" i="7"/>
  <c r="L1649" i="7"/>
  <c r="L1650" i="7"/>
  <c r="L1651" i="7"/>
  <c r="L1652" i="7"/>
  <c r="L1653" i="7"/>
  <c r="L1654" i="7"/>
  <c r="L1655" i="7"/>
  <c r="L1656" i="7"/>
  <c r="L1657" i="7"/>
  <c r="L1658" i="7"/>
  <c r="L1659" i="7"/>
  <c r="L1660" i="7"/>
  <c r="L1661" i="7"/>
  <c r="L1662" i="7"/>
  <c r="L1663" i="7"/>
  <c r="L1664" i="7"/>
  <c r="L1665" i="7"/>
  <c r="L1666" i="7"/>
  <c r="L1667" i="7"/>
  <c r="L1668" i="7"/>
  <c r="L1669" i="7"/>
  <c r="L1670" i="7"/>
  <c r="L1671" i="7"/>
  <c r="L1672" i="7"/>
  <c r="L1673" i="7"/>
  <c r="L1674" i="7"/>
  <c r="L1675" i="7"/>
  <c r="L1676" i="7"/>
  <c r="L1677" i="7"/>
  <c r="L1678" i="7"/>
  <c r="L1679" i="7"/>
  <c r="L1680" i="7"/>
  <c r="L1681" i="7"/>
  <c r="L1682" i="7"/>
  <c r="L1683" i="7"/>
  <c r="L1684" i="7"/>
  <c r="L1685" i="7"/>
  <c r="L1686" i="7"/>
  <c r="L1687" i="7"/>
  <c r="L1688" i="7"/>
  <c r="L1689" i="7"/>
  <c r="L1690" i="7"/>
  <c r="L1691" i="7"/>
  <c r="L1692" i="7"/>
  <c r="L1693" i="7"/>
  <c r="L1694" i="7"/>
  <c r="L1695" i="7"/>
  <c r="L1696" i="7"/>
  <c r="L1697" i="7"/>
  <c r="L1698" i="7"/>
  <c r="L1699" i="7"/>
  <c r="L1700" i="7"/>
  <c r="L1701" i="7"/>
  <c r="L1702" i="7"/>
  <c r="L1703" i="7"/>
  <c r="L1704" i="7"/>
  <c r="L1705" i="7"/>
  <c r="L1706" i="7"/>
  <c r="L1707" i="7"/>
  <c r="L1708" i="7"/>
  <c r="L1709" i="7"/>
  <c r="L1710" i="7"/>
  <c r="L1711" i="7"/>
  <c r="L1712" i="7"/>
  <c r="L1713" i="7"/>
  <c r="L1714" i="7"/>
  <c r="L1715" i="7"/>
  <c r="L1716" i="7"/>
  <c r="L1717" i="7"/>
  <c r="L1718" i="7"/>
  <c r="L1719" i="7"/>
  <c r="L1720" i="7"/>
  <c r="L1721" i="7"/>
  <c r="L1722" i="7"/>
  <c r="L1723" i="7"/>
  <c r="L1724" i="7"/>
  <c r="L1725" i="7"/>
  <c r="L1726" i="7"/>
  <c r="L1727" i="7"/>
  <c r="L1728" i="7"/>
  <c r="L1729" i="7"/>
  <c r="L1730" i="7"/>
  <c r="L1731" i="7"/>
  <c r="L1732" i="7"/>
  <c r="L1733" i="7"/>
  <c r="L1734" i="7"/>
  <c r="L1735" i="7"/>
  <c r="L1736" i="7"/>
  <c r="L1737" i="7"/>
  <c r="L1738" i="7"/>
  <c r="L1739" i="7"/>
  <c r="L1740" i="7"/>
  <c r="L1741" i="7"/>
  <c r="L1742" i="7"/>
  <c r="L1743" i="7"/>
  <c r="L1744" i="7"/>
  <c r="L1745" i="7"/>
  <c r="L1746" i="7"/>
  <c r="L1747" i="7"/>
  <c r="L1748" i="7"/>
  <c r="L1749" i="7"/>
  <c r="L1750" i="7"/>
  <c r="L1751" i="7"/>
  <c r="L1752" i="7"/>
  <c r="L1753" i="7"/>
  <c r="L1754" i="7"/>
  <c r="L1755" i="7"/>
  <c r="L1756" i="7"/>
  <c r="L1757" i="7"/>
  <c r="L1758" i="7"/>
  <c r="L1759" i="7"/>
  <c r="L1760" i="7"/>
  <c r="L1761" i="7"/>
  <c r="L1762" i="7"/>
  <c r="L1763" i="7"/>
  <c r="L1764" i="7"/>
  <c r="L1765" i="7"/>
  <c r="L1766" i="7"/>
  <c r="L1767" i="7"/>
  <c r="L1768" i="7"/>
  <c r="L1769" i="7"/>
  <c r="L1770" i="7"/>
  <c r="L1771" i="7"/>
  <c r="L1772" i="7"/>
  <c r="L1773" i="7"/>
  <c r="L1774" i="7"/>
  <c r="L1775" i="7"/>
  <c r="L1776" i="7"/>
  <c r="L1777" i="7"/>
  <c r="L1778" i="7"/>
  <c r="L1779" i="7"/>
  <c r="L1780" i="7"/>
  <c r="L1781" i="7"/>
  <c r="L1782" i="7"/>
  <c r="L1783" i="7"/>
  <c r="L1784" i="7"/>
  <c r="L1785" i="7"/>
  <c r="L1786" i="7"/>
  <c r="L1787" i="7"/>
  <c r="L1788" i="7"/>
  <c r="L1789" i="7"/>
  <c r="L1790" i="7"/>
  <c r="L1791" i="7"/>
  <c r="L1792" i="7"/>
  <c r="L1793" i="7"/>
  <c r="L1794" i="7"/>
  <c r="L1795" i="7"/>
  <c r="L1796" i="7"/>
  <c r="L1797" i="7"/>
  <c r="L1798" i="7"/>
  <c r="L1799" i="7"/>
  <c r="L1800" i="7"/>
  <c r="L1801" i="7"/>
  <c r="L1802" i="7"/>
  <c r="L1803" i="7"/>
  <c r="L1804" i="7"/>
  <c r="L1805" i="7"/>
  <c r="L1806" i="7"/>
  <c r="L1807" i="7"/>
  <c r="L1808" i="7"/>
  <c r="L1809" i="7"/>
  <c r="L1810" i="7"/>
  <c r="L1811" i="7"/>
  <c r="L1812" i="7"/>
  <c r="L1813" i="7"/>
  <c r="L1814" i="7"/>
  <c r="L1815" i="7"/>
  <c r="L1816" i="7"/>
  <c r="L1817" i="7"/>
  <c r="L1818" i="7"/>
  <c r="L1819" i="7"/>
  <c r="L1820" i="7"/>
  <c r="L1821" i="7"/>
  <c r="L1822" i="7"/>
  <c r="L1823" i="7"/>
  <c r="L1824" i="7"/>
  <c r="L1825" i="7"/>
  <c r="L1826" i="7"/>
  <c r="L1827" i="7"/>
  <c r="L1828" i="7"/>
  <c r="L1829" i="7"/>
  <c r="L1830" i="7"/>
  <c r="L1831" i="7"/>
  <c r="L1832" i="7"/>
  <c r="L1833" i="7"/>
  <c r="L1834" i="7"/>
  <c r="L1835" i="7"/>
  <c r="L1836" i="7"/>
  <c r="L1837" i="7"/>
  <c r="L1838" i="7"/>
  <c r="L1839" i="7"/>
  <c r="L1840" i="7"/>
  <c r="L1841" i="7"/>
  <c r="L1842" i="7"/>
  <c r="L1843" i="7"/>
  <c r="L1844" i="7"/>
  <c r="L1845" i="7"/>
  <c r="L1846" i="7"/>
  <c r="L1847" i="7"/>
  <c r="L1848" i="7"/>
  <c r="L1849" i="7"/>
  <c r="L1850" i="7"/>
  <c r="L1851" i="7"/>
  <c r="L1852" i="7"/>
  <c r="L1853" i="7"/>
  <c r="L1854" i="7"/>
  <c r="L1855" i="7"/>
  <c r="L1856" i="7"/>
  <c r="L1857" i="7"/>
  <c r="L1858" i="7"/>
  <c r="L1859" i="7"/>
  <c r="L1860" i="7"/>
  <c r="L1861" i="7"/>
  <c r="L1862" i="7"/>
  <c r="L1863" i="7"/>
  <c r="L1864" i="7"/>
  <c r="L1865" i="7"/>
  <c r="L1866" i="7"/>
  <c r="L1867" i="7"/>
  <c r="L1868" i="7"/>
  <c r="L1869" i="7"/>
  <c r="L1870" i="7"/>
  <c r="L1871" i="7"/>
  <c r="L1872" i="7"/>
  <c r="L1873" i="7"/>
  <c r="L1874" i="7"/>
  <c r="L1875" i="7"/>
  <c r="L1876" i="7"/>
  <c r="L1877" i="7"/>
  <c r="L1878" i="7"/>
  <c r="L1879" i="7"/>
  <c r="L1880" i="7"/>
  <c r="L1881" i="7"/>
  <c r="L1882" i="7"/>
  <c r="L1883" i="7"/>
  <c r="L1884" i="7"/>
  <c r="L1885" i="7"/>
  <c r="L1886" i="7"/>
  <c r="L1887" i="7"/>
  <c r="L1888" i="7"/>
  <c r="L1889" i="7"/>
  <c r="L1890" i="7"/>
  <c r="L1891" i="7"/>
  <c r="L1892" i="7"/>
  <c r="L1893" i="7"/>
  <c r="L1894" i="7"/>
  <c r="L1895" i="7"/>
  <c r="L1896" i="7"/>
  <c r="L1897" i="7"/>
  <c r="L1898" i="7"/>
  <c r="L1899" i="7"/>
  <c r="L1900" i="7"/>
  <c r="L1901" i="7"/>
  <c r="L1902" i="7"/>
  <c r="L1903" i="7"/>
  <c r="L1904" i="7"/>
  <c r="L1905" i="7"/>
  <c r="L1906" i="7"/>
  <c r="L1907" i="7"/>
  <c r="L1908" i="7"/>
  <c r="L1909" i="7"/>
  <c r="L1910" i="7"/>
  <c r="L1911" i="7"/>
  <c r="L1912" i="7"/>
  <c r="L1913" i="7"/>
  <c r="L1914" i="7"/>
  <c r="L1915" i="7"/>
  <c r="L1916" i="7"/>
  <c r="L1917" i="7"/>
  <c r="L1918" i="7"/>
  <c r="L1919" i="7"/>
  <c r="L1920" i="7"/>
  <c r="L1921" i="7"/>
  <c r="L1922" i="7"/>
  <c r="L1923" i="7"/>
  <c r="L1924" i="7"/>
  <c r="L1925" i="7"/>
  <c r="L1926" i="7"/>
  <c r="L1927" i="7"/>
  <c r="L1928" i="7"/>
  <c r="L1929" i="7"/>
  <c r="L1930" i="7"/>
  <c r="L1931" i="7"/>
  <c r="L1932" i="7"/>
  <c r="L1933" i="7"/>
  <c r="L1934" i="7"/>
  <c r="L1935" i="7"/>
  <c r="L1936" i="7"/>
  <c r="L1937" i="7"/>
  <c r="L1938" i="7"/>
  <c r="L1939" i="7"/>
  <c r="L1940" i="7"/>
  <c r="L1941" i="7"/>
  <c r="L1942" i="7"/>
  <c r="L1943" i="7"/>
  <c r="L1944" i="7"/>
  <c r="L1945" i="7"/>
  <c r="L1946" i="7"/>
  <c r="L1947" i="7"/>
  <c r="L1948" i="7"/>
  <c r="L1949" i="7"/>
  <c r="L1950" i="7"/>
  <c r="L1951" i="7"/>
  <c r="L1952" i="7"/>
  <c r="L1953" i="7"/>
  <c r="L1954" i="7"/>
  <c r="L1955" i="7"/>
  <c r="L1956" i="7"/>
  <c r="L1957" i="7"/>
  <c r="L1958" i="7"/>
  <c r="L1959" i="7"/>
  <c r="L1960" i="7"/>
  <c r="L1961" i="7"/>
  <c r="L1962" i="7"/>
  <c r="L1963" i="7"/>
  <c r="L1964" i="7"/>
  <c r="L1965" i="7"/>
  <c r="L1966" i="7"/>
  <c r="L1967" i="7"/>
  <c r="L1968" i="7"/>
  <c r="L1969" i="7"/>
  <c r="L1970" i="7"/>
  <c r="L1971" i="7"/>
  <c r="L1972" i="7"/>
  <c r="L1973" i="7"/>
  <c r="L1974" i="7"/>
  <c r="L1975" i="7"/>
  <c r="L1976" i="7"/>
  <c r="L1977" i="7"/>
  <c r="L1978" i="7"/>
  <c r="L1979" i="7"/>
  <c r="L1980" i="7"/>
  <c r="L1981" i="7"/>
  <c r="L1982" i="7"/>
  <c r="L1983" i="7"/>
  <c r="L1984" i="7"/>
  <c r="L1985" i="7"/>
  <c r="L1986" i="7"/>
  <c r="L1987" i="7"/>
  <c r="L1988" i="7"/>
  <c r="L1989" i="7"/>
  <c r="L1990" i="7"/>
  <c r="L1991" i="7"/>
  <c r="L1992" i="7"/>
  <c r="L1993" i="7"/>
  <c r="L1994" i="7"/>
  <c r="L1995" i="7"/>
  <c r="L1996" i="7"/>
  <c r="L1997" i="7"/>
  <c r="L1998" i="7"/>
  <c r="L1999" i="7"/>
  <c r="L2000" i="7"/>
  <c r="L2001" i="7"/>
  <c r="L2002" i="7"/>
  <c r="L2003" i="7"/>
  <c r="L2004" i="7"/>
  <c r="L2005" i="7"/>
  <c r="L2006" i="7"/>
  <c r="L2007" i="7"/>
  <c r="L2008" i="7"/>
  <c r="L2009" i="7"/>
  <c r="L2010" i="7"/>
  <c r="L2011" i="7"/>
  <c r="L2012" i="7"/>
  <c r="L2013" i="7"/>
  <c r="L2014" i="7"/>
  <c r="L2015" i="7"/>
  <c r="L2016" i="7"/>
  <c r="L2017" i="7"/>
  <c r="L2018" i="7"/>
  <c r="L2019" i="7"/>
  <c r="L2020" i="7"/>
  <c r="L2021" i="7"/>
  <c r="L2022" i="7"/>
  <c r="L2023" i="7"/>
  <c r="L2024" i="7"/>
  <c r="L2025" i="7"/>
  <c r="L2026" i="7"/>
  <c r="L2027" i="7"/>
  <c r="L2028" i="7"/>
  <c r="L2029" i="7"/>
  <c r="L2030" i="7"/>
  <c r="L2031" i="7"/>
  <c r="L2032" i="7"/>
  <c r="L2033" i="7"/>
  <c r="L2034" i="7"/>
  <c r="L2035" i="7"/>
  <c r="L2036" i="7"/>
  <c r="L2037" i="7"/>
  <c r="L2038" i="7"/>
  <c r="L2039" i="7"/>
  <c r="L2040" i="7"/>
  <c r="L2041" i="7"/>
  <c r="L2042" i="7"/>
  <c r="L2043" i="7"/>
  <c r="L2044" i="7"/>
  <c r="L2045" i="7"/>
  <c r="L2046" i="7"/>
  <c r="L2047" i="7"/>
  <c r="L2048" i="7"/>
  <c r="L2049" i="7"/>
  <c r="L2050" i="7"/>
  <c r="L2051" i="7"/>
  <c r="L2052" i="7"/>
  <c r="L2053" i="7"/>
  <c r="L2054" i="7"/>
  <c r="L2055" i="7"/>
  <c r="L2056" i="7"/>
  <c r="L2057" i="7"/>
  <c r="L2058" i="7"/>
  <c r="L2059" i="7"/>
  <c r="L2060" i="7"/>
  <c r="L2061" i="7"/>
  <c r="L2062" i="7"/>
  <c r="L2063" i="7"/>
  <c r="L2064" i="7"/>
  <c r="L2065" i="7"/>
  <c r="L2066" i="7"/>
  <c r="L2067" i="7"/>
  <c r="L2068" i="7"/>
  <c r="L2069" i="7"/>
  <c r="L2070" i="7"/>
  <c r="L2071" i="7"/>
  <c r="L2072" i="7"/>
  <c r="L2073" i="7"/>
  <c r="L2074" i="7"/>
  <c r="L2075" i="7"/>
  <c r="L2076" i="7"/>
  <c r="L2077" i="7"/>
  <c r="L2078" i="7"/>
  <c r="L2079" i="7"/>
  <c r="L2080" i="7"/>
  <c r="L2081" i="7"/>
  <c r="L2082" i="7"/>
  <c r="L2083" i="7"/>
  <c r="L2084" i="7"/>
  <c r="L2085" i="7"/>
  <c r="L2086" i="7"/>
  <c r="L2087" i="7"/>
  <c r="L2088" i="7"/>
  <c r="L2089" i="7"/>
  <c r="L2090" i="7"/>
  <c r="L2091" i="7"/>
  <c r="L2092" i="7"/>
  <c r="L2093" i="7"/>
  <c r="L2094" i="7"/>
  <c r="L2095" i="7"/>
  <c r="L2096" i="7"/>
  <c r="L2097" i="7"/>
  <c r="L2098" i="7"/>
  <c r="L2099" i="7"/>
  <c r="L2100" i="7"/>
  <c r="L2101" i="7"/>
  <c r="L2102" i="7"/>
  <c r="L2103" i="7"/>
  <c r="L2104" i="7"/>
  <c r="L2105" i="7"/>
  <c r="L2106" i="7"/>
  <c r="L2107" i="7"/>
  <c r="L2108" i="7"/>
  <c r="L2109" i="7"/>
  <c r="L2110" i="7"/>
  <c r="L2111" i="7"/>
  <c r="L2112" i="7"/>
  <c r="L2113" i="7"/>
  <c r="L2114" i="7"/>
  <c r="L2115" i="7"/>
  <c r="L2116" i="7"/>
  <c r="L2117" i="7"/>
  <c r="L2118" i="7"/>
  <c r="L2119" i="7"/>
  <c r="L2120" i="7"/>
  <c r="L2121" i="7"/>
  <c r="L2122" i="7"/>
  <c r="L2123" i="7"/>
  <c r="L2124" i="7"/>
  <c r="L2125" i="7"/>
  <c r="L2126" i="7"/>
  <c r="L2127" i="7"/>
  <c r="L2128" i="7"/>
  <c r="L2129" i="7"/>
  <c r="L2130" i="7"/>
  <c r="L2131" i="7"/>
  <c r="L2132" i="7"/>
  <c r="L2133" i="7"/>
  <c r="L2134" i="7"/>
  <c r="L2135" i="7"/>
  <c r="L2136" i="7"/>
  <c r="L2137" i="7"/>
  <c r="L2138" i="7"/>
  <c r="L2139" i="7"/>
  <c r="L2140" i="7"/>
  <c r="L2141" i="7"/>
  <c r="L2142" i="7"/>
  <c r="L2143" i="7"/>
  <c r="L2144" i="7"/>
  <c r="L2145" i="7"/>
  <c r="L2146" i="7"/>
  <c r="L2147" i="7"/>
  <c r="L2148" i="7"/>
  <c r="L2149" i="7"/>
  <c r="L2150" i="7"/>
  <c r="L2151" i="7"/>
  <c r="L2152" i="7"/>
  <c r="L2153" i="7"/>
  <c r="L2154" i="7"/>
  <c r="L2155" i="7"/>
  <c r="L2156" i="7"/>
  <c r="L2157" i="7"/>
  <c r="L2158" i="7"/>
  <c r="L2159" i="7"/>
  <c r="L2160" i="7"/>
  <c r="L2161" i="7"/>
  <c r="L2162" i="7"/>
  <c r="L2163" i="7"/>
  <c r="L2164" i="7"/>
  <c r="L2165" i="7"/>
  <c r="L2166" i="7"/>
  <c r="L2167" i="7"/>
  <c r="L2168" i="7"/>
  <c r="L2169" i="7"/>
  <c r="L2170" i="7"/>
  <c r="L2171" i="7"/>
  <c r="L2172" i="7"/>
  <c r="L2173" i="7"/>
  <c r="L2174" i="7"/>
  <c r="L2175" i="7"/>
  <c r="L2176" i="7"/>
  <c r="L2177" i="7"/>
  <c r="L2178" i="7"/>
  <c r="L2179" i="7"/>
  <c r="L2180" i="7"/>
  <c r="L2181" i="7"/>
  <c r="L2182" i="7"/>
  <c r="L2183" i="7"/>
  <c r="L2184" i="7"/>
  <c r="L2185" i="7"/>
  <c r="L2186" i="7"/>
  <c r="L2187" i="7"/>
  <c r="L2188" i="7"/>
  <c r="L2189" i="7"/>
  <c r="L2190" i="7"/>
  <c r="L2191" i="7"/>
  <c r="L2192" i="7"/>
  <c r="L2193" i="7"/>
  <c r="L2194" i="7"/>
  <c r="L2195" i="7"/>
  <c r="L2196" i="7"/>
  <c r="L2197" i="7"/>
  <c r="L2198" i="7"/>
  <c r="L2199" i="7"/>
  <c r="L2200" i="7"/>
  <c r="L2201" i="7"/>
  <c r="L2202" i="7"/>
  <c r="L2203" i="7"/>
  <c r="L2204" i="7"/>
  <c r="L2205" i="7"/>
  <c r="L2206" i="7"/>
  <c r="L2207" i="7"/>
  <c r="L2208" i="7"/>
  <c r="L2209" i="7"/>
  <c r="L2210" i="7"/>
  <c r="L2211" i="7"/>
  <c r="L2212" i="7"/>
  <c r="L2213" i="7"/>
  <c r="L2214" i="7"/>
  <c r="L2215" i="7"/>
  <c r="L2216" i="7"/>
  <c r="L2217" i="7"/>
  <c r="L2218" i="7"/>
  <c r="L2219" i="7"/>
  <c r="L2220" i="7"/>
  <c r="L2221" i="7"/>
  <c r="L2222" i="7"/>
  <c r="L2223" i="7"/>
  <c r="L2224" i="7"/>
  <c r="L2225" i="7"/>
  <c r="L2226" i="7"/>
  <c r="L2227" i="7"/>
  <c r="L2228" i="7"/>
  <c r="L2229" i="7"/>
  <c r="L2230" i="7"/>
  <c r="L2231" i="7"/>
  <c r="L2232" i="7"/>
  <c r="L2233" i="7"/>
  <c r="L2234" i="7"/>
  <c r="L2235" i="7"/>
  <c r="L2236" i="7"/>
  <c r="L2237" i="7"/>
  <c r="L2238" i="7"/>
  <c r="L2239" i="7"/>
  <c r="L2240" i="7"/>
  <c r="L2241" i="7"/>
  <c r="L2242" i="7"/>
  <c r="L2243" i="7"/>
  <c r="L2244" i="7"/>
  <c r="L2245" i="7"/>
  <c r="L2246" i="7"/>
  <c r="L2247" i="7"/>
  <c r="L2248" i="7"/>
  <c r="L2249" i="7"/>
  <c r="L2250" i="7"/>
  <c r="L2251" i="7"/>
  <c r="L2252" i="7"/>
  <c r="L2253" i="7"/>
  <c r="L2254" i="7"/>
  <c r="L2255" i="7"/>
  <c r="L2256" i="7"/>
  <c r="L2257" i="7"/>
  <c r="L2258" i="7"/>
  <c r="L2259" i="7"/>
  <c r="L2260" i="7"/>
  <c r="L2261" i="7"/>
  <c r="L2262" i="7"/>
  <c r="L2263" i="7"/>
  <c r="L2264" i="7"/>
  <c r="L2265" i="7"/>
  <c r="L2266" i="7"/>
  <c r="L2267" i="7"/>
  <c r="L2268" i="7"/>
  <c r="L2269" i="7"/>
  <c r="L2270" i="7"/>
  <c r="L2271" i="7"/>
  <c r="L2272" i="7"/>
  <c r="L2273" i="7"/>
  <c r="L2274" i="7"/>
  <c r="L2275" i="7"/>
  <c r="L2276" i="7"/>
  <c r="L2277" i="7"/>
  <c r="L2278" i="7"/>
  <c r="L2279" i="7"/>
  <c r="L2280" i="7"/>
  <c r="L2281" i="7"/>
  <c r="L2282" i="7"/>
  <c r="L2283" i="7"/>
  <c r="L2284" i="7"/>
  <c r="L2285" i="7"/>
  <c r="L2286" i="7"/>
  <c r="L2287" i="7"/>
  <c r="L2288" i="7"/>
  <c r="L2289" i="7"/>
  <c r="L2290" i="7"/>
  <c r="L2291" i="7"/>
  <c r="L2292" i="7"/>
  <c r="L2293" i="7"/>
  <c r="L2294" i="7"/>
  <c r="L2295" i="7"/>
  <c r="L2296" i="7"/>
  <c r="L2297" i="7"/>
  <c r="L2298" i="7"/>
  <c r="L2299" i="7"/>
  <c r="L2300" i="7"/>
  <c r="L2301" i="7"/>
  <c r="L2302" i="7"/>
  <c r="L2303" i="7"/>
  <c r="L2304" i="7"/>
  <c r="L2305" i="7"/>
  <c r="L2306" i="7"/>
  <c r="L2307" i="7"/>
  <c r="L2308" i="7"/>
  <c r="L2309" i="7"/>
  <c r="L2310" i="7"/>
  <c r="L2311" i="7"/>
  <c r="L2312" i="7"/>
  <c r="L2313" i="7"/>
  <c r="L2314" i="7"/>
  <c r="L2315" i="7"/>
  <c r="L2316" i="7"/>
  <c r="L2317" i="7"/>
  <c r="L2318" i="7"/>
  <c r="L2319" i="7"/>
  <c r="L2320" i="7"/>
  <c r="L2321" i="7"/>
  <c r="L2322" i="7"/>
  <c r="L2323" i="7"/>
  <c r="L2324" i="7"/>
  <c r="L2325" i="7"/>
  <c r="L2326" i="7"/>
  <c r="L2327" i="7"/>
  <c r="L2328" i="7"/>
  <c r="L2329" i="7"/>
  <c r="L2330" i="7"/>
  <c r="L2331" i="7"/>
  <c r="L2332" i="7"/>
  <c r="L2333" i="7"/>
  <c r="L2334" i="7"/>
  <c r="L2335" i="7"/>
  <c r="L2336" i="7"/>
  <c r="L2337" i="7"/>
  <c r="L2338" i="7"/>
  <c r="L2339" i="7"/>
  <c r="L2340" i="7"/>
  <c r="L2341" i="7"/>
  <c r="L2342" i="7"/>
  <c r="L2343" i="7"/>
  <c r="L2344" i="7"/>
  <c r="L2345" i="7"/>
  <c r="L2346" i="7"/>
  <c r="L2347" i="7"/>
  <c r="L2348" i="7"/>
  <c r="L2349" i="7"/>
  <c r="L2350" i="7"/>
  <c r="L2351" i="7"/>
  <c r="L2352" i="7"/>
  <c r="L2353" i="7"/>
  <c r="L2354" i="7"/>
  <c r="L2355" i="7"/>
  <c r="L2356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2049" i="7"/>
  <c r="K2050" i="7"/>
  <c r="K2051" i="7"/>
  <c r="K2052" i="7"/>
  <c r="K2053" i="7"/>
  <c r="K2054" i="7"/>
  <c r="K2055" i="7"/>
  <c r="K2056" i="7"/>
  <c r="K2057" i="7"/>
  <c r="K2058" i="7"/>
  <c r="K2059" i="7"/>
  <c r="K2060" i="7"/>
  <c r="K2061" i="7"/>
  <c r="K2062" i="7"/>
  <c r="K2063" i="7"/>
  <c r="K2064" i="7"/>
  <c r="K2065" i="7"/>
  <c r="K2066" i="7"/>
  <c r="K2067" i="7"/>
  <c r="K2068" i="7"/>
  <c r="K2069" i="7"/>
  <c r="K2070" i="7"/>
  <c r="K2071" i="7"/>
  <c r="K2072" i="7"/>
  <c r="K2073" i="7"/>
  <c r="K2074" i="7"/>
  <c r="K2075" i="7"/>
  <c r="K2076" i="7"/>
  <c r="K2077" i="7"/>
  <c r="K2078" i="7"/>
  <c r="K2079" i="7"/>
  <c r="K2080" i="7"/>
  <c r="K2081" i="7"/>
  <c r="K2082" i="7"/>
  <c r="K2083" i="7"/>
  <c r="K2084" i="7"/>
  <c r="K2085" i="7"/>
  <c r="K2086" i="7"/>
  <c r="K2087" i="7"/>
  <c r="K2088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2101" i="7"/>
  <c r="K2102" i="7"/>
  <c r="K2103" i="7"/>
  <c r="K2104" i="7"/>
  <c r="K2105" i="7"/>
  <c r="K2106" i="7"/>
  <c r="K2107" i="7"/>
  <c r="K2108" i="7"/>
  <c r="K2109" i="7"/>
  <c r="K2110" i="7"/>
  <c r="K2111" i="7"/>
  <c r="K2112" i="7"/>
  <c r="K2113" i="7"/>
  <c r="K2114" i="7"/>
  <c r="K2115" i="7"/>
  <c r="K2116" i="7"/>
  <c r="K2117" i="7"/>
  <c r="K2118" i="7"/>
  <c r="K2119" i="7"/>
  <c r="K2120" i="7"/>
  <c r="K2121" i="7"/>
  <c r="K2122" i="7"/>
  <c r="K2123" i="7"/>
  <c r="K2124" i="7"/>
  <c r="K2125" i="7"/>
  <c r="K2126" i="7"/>
  <c r="K2127" i="7"/>
  <c r="K2128" i="7"/>
  <c r="K2129" i="7"/>
  <c r="K2130" i="7"/>
  <c r="K2131" i="7"/>
  <c r="K2132" i="7"/>
  <c r="K2133" i="7"/>
  <c r="K2134" i="7"/>
  <c r="K2135" i="7"/>
  <c r="K2136" i="7"/>
  <c r="K2137" i="7"/>
  <c r="K2138" i="7"/>
  <c r="K2139" i="7"/>
  <c r="K2140" i="7"/>
  <c r="K2141" i="7"/>
  <c r="K2142" i="7"/>
  <c r="K2143" i="7"/>
  <c r="K2144" i="7"/>
  <c r="K2145" i="7"/>
  <c r="K2146" i="7"/>
  <c r="K2147" i="7"/>
  <c r="K2148" i="7"/>
  <c r="K2149" i="7"/>
  <c r="K2150" i="7"/>
  <c r="K2151" i="7"/>
  <c r="K2152" i="7"/>
  <c r="K2153" i="7"/>
  <c r="K2154" i="7"/>
  <c r="K2155" i="7"/>
  <c r="K2156" i="7"/>
  <c r="K2157" i="7"/>
  <c r="K2158" i="7"/>
  <c r="K2159" i="7"/>
  <c r="K2160" i="7"/>
  <c r="K2161" i="7"/>
  <c r="K2162" i="7"/>
  <c r="K2163" i="7"/>
  <c r="K2164" i="7"/>
  <c r="K2165" i="7"/>
  <c r="K2166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191" i="7"/>
  <c r="K2192" i="7"/>
  <c r="K2193" i="7"/>
  <c r="K2194" i="7"/>
  <c r="K2195" i="7"/>
  <c r="K2196" i="7"/>
  <c r="K2197" i="7"/>
  <c r="K2198" i="7"/>
  <c r="K2199" i="7"/>
  <c r="K2200" i="7"/>
  <c r="K2201" i="7"/>
  <c r="K2202" i="7"/>
  <c r="K2203" i="7"/>
  <c r="K2204" i="7"/>
  <c r="K2205" i="7"/>
  <c r="K2206" i="7"/>
  <c r="K2207" i="7"/>
  <c r="K2208" i="7"/>
  <c r="K2209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2233" i="7"/>
  <c r="K2234" i="7"/>
  <c r="K2235" i="7"/>
  <c r="K2236" i="7"/>
  <c r="K2237" i="7"/>
  <c r="K2238" i="7"/>
  <c r="K2239" i="7"/>
  <c r="K2240" i="7"/>
  <c r="K2241" i="7"/>
  <c r="K2242" i="7"/>
  <c r="K2243" i="7"/>
  <c r="K2244" i="7"/>
  <c r="K2245" i="7"/>
  <c r="K2246" i="7"/>
  <c r="K2247" i="7"/>
  <c r="K2248" i="7"/>
  <c r="K2249" i="7"/>
  <c r="K2250" i="7"/>
  <c r="K2251" i="7"/>
  <c r="K2252" i="7"/>
  <c r="K2253" i="7"/>
  <c r="K2254" i="7"/>
  <c r="K2255" i="7"/>
  <c r="K2256" i="7"/>
  <c r="K2257" i="7"/>
  <c r="K2258" i="7"/>
  <c r="K2259" i="7"/>
  <c r="K2260" i="7"/>
  <c r="K2261" i="7"/>
  <c r="K2262" i="7"/>
  <c r="K2263" i="7"/>
  <c r="K2264" i="7"/>
  <c r="K2265" i="7"/>
  <c r="K2266" i="7"/>
  <c r="K2267" i="7"/>
  <c r="K2268" i="7"/>
  <c r="K2269" i="7"/>
  <c r="K2270" i="7"/>
  <c r="K2271" i="7"/>
  <c r="K2272" i="7"/>
  <c r="K2273" i="7"/>
  <c r="K2274" i="7"/>
  <c r="K2275" i="7"/>
  <c r="K2276" i="7"/>
  <c r="K2277" i="7"/>
  <c r="K2278" i="7"/>
  <c r="K2279" i="7"/>
  <c r="K2280" i="7"/>
  <c r="K2281" i="7"/>
  <c r="K2282" i="7"/>
  <c r="K2283" i="7"/>
  <c r="K2284" i="7"/>
  <c r="K2285" i="7"/>
  <c r="K2286" i="7"/>
  <c r="K2287" i="7"/>
  <c r="K2288" i="7"/>
  <c r="K2289" i="7"/>
  <c r="K2290" i="7"/>
  <c r="K2291" i="7"/>
  <c r="K2292" i="7"/>
  <c r="K2293" i="7"/>
  <c r="K2294" i="7"/>
  <c r="K2295" i="7"/>
  <c r="K2296" i="7"/>
  <c r="K2297" i="7"/>
  <c r="K2298" i="7"/>
  <c r="K2299" i="7"/>
  <c r="K2300" i="7"/>
  <c r="K2301" i="7"/>
  <c r="K2302" i="7"/>
  <c r="K2303" i="7"/>
  <c r="K2304" i="7"/>
  <c r="K2305" i="7"/>
  <c r="K2306" i="7"/>
  <c r="K2307" i="7"/>
  <c r="K2308" i="7"/>
  <c r="K2309" i="7"/>
  <c r="K2310" i="7"/>
  <c r="K2311" i="7"/>
  <c r="K2312" i="7"/>
  <c r="K2313" i="7"/>
  <c r="K2314" i="7"/>
  <c r="K2315" i="7"/>
  <c r="K2316" i="7"/>
  <c r="K2317" i="7"/>
  <c r="K2318" i="7"/>
  <c r="K2319" i="7"/>
  <c r="K2320" i="7"/>
  <c r="K2321" i="7"/>
  <c r="K2322" i="7"/>
  <c r="K2323" i="7"/>
  <c r="K2324" i="7"/>
  <c r="K2325" i="7"/>
  <c r="K2326" i="7"/>
  <c r="K2327" i="7"/>
  <c r="K2328" i="7"/>
  <c r="K2329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S7" i="7"/>
  <c r="R7" i="7"/>
  <c r="Q7" i="7"/>
  <c r="P7" i="7"/>
  <c r="O7" i="7"/>
  <c r="N7" i="7"/>
  <c r="M7" i="7"/>
  <c r="L7" i="7"/>
  <c r="K7" i="7"/>
  <c r="J9" i="13" l="1"/>
  <c r="H9" i="13"/>
  <c r="J3" i="3"/>
  <c r="N3" i="3" s="1"/>
  <c r="C22" i="1"/>
  <c r="C5" i="3" s="1"/>
  <c r="C30" i="1"/>
  <c r="C18" i="3" s="1"/>
  <c r="C38" i="1"/>
  <c r="C46" i="1"/>
  <c r="C54" i="1"/>
  <c r="C22" i="3" s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14" i="1"/>
  <c r="C8" i="3" s="1"/>
  <c r="AZ8" i="15"/>
  <c r="AZ9" i="17"/>
  <c r="AZ10" i="17"/>
  <c r="AZ11" i="17"/>
  <c r="AZ12" i="17"/>
  <c r="AZ13" i="17"/>
  <c r="AZ14" i="17"/>
  <c r="AZ15" i="17"/>
  <c r="AZ16" i="17"/>
  <c r="AZ17" i="17"/>
  <c r="AZ18" i="17"/>
  <c r="AZ19" i="17"/>
  <c r="AZ20" i="17"/>
  <c r="AZ21" i="17"/>
  <c r="AZ22" i="17"/>
  <c r="AZ23" i="17"/>
  <c r="AZ24" i="17"/>
  <c r="AZ25" i="17"/>
  <c r="AZ26" i="17"/>
  <c r="AZ27" i="17"/>
  <c r="AZ28" i="17"/>
  <c r="AZ29" i="17"/>
  <c r="AZ30" i="17"/>
  <c r="AZ31" i="17"/>
  <c r="AZ32" i="17"/>
  <c r="AZ33" i="17"/>
  <c r="AZ34" i="17"/>
  <c r="AZ35" i="17"/>
  <c r="AZ36" i="17"/>
  <c r="AZ37" i="17"/>
  <c r="AZ38" i="17"/>
  <c r="AZ39" i="17"/>
  <c r="AZ40" i="17"/>
  <c r="AZ41" i="17"/>
  <c r="AZ42" i="17"/>
  <c r="AZ43" i="17"/>
  <c r="AZ44" i="17"/>
  <c r="AZ45" i="17"/>
  <c r="AZ46" i="17"/>
  <c r="AZ47" i="17"/>
  <c r="AZ48" i="17"/>
  <c r="AZ49" i="17"/>
  <c r="AZ50" i="17"/>
  <c r="AZ51" i="17"/>
  <c r="AZ52" i="17"/>
  <c r="AZ53" i="17"/>
  <c r="AZ54" i="17"/>
  <c r="AZ55" i="17"/>
  <c r="AZ56" i="17"/>
  <c r="AZ57" i="17"/>
  <c r="AZ58" i="17"/>
  <c r="AZ59" i="17"/>
  <c r="AZ60" i="17"/>
  <c r="AZ61" i="17"/>
  <c r="AZ62" i="17"/>
  <c r="AZ63" i="17"/>
  <c r="AZ64" i="17"/>
  <c r="AZ65" i="17"/>
  <c r="AZ66" i="17"/>
  <c r="AZ67" i="17"/>
  <c r="AZ68" i="17"/>
  <c r="AZ69" i="17"/>
  <c r="AZ70" i="17"/>
  <c r="AZ71" i="17"/>
  <c r="AZ72" i="17"/>
  <c r="AZ73" i="17"/>
  <c r="AZ74" i="17"/>
  <c r="AZ75" i="17"/>
  <c r="AZ76" i="17"/>
  <c r="AZ77" i="17"/>
  <c r="AZ78" i="17"/>
  <c r="AZ79" i="17"/>
  <c r="AZ80" i="17"/>
  <c r="AZ81" i="17"/>
  <c r="AZ82" i="17"/>
  <c r="AZ83" i="17"/>
  <c r="AZ84" i="17"/>
  <c r="AZ85" i="17"/>
  <c r="AZ86" i="17"/>
  <c r="AZ87" i="17"/>
  <c r="AZ88" i="17"/>
  <c r="AZ89" i="17"/>
  <c r="AZ90" i="17"/>
  <c r="AZ91" i="17"/>
  <c r="AZ92" i="17"/>
  <c r="AZ93" i="17"/>
  <c r="AZ94" i="17"/>
  <c r="AZ95" i="17"/>
  <c r="AZ96" i="17"/>
  <c r="AZ97" i="17"/>
  <c r="AZ98" i="17"/>
  <c r="AZ99" i="17"/>
  <c r="AZ100" i="17"/>
  <c r="AZ101" i="17"/>
  <c r="AZ102" i="17"/>
  <c r="AZ103" i="17"/>
  <c r="AZ104" i="17"/>
  <c r="AZ105" i="17"/>
  <c r="AZ106" i="17"/>
  <c r="AZ107" i="17"/>
  <c r="AZ108" i="17"/>
  <c r="AZ109" i="17"/>
  <c r="AZ110" i="17"/>
  <c r="AZ111" i="17"/>
  <c r="AZ112" i="17"/>
  <c r="AZ113" i="17"/>
  <c r="AZ114" i="17"/>
  <c r="AZ115" i="17"/>
  <c r="AZ116" i="17"/>
  <c r="AZ117" i="17"/>
  <c r="AZ118" i="17"/>
  <c r="AZ119" i="17"/>
  <c r="AZ120" i="17"/>
  <c r="AZ121" i="17"/>
  <c r="AZ122" i="17"/>
  <c r="AZ123" i="17"/>
  <c r="AZ124" i="17"/>
  <c r="AZ125" i="17"/>
  <c r="AZ126" i="17"/>
  <c r="AZ127" i="17"/>
  <c r="AZ128" i="17"/>
  <c r="AZ129" i="17"/>
  <c r="AZ130" i="17"/>
  <c r="AZ131" i="17"/>
  <c r="AZ132" i="17"/>
  <c r="AZ133" i="17"/>
  <c r="AZ134" i="17"/>
  <c r="AZ135" i="17"/>
  <c r="AZ136" i="17"/>
  <c r="AZ137" i="17"/>
  <c r="AZ138" i="17"/>
  <c r="AZ139" i="17"/>
  <c r="AZ140" i="17"/>
  <c r="AZ141" i="17"/>
  <c r="AZ142" i="17"/>
  <c r="AZ143" i="17"/>
  <c r="AZ144" i="17"/>
  <c r="AZ145" i="17"/>
  <c r="AZ146" i="17"/>
  <c r="AZ147" i="17"/>
  <c r="AZ148" i="17"/>
  <c r="AZ149" i="17"/>
  <c r="AZ150" i="17"/>
  <c r="AZ151" i="17"/>
  <c r="AZ152" i="17"/>
  <c r="AZ153" i="17"/>
  <c r="AZ154" i="17"/>
  <c r="AZ155" i="17"/>
  <c r="AZ156" i="17"/>
  <c r="AZ157" i="17"/>
  <c r="AZ158" i="17"/>
  <c r="AZ159" i="17"/>
  <c r="AZ160" i="17"/>
  <c r="AZ161" i="17"/>
  <c r="AZ162" i="17"/>
  <c r="AZ163" i="17"/>
  <c r="AZ164" i="17"/>
  <c r="AZ165" i="17"/>
  <c r="AZ166" i="17"/>
  <c r="AZ167" i="17"/>
  <c r="AZ168" i="17"/>
  <c r="AZ169" i="17"/>
  <c r="AZ170" i="17"/>
  <c r="AZ171" i="17"/>
  <c r="AZ172" i="17"/>
  <c r="AZ173" i="17"/>
  <c r="AZ174" i="17"/>
  <c r="AZ175" i="17"/>
  <c r="AZ176" i="17"/>
  <c r="AZ177" i="17"/>
  <c r="AZ178" i="17"/>
  <c r="AZ179" i="17"/>
  <c r="AZ180" i="17"/>
  <c r="AZ181" i="17"/>
  <c r="AZ182" i="17"/>
  <c r="AZ183" i="17"/>
  <c r="AZ184" i="17"/>
  <c r="AZ185" i="17"/>
  <c r="AZ186" i="17"/>
  <c r="AZ187" i="17"/>
  <c r="AZ188" i="17"/>
  <c r="AZ189" i="17"/>
  <c r="AZ190" i="17"/>
  <c r="AZ191" i="17"/>
  <c r="AZ192" i="17"/>
  <c r="AZ193" i="17"/>
  <c r="AZ194" i="17"/>
  <c r="AZ195" i="17"/>
  <c r="AZ196" i="17"/>
  <c r="AZ197" i="17"/>
  <c r="AZ198" i="17"/>
  <c r="AZ199" i="17"/>
  <c r="AZ200" i="17"/>
  <c r="AZ201" i="17"/>
  <c r="AZ202" i="17"/>
  <c r="AZ203" i="17"/>
  <c r="AZ204" i="17"/>
  <c r="AZ205" i="17"/>
  <c r="AZ206" i="17"/>
  <c r="AZ207" i="17"/>
  <c r="AZ208" i="17"/>
  <c r="AZ209" i="17"/>
  <c r="AZ210" i="17"/>
  <c r="AZ211" i="17"/>
  <c r="AZ212" i="17"/>
  <c r="AZ213" i="17"/>
  <c r="AZ214" i="17"/>
  <c r="AZ215" i="17"/>
  <c r="AZ216" i="17"/>
  <c r="AZ217" i="17"/>
  <c r="AZ218" i="17"/>
  <c r="AZ219" i="17"/>
  <c r="AZ220" i="17"/>
  <c r="AZ221" i="17"/>
  <c r="AZ222" i="17"/>
  <c r="AZ223" i="17"/>
  <c r="AZ224" i="17"/>
  <c r="AZ225" i="17"/>
  <c r="AZ226" i="17"/>
  <c r="AZ227" i="17"/>
  <c r="AZ228" i="17"/>
  <c r="AZ229" i="17"/>
  <c r="AZ230" i="17"/>
  <c r="AZ231" i="17"/>
  <c r="AZ232" i="17"/>
  <c r="AZ233" i="17"/>
  <c r="AZ234" i="17"/>
  <c r="AZ235" i="17"/>
  <c r="AZ236" i="17"/>
  <c r="AZ237" i="17"/>
  <c r="AZ238" i="17"/>
  <c r="AZ239" i="17"/>
  <c r="AZ240" i="17"/>
  <c r="AZ241" i="17"/>
  <c r="AZ242" i="17"/>
  <c r="AZ243" i="17"/>
  <c r="AZ244" i="17"/>
  <c r="AZ245" i="17"/>
  <c r="AZ246" i="17"/>
  <c r="AZ247" i="17"/>
  <c r="AZ248" i="17"/>
  <c r="AZ249" i="17"/>
  <c r="AZ250" i="17"/>
  <c r="AZ251" i="17"/>
  <c r="AZ252" i="17"/>
  <c r="AZ253" i="17"/>
  <c r="AZ254" i="17"/>
  <c r="AZ255" i="17"/>
  <c r="AZ256" i="17"/>
  <c r="AZ257" i="17"/>
  <c r="AZ258" i="17"/>
  <c r="AZ259" i="17"/>
  <c r="AZ260" i="17"/>
  <c r="AZ261" i="17"/>
  <c r="AZ262" i="17"/>
  <c r="AZ263" i="17"/>
  <c r="AZ264" i="17"/>
  <c r="AZ265" i="17"/>
  <c r="AZ266" i="17"/>
  <c r="AZ267" i="17"/>
  <c r="AZ268" i="17"/>
  <c r="AZ269" i="17"/>
  <c r="AZ270" i="17"/>
  <c r="AZ271" i="17"/>
  <c r="AZ272" i="17"/>
  <c r="AZ273" i="17"/>
  <c r="AZ274" i="17"/>
  <c r="AZ275" i="17"/>
  <c r="AZ276" i="17"/>
  <c r="AZ277" i="17"/>
  <c r="AZ278" i="17"/>
  <c r="AZ279" i="17"/>
  <c r="AZ280" i="17"/>
  <c r="AZ281" i="17"/>
  <c r="AZ282" i="17"/>
  <c r="AZ283" i="17"/>
  <c r="AZ284" i="17"/>
  <c r="AZ285" i="17"/>
  <c r="AZ286" i="17"/>
  <c r="AZ287" i="17"/>
  <c r="AZ288" i="17"/>
  <c r="AZ289" i="17"/>
  <c r="AZ290" i="17"/>
  <c r="AZ291" i="17"/>
  <c r="AZ292" i="17"/>
  <c r="AZ293" i="17"/>
  <c r="AZ294" i="17"/>
  <c r="AZ295" i="17"/>
  <c r="AZ296" i="17"/>
  <c r="AZ297" i="17"/>
  <c r="AZ298" i="17"/>
  <c r="AZ299" i="17"/>
  <c r="AZ300" i="17"/>
  <c r="AZ301" i="17"/>
  <c r="AZ302" i="17"/>
  <c r="AZ303" i="17"/>
  <c r="AZ304" i="17"/>
  <c r="AZ305" i="17"/>
  <c r="AZ306" i="17"/>
  <c r="AZ307" i="17"/>
  <c r="AZ308" i="17"/>
  <c r="AZ309" i="17"/>
  <c r="AZ310" i="17"/>
  <c r="AZ311" i="17"/>
  <c r="AZ312" i="17"/>
  <c r="AZ313" i="17"/>
  <c r="AZ314" i="17"/>
  <c r="AZ315" i="17"/>
  <c r="AZ316" i="17"/>
  <c r="AZ317" i="17"/>
  <c r="AZ318" i="17"/>
  <c r="AZ319" i="17"/>
  <c r="AZ320" i="17"/>
  <c r="AZ321" i="17"/>
  <c r="AZ322" i="17"/>
  <c r="AZ323" i="17"/>
  <c r="AZ324" i="17"/>
  <c r="AZ8" i="17"/>
  <c r="C4" i="3"/>
  <c r="G4" i="3" s="1"/>
  <c r="C10" i="3"/>
  <c r="G10" i="3" s="1"/>
  <c r="C16" i="3"/>
  <c r="G16" i="3" s="1"/>
  <c r="C21" i="3"/>
  <c r="G21" i="3" s="1"/>
  <c r="C26" i="3"/>
  <c r="G26" i="3" s="1"/>
  <c r="C31" i="3"/>
  <c r="G31" i="3" s="1"/>
  <c r="AZ9" i="15"/>
  <c r="AZ10" i="15"/>
  <c r="AZ11" i="15"/>
  <c r="AZ12" i="15"/>
  <c r="AZ13" i="15"/>
  <c r="AZ14" i="15"/>
  <c r="AZ15" i="15"/>
  <c r="AZ16" i="15"/>
  <c r="AZ17" i="15"/>
  <c r="AZ18" i="15"/>
  <c r="AZ19" i="15"/>
  <c r="AZ20" i="15"/>
  <c r="AZ21" i="15"/>
  <c r="AZ22" i="15"/>
  <c r="AZ23" i="15"/>
  <c r="AZ24" i="15"/>
  <c r="AZ25" i="15"/>
  <c r="AZ26" i="15"/>
  <c r="AZ27" i="15"/>
  <c r="AZ28" i="15"/>
  <c r="AZ29" i="15"/>
  <c r="AZ30" i="15"/>
  <c r="AZ31" i="15"/>
  <c r="AZ32" i="15"/>
  <c r="AZ33" i="15"/>
  <c r="AZ34" i="15"/>
  <c r="AZ35" i="15"/>
  <c r="AZ36" i="15"/>
  <c r="AZ37" i="15"/>
  <c r="AZ38" i="15"/>
  <c r="AZ39" i="15"/>
  <c r="AZ40" i="15"/>
  <c r="AZ41" i="15"/>
  <c r="AZ42" i="15"/>
  <c r="AZ43" i="15"/>
  <c r="AZ44" i="15"/>
  <c r="AZ45" i="15"/>
  <c r="AZ46" i="15"/>
  <c r="AZ47" i="15"/>
  <c r="AZ48" i="15"/>
  <c r="AZ49" i="15"/>
  <c r="AZ50" i="15"/>
  <c r="AZ51" i="15"/>
  <c r="AZ52" i="15"/>
  <c r="AZ53" i="15"/>
  <c r="AZ54" i="15"/>
  <c r="AZ55" i="15"/>
  <c r="AZ56" i="15"/>
  <c r="AZ57" i="15"/>
  <c r="AZ58" i="15"/>
  <c r="AZ59" i="15"/>
  <c r="AZ60" i="15"/>
  <c r="AZ61" i="15"/>
  <c r="AZ62" i="15"/>
  <c r="AZ63" i="15"/>
  <c r="AZ64" i="15"/>
  <c r="AZ65" i="15"/>
  <c r="AZ66" i="15"/>
  <c r="AZ67" i="15"/>
  <c r="AZ68" i="15"/>
  <c r="AZ69" i="15"/>
  <c r="AZ70" i="15"/>
  <c r="AZ71" i="15"/>
  <c r="AZ72" i="15"/>
  <c r="AZ73" i="15"/>
  <c r="AZ74" i="15"/>
  <c r="AZ75" i="15"/>
  <c r="AZ76" i="15"/>
  <c r="AZ77" i="15"/>
  <c r="AZ78" i="15"/>
  <c r="AZ79" i="15"/>
  <c r="AZ80" i="15"/>
  <c r="AZ81" i="15"/>
  <c r="AZ82" i="15"/>
  <c r="AZ83" i="15"/>
  <c r="AZ84" i="15"/>
  <c r="AZ85" i="15"/>
  <c r="AZ86" i="15"/>
  <c r="AZ87" i="15"/>
  <c r="AZ88" i="15"/>
  <c r="AZ89" i="15"/>
  <c r="AZ90" i="15"/>
  <c r="AZ91" i="15"/>
  <c r="AZ92" i="15"/>
  <c r="AZ93" i="15"/>
  <c r="AZ94" i="15"/>
  <c r="AZ95" i="15"/>
  <c r="AZ96" i="15"/>
  <c r="AZ97" i="15"/>
  <c r="AZ98" i="15"/>
  <c r="AZ99" i="15"/>
  <c r="AZ100" i="15"/>
  <c r="AZ101" i="15"/>
  <c r="AZ102" i="15"/>
  <c r="AZ103" i="15"/>
  <c r="AZ104" i="15"/>
  <c r="AZ105" i="15"/>
  <c r="AZ106" i="15"/>
  <c r="AZ107" i="15"/>
  <c r="AZ108" i="15"/>
  <c r="AZ109" i="15"/>
  <c r="AZ110" i="15"/>
  <c r="AZ111" i="15"/>
  <c r="AZ112" i="15"/>
  <c r="AZ113" i="15"/>
  <c r="AZ114" i="15"/>
  <c r="AZ115" i="15"/>
  <c r="AZ116" i="15"/>
  <c r="AZ117" i="15"/>
  <c r="AZ118" i="15"/>
  <c r="AZ119" i="15"/>
  <c r="AZ120" i="15"/>
  <c r="AZ121" i="15"/>
  <c r="AZ122" i="15"/>
  <c r="AZ123" i="15"/>
  <c r="AZ124" i="15"/>
  <c r="AZ125" i="15"/>
  <c r="AZ126" i="15"/>
  <c r="AZ127" i="15"/>
  <c r="AZ128" i="15"/>
  <c r="AZ129" i="15"/>
  <c r="AZ130" i="15"/>
  <c r="AZ131" i="15"/>
  <c r="AZ132" i="15"/>
  <c r="AZ133" i="15"/>
  <c r="AZ134" i="15"/>
  <c r="AZ135" i="15"/>
  <c r="AZ136" i="15"/>
  <c r="AZ137" i="15"/>
  <c r="AZ138" i="15"/>
  <c r="AZ139" i="15"/>
  <c r="AZ140" i="15"/>
  <c r="AZ141" i="15"/>
  <c r="AZ142" i="15"/>
  <c r="AZ143" i="15"/>
  <c r="AZ144" i="15"/>
  <c r="AZ145" i="15"/>
  <c r="AZ146" i="15"/>
  <c r="AZ147" i="15"/>
  <c r="AZ148" i="15"/>
  <c r="AZ149" i="15"/>
  <c r="AZ150" i="15"/>
  <c r="AZ151" i="15"/>
  <c r="AZ152" i="15"/>
  <c r="AZ153" i="15"/>
  <c r="AZ154" i="15"/>
  <c r="AZ155" i="15"/>
  <c r="AZ156" i="15"/>
  <c r="AZ157" i="15"/>
  <c r="AZ158" i="15"/>
  <c r="AZ159" i="15"/>
  <c r="AZ160" i="15"/>
  <c r="AZ161" i="15"/>
  <c r="AZ162" i="15"/>
  <c r="AZ163" i="15"/>
  <c r="AZ164" i="15"/>
  <c r="AZ165" i="15"/>
  <c r="AZ166" i="15"/>
  <c r="AZ167" i="15"/>
  <c r="AZ168" i="15"/>
  <c r="AZ169" i="15"/>
  <c r="AZ170" i="15"/>
  <c r="AZ171" i="15"/>
  <c r="AZ172" i="15"/>
  <c r="AZ173" i="15"/>
  <c r="AZ174" i="15"/>
  <c r="AZ175" i="15"/>
  <c r="AZ176" i="15"/>
  <c r="AZ177" i="15"/>
  <c r="AZ178" i="15"/>
  <c r="AZ179" i="15"/>
  <c r="AZ180" i="15"/>
  <c r="AZ181" i="15"/>
  <c r="AZ182" i="15"/>
  <c r="AZ183" i="15"/>
  <c r="AZ184" i="15"/>
  <c r="AZ185" i="15"/>
  <c r="AZ186" i="15"/>
  <c r="AZ187" i="15"/>
  <c r="AZ188" i="15"/>
  <c r="AZ189" i="15"/>
  <c r="AZ190" i="15"/>
  <c r="AZ191" i="15"/>
  <c r="AZ192" i="15"/>
  <c r="AZ193" i="15"/>
  <c r="AZ194" i="15"/>
  <c r="AZ195" i="15"/>
  <c r="AZ196" i="15"/>
  <c r="AZ197" i="15"/>
  <c r="AZ198" i="15"/>
  <c r="AZ199" i="15"/>
  <c r="AZ200" i="15"/>
  <c r="AZ201" i="15"/>
  <c r="AZ202" i="15"/>
  <c r="AZ203" i="15"/>
  <c r="AZ204" i="15"/>
  <c r="AZ205" i="15"/>
  <c r="AZ206" i="15"/>
  <c r="AZ207" i="15"/>
  <c r="AZ208" i="15"/>
  <c r="AZ209" i="15"/>
  <c r="AZ210" i="15"/>
  <c r="AZ211" i="15"/>
  <c r="AZ212" i="15"/>
  <c r="AZ213" i="15"/>
  <c r="AZ214" i="15"/>
  <c r="AZ215" i="15"/>
  <c r="AZ216" i="15"/>
  <c r="AZ217" i="15"/>
  <c r="AZ218" i="15"/>
  <c r="AZ219" i="15"/>
  <c r="AZ220" i="15"/>
  <c r="AZ221" i="15"/>
  <c r="AZ222" i="15"/>
  <c r="AZ223" i="15"/>
  <c r="AZ224" i="15"/>
  <c r="AZ225" i="15"/>
  <c r="AZ226" i="15"/>
  <c r="AZ227" i="15"/>
  <c r="AZ228" i="15"/>
  <c r="AZ229" i="15"/>
  <c r="AZ230" i="15"/>
  <c r="AZ231" i="15"/>
  <c r="AZ232" i="15"/>
  <c r="AZ233" i="15"/>
  <c r="AZ234" i="15"/>
  <c r="AZ235" i="15"/>
  <c r="AZ236" i="15"/>
  <c r="AZ237" i="15"/>
  <c r="AZ238" i="15"/>
  <c r="AZ239" i="15"/>
  <c r="AZ240" i="15"/>
  <c r="AZ241" i="15"/>
  <c r="AZ242" i="15"/>
  <c r="AZ243" i="15"/>
  <c r="AZ244" i="15"/>
  <c r="AZ245" i="15"/>
  <c r="AZ246" i="15"/>
  <c r="AZ247" i="15"/>
  <c r="AZ248" i="15"/>
  <c r="AZ249" i="15"/>
  <c r="AZ250" i="15"/>
  <c r="AZ251" i="15"/>
  <c r="AZ252" i="15"/>
  <c r="AZ10" i="4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K12" i="3" s="1"/>
  <c r="L12" i="3" s="1"/>
  <c r="J13" i="3"/>
  <c r="N13" i="3" s="1"/>
  <c r="J14" i="3"/>
  <c r="N14" i="3" s="1"/>
  <c r="J15" i="3"/>
  <c r="N15" i="3" s="1"/>
  <c r="J16" i="3"/>
  <c r="N16" i="3" s="1"/>
  <c r="J17" i="3"/>
  <c r="N17" i="3" s="1"/>
  <c r="J18" i="3"/>
  <c r="N18" i="3" s="1"/>
  <c r="J19" i="3"/>
  <c r="N19" i="3" s="1"/>
  <c r="J20" i="3"/>
  <c r="K20" i="3" s="1"/>
  <c r="L20" i="3" s="1"/>
  <c r="J21" i="3"/>
  <c r="K21" i="3" s="1"/>
  <c r="L21" i="3" s="1"/>
  <c r="J22" i="3"/>
  <c r="K22" i="3" s="1"/>
  <c r="L22" i="3" s="1"/>
  <c r="J23" i="3"/>
  <c r="N23" i="3" s="1"/>
  <c r="J24" i="3"/>
  <c r="BA235" i="4" s="1"/>
  <c r="J5" i="13"/>
  <c r="J3" i="13"/>
  <c r="J7" i="13"/>
  <c r="H7" i="13"/>
  <c r="H5" i="13"/>
  <c r="AZ253" i="4"/>
  <c r="AZ254" i="4"/>
  <c r="AZ255" i="4"/>
  <c r="AZ256" i="4"/>
  <c r="AZ257" i="4"/>
  <c r="AZ258" i="4"/>
  <c r="AZ259" i="4"/>
  <c r="AZ260" i="4"/>
  <c r="AZ261" i="4"/>
  <c r="AZ262" i="4"/>
  <c r="AZ263" i="4"/>
  <c r="AZ264" i="4"/>
  <c r="AZ265" i="4"/>
  <c r="AZ266" i="4"/>
  <c r="AZ267" i="4"/>
  <c r="AZ268" i="4"/>
  <c r="AZ269" i="4"/>
  <c r="AZ270" i="4"/>
  <c r="AZ271" i="4"/>
  <c r="AZ272" i="4"/>
  <c r="AZ273" i="4"/>
  <c r="AZ274" i="4"/>
  <c r="AZ275" i="4"/>
  <c r="AZ276" i="4"/>
  <c r="AZ277" i="4"/>
  <c r="AZ278" i="4"/>
  <c r="AZ279" i="4"/>
  <c r="AZ280" i="4"/>
  <c r="AZ281" i="4"/>
  <c r="AZ282" i="4"/>
  <c r="AZ283" i="4"/>
  <c r="AZ284" i="4"/>
  <c r="AZ285" i="4"/>
  <c r="AZ286" i="4"/>
  <c r="AZ287" i="4"/>
  <c r="AZ288" i="4"/>
  <c r="AZ289" i="4"/>
  <c r="AZ290" i="4"/>
  <c r="AZ291" i="4"/>
  <c r="AZ292" i="4"/>
  <c r="AZ293" i="4"/>
  <c r="AZ294" i="4"/>
  <c r="AZ295" i="4"/>
  <c r="AZ296" i="4"/>
  <c r="AZ297" i="4"/>
  <c r="AZ298" i="4"/>
  <c r="AZ299" i="4"/>
  <c r="AZ300" i="4"/>
  <c r="AZ301" i="4"/>
  <c r="AZ302" i="4"/>
  <c r="AZ303" i="4"/>
  <c r="AZ304" i="4"/>
  <c r="AZ305" i="4"/>
  <c r="AZ306" i="4"/>
  <c r="AZ307" i="4"/>
  <c r="AZ308" i="4"/>
  <c r="AZ309" i="4"/>
  <c r="AZ310" i="4"/>
  <c r="AZ311" i="4"/>
  <c r="AZ312" i="4"/>
  <c r="AZ313" i="4"/>
  <c r="AZ314" i="4"/>
  <c r="AZ315" i="4"/>
  <c r="AZ316" i="4"/>
  <c r="AZ317" i="4"/>
  <c r="AZ318" i="4"/>
  <c r="AZ319" i="4"/>
  <c r="AZ320" i="4"/>
  <c r="AZ321" i="4"/>
  <c r="AZ322" i="4"/>
  <c r="AZ323" i="4"/>
  <c r="AZ324" i="4"/>
  <c r="AZ9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150" i="4"/>
  <c r="AZ151" i="4"/>
  <c r="AZ152" i="4"/>
  <c r="AZ153" i="4"/>
  <c r="AZ154" i="4"/>
  <c r="AZ155" i="4"/>
  <c r="AZ156" i="4"/>
  <c r="AZ157" i="4"/>
  <c r="AZ158" i="4"/>
  <c r="AZ159" i="4"/>
  <c r="AZ160" i="4"/>
  <c r="AZ161" i="4"/>
  <c r="AZ162" i="4"/>
  <c r="AZ163" i="4"/>
  <c r="AZ164" i="4"/>
  <c r="AZ165" i="4"/>
  <c r="AZ166" i="4"/>
  <c r="AZ167" i="4"/>
  <c r="AZ168" i="4"/>
  <c r="AZ169" i="4"/>
  <c r="AZ170" i="4"/>
  <c r="AZ171" i="4"/>
  <c r="AZ172" i="4"/>
  <c r="AZ173" i="4"/>
  <c r="AZ174" i="4"/>
  <c r="AZ175" i="4"/>
  <c r="AZ176" i="4"/>
  <c r="AZ177" i="4"/>
  <c r="AZ178" i="4"/>
  <c r="AZ179" i="4"/>
  <c r="AZ180" i="4"/>
  <c r="AZ181" i="4"/>
  <c r="AZ182" i="4"/>
  <c r="AZ183" i="4"/>
  <c r="AZ184" i="4"/>
  <c r="AZ185" i="4"/>
  <c r="AZ186" i="4"/>
  <c r="AZ187" i="4"/>
  <c r="AZ188" i="4"/>
  <c r="AZ189" i="4"/>
  <c r="AZ190" i="4"/>
  <c r="AZ191" i="4"/>
  <c r="AZ192" i="4"/>
  <c r="AZ193" i="4"/>
  <c r="AZ194" i="4"/>
  <c r="AZ195" i="4"/>
  <c r="AZ196" i="4"/>
  <c r="AZ197" i="4"/>
  <c r="AZ198" i="4"/>
  <c r="AZ199" i="4"/>
  <c r="AZ200" i="4"/>
  <c r="AZ201" i="4"/>
  <c r="AZ202" i="4"/>
  <c r="AZ203" i="4"/>
  <c r="AZ204" i="4"/>
  <c r="AZ205" i="4"/>
  <c r="AZ206" i="4"/>
  <c r="AZ207" i="4"/>
  <c r="AZ208" i="4"/>
  <c r="AZ209" i="4"/>
  <c r="AZ210" i="4"/>
  <c r="AZ211" i="4"/>
  <c r="AZ212" i="4"/>
  <c r="AZ213" i="4"/>
  <c r="AZ214" i="4"/>
  <c r="AZ215" i="4"/>
  <c r="AZ216" i="4"/>
  <c r="AZ217" i="4"/>
  <c r="AZ218" i="4"/>
  <c r="AZ219" i="4"/>
  <c r="AZ220" i="4"/>
  <c r="AZ221" i="4"/>
  <c r="AZ222" i="4"/>
  <c r="AZ223" i="4"/>
  <c r="AZ224" i="4"/>
  <c r="AZ225" i="4"/>
  <c r="AZ226" i="4"/>
  <c r="AZ227" i="4"/>
  <c r="AZ228" i="4"/>
  <c r="AZ229" i="4"/>
  <c r="AZ230" i="4"/>
  <c r="AZ231" i="4"/>
  <c r="AZ232" i="4"/>
  <c r="AZ233" i="4"/>
  <c r="AZ234" i="4"/>
  <c r="AZ235" i="4"/>
  <c r="AZ236" i="4"/>
  <c r="AZ237" i="4"/>
  <c r="AZ238" i="4"/>
  <c r="AZ239" i="4"/>
  <c r="AZ240" i="4"/>
  <c r="AZ241" i="4"/>
  <c r="AZ242" i="4"/>
  <c r="AZ243" i="4"/>
  <c r="AZ244" i="4"/>
  <c r="AZ245" i="4"/>
  <c r="AZ246" i="4"/>
  <c r="AZ247" i="4"/>
  <c r="AZ248" i="4"/>
  <c r="AZ249" i="4"/>
  <c r="AZ250" i="4"/>
  <c r="AZ251" i="4"/>
  <c r="AZ252" i="4"/>
  <c r="AZ8" i="4"/>
  <c r="G3" i="1"/>
  <c r="F1" i="3"/>
  <c r="M1" i="3"/>
  <c r="K3" i="3"/>
  <c r="L3" i="3" s="1"/>
  <c r="K19" i="3"/>
  <c r="L19" i="3" s="1"/>
  <c r="K15" i="3"/>
  <c r="L15" i="3" s="1"/>
  <c r="K11" i="3"/>
  <c r="L11" i="3" s="1"/>
  <c r="K7" i="3"/>
  <c r="L7" i="3" s="1"/>
  <c r="K4" i="3"/>
  <c r="L4" i="3" s="1"/>
  <c r="BA193" i="15"/>
  <c r="BA154" i="15"/>
  <c r="BA113" i="15"/>
  <c r="K8" i="3" l="1"/>
  <c r="L8" i="3" s="1"/>
  <c r="K16" i="3"/>
  <c r="L16" i="3" s="1"/>
  <c r="K14" i="3"/>
  <c r="L14" i="3" s="1"/>
  <c r="K10" i="3"/>
  <c r="L10" i="3" s="1"/>
  <c r="K6" i="3"/>
  <c r="L6" i="3" s="1"/>
  <c r="K18" i="3"/>
  <c r="L18" i="3" s="1"/>
  <c r="BA16" i="15"/>
  <c r="BA65" i="15"/>
  <c r="BA232" i="15"/>
  <c r="G18" i="3"/>
  <c r="BA129" i="15"/>
  <c r="G5" i="3"/>
  <c r="BA24" i="15"/>
  <c r="G22" i="3"/>
  <c r="BA161" i="15"/>
  <c r="G8" i="3"/>
  <c r="BA49" i="15"/>
  <c r="K13" i="3"/>
  <c r="L13" i="3" s="1"/>
  <c r="K17" i="3"/>
  <c r="L17" i="3" s="1"/>
  <c r="C30" i="3"/>
  <c r="BA231" i="15" s="1"/>
  <c r="C25" i="3"/>
  <c r="BA184" i="15" s="1"/>
  <c r="C20" i="3"/>
  <c r="BA151" i="15" s="1"/>
  <c r="C14" i="3"/>
  <c r="BA96" i="15" s="1"/>
  <c r="C9" i="3"/>
  <c r="BA56" i="15" s="1"/>
  <c r="C3" i="3"/>
  <c r="G3" i="3" s="1"/>
  <c r="K5" i="3"/>
  <c r="L5" i="3" s="1"/>
  <c r="K9" i="3"/>
  <c r="L9" i="3" s="1"/>
  <c r="C29" i="3"/>
  <c r="BA216" i="15" s="1"/>
  <c r="C24" i="3"/>
  <c r="BA179" i="15" s="1"/>
  <c r="C13" i="3"/>
  <c r="BA91" i="15" s="1"/>
  <c r="C27" i="3"/>
  <c r="BA202" i="15" s="1"/>
  <c r="C32" i="3"/>
  <c r="BA241" i="15" s="1"/>
  <c r="C28" i="3"/>
  <c r="BA211" i="15" s="1"/>
  <c r="C17" i="3"/>
  <c r="BA123" i="15" s="1"/>
  <c r="C12" i="3"/>
  <c r="BA84" i="15" s="1"/>
  <c r="C6" i="3"/>
  <c r="BA39" i="15" s="1"/>
  <c r="K23" i="3"/>
  <c r="L23" i="3" s="1"/>
  <c r="N24" i="3"/>
  <c r="N20" i="3"/>
  <c r="N12" i="3"/>
  <c r="N21" i="3"/>
  <c r="N22" i="3"/>
  <c r="C23" i="3"/>
  <c r="BA175" i="15" s="1"/>
  <c r="C19" i="3"/>
  <c r="BA143" i="15" s="1"/>
  <c r="C15" i="3"/>
  <c r="BA109" i="15" s="1"/>
  <c r="C11" i="3"/>
  <c r="BA76" i="15" s="1"/>
  <c r="C7" i="3"/>
  <c r="BA42" i="15" s="1"/>
  <c r="BA43" i="17"/>
  <c r="BA49" i="17"/>
  <c r="BA85" i="17"/>
  <c r="BA89" i="17"/>
  <c r="BA93" i="17"/>
  <c r="BA97" i="17"/>
  <c r="BA108" i="17"/>
  <c r="BA112" i="17"/>
  <c r="BA118" i="17"/>
  <c r="BA194" i="17"/>
  <c r="BA198" i="17"/>
  <c r="BA202" i="17"/>
  <c r="BA215" i="17"/>
  <c r="BA217" i="17"/>
  <c r="BA221" i="17"/>
  <c r="BA236" i="17"/>
  <c r="BA240" i="17"/>
  <c r="BA244" i="17"/>
  <c r="BA248" i="17"/>
  <c r="BA252" i="17"/>
  <c r="BA258" i="17"/>
  <c r="BA64" i="17"/>
  <c r="BA66" i="17"/>
  <c r="BA68" i="17"/>
  <c r="BA70" i="17"/>
  <c r="BA72" i="17"/>
  <c r="BA74" i="17"/>
  <c r="BA136" i="17"/>
  <c r="BA138" i="17"/>
  <c r="BA140" i="17"/>
  <c r="BA142" i="17"/>
  <c r="BA144" i="17"/>
  <c r="BA146" i="17"/>
  <c r="BA156" i="17"/>
  <c r="BA158" i="17"/>
  <c r="BA160" i="17"/>
  <c r="BA162" i="17"/>
  <c r="BA164" i="17"/>
  <c r="BA175" i="17"/>
  <c r="BA177" i="17"/>
  <c r="BA179" i="17"/>
  <c r="BA181" i="17"/>
  <c r="BA183" i="17"/>
  <c r="BA44" i="17"/>
  <c r="BA48" i="17"/>
  <c r="BA52" i="17"/>
  <c r="BA88" i="17"/>
  <c r="BA92" i="17"/>
  <c r="BA96" i="17"/>
  <c r="BA111" i="17"/>
  <c r="BA115" i="17"/>
  <c r="BA119" i="17"/>
  <c r="BA195" i="17"/>
  <c r="BA199" i="17"/>
  <c r="BA214" i="17"/>
  <c r="BA218" i="17"/>
  <c r="BA233" i="17"/>
  <c r="BA237" i="17"/>
  <c r="BA241" i="17"/>
  <c r="BA245" i="17"/>
  <c r="BA249" i="17"/>
  <c r="BA253" i="17"/>
  <c r="BA255" i="17"/>
  <c r="BA257" i="17"/>
  <c r="BA261" i="17"/>
  <c r="BA263" i="17"/>
  <c r="BA265" i="17"/>
  <c r="BA267" i="17"/>
  <c r="BA269" i="17"/>
  <c r="BA271" i="17"/>
  <c r="BA273" i="17"/>
  <c r="BA275" i="17"/>
  <c r="BA277" i="17"/>
  <c r="BA279" i="17"/>
  <c r="BA281" i="17"/>
  <c r="BA283" i="17"/>
  <c r="BA285" i="17"/>
  <c r="BA287" i="17"/>
  <c r="BA289" i="17"/>
  <c r="BA248" i="4"/>
  <c r="BA42" i="17"/>
  <c r="BA46" i="17"/>
  <c r="BA50" i="17"/>
  <c r="BA86" i="17"/>
  <c r="BA90" i="17"/>
  <c r="BA94" i="17"/>
  <c r="BA109" i="17"/>
  <c r="BA113" i="17"/>
  <c r="BA117" i="17"/>
  <c r="BA121" i="17"/>
  <c r="BA197" i="17"/>
  <c r="BA201" i="17"/>
  <c r="BA216" i="17"/>
  <c r="BA220" i="17"/>
  <c r="BA222" i="17"/>
  <c r="BA235" i="17"/>
  <c r="BA239" i="17"/>
  <c r="BA243" i="17"/>
  <c r="BA247" i="17"/>
  <c r="BA251" i="17"/>
  <c r="BA259" i="17"/>
  <c r="BA252" i="4"/>
  <c r="BA65" i="17"/>
  <c r="BA67" i="17"/>
  <c r="BA69" i="17"/>
  <c r="BA71" i="17"/>
  <c r="BA73" i="17"/>
  <c r="BA75" i="17"/>
  <c r="BA135" i="17"/>
  <c r="BA137" i="17"/>
  <c r="BA139" i="17"/>
  <c r="BA141" i="17"/>
  <c r="BA143" i="17"/>
  <c r="BA145" i="17"/>
  <c r="BA155" i="17"/>
  <c r="BA157" i="17"/>
  <c r="BA159" i="17"/>
  <c r="BA161" i="17"/>
  <c r="BA163" i="17"/>
  <c r="BA176" i="17"/>
  <c r="BA178" i="17"/>
  <c r="BA180" i="17"/>
  <c r="BA182" i="17"/>
  <c r="BA184" i="17"/>
  <c r="BA45" i="17"/>
  <c r="BA47" i="17"/>
  <c r="BA51" i="17"/>
  <c r="BA87" i="17"/>
  <c r="BA91" i="17"/>
  <c r="BA95" i="17"/>
  <c r="BA110" i="17"/>
  <c r="BA114" i="17"/>
  <c r="BA116" i="17"/>
  <c r="BA120" i="17"/>
  <c r="BA196" i="17"/>
  <c r="BA200" i="17"/>
  <c r="BA213" i="17"/>
  <c r="BA219" i="17"/>
  <c r="BA234" i="17"/>
  <c r="BA238" i="17"/>
  <c r="BA242" i="17"/>
  <c r="BA246" i="17"/>
  <c r="BA250" i="17"/>
  <c r="BA254" i="17"/>
  <c r="BA256" i="17"/>
  <c r="BA260" i="17"/>
  <c r="BA262" i="17"/>
  <c r="BA264" i="17"/>
  <c r="BA266" i="17"/>
  <c r="BA268" i="17"/>
  <c r="BA270" i="17"/>
  <c r="BA272" i="17"/>
  <c r="BA274" i="17"/>
  <c r="BA276" i="17"/>
  <c r="BA278" i="17"/>
  <c r="BA280" i="17"/>
  <c r="BA282" i="17"/>
  <c r="BA284" i="17"/>
  <c r="BA286" i="17"/>
  <c r="BA288" i="17"/>
  <c r="BA290" i="17"/>
  <c r="BA20" i="17"/>
  <c r="BA22" i="17"/>
  <c r="BA24" i="17"/>
  <c r="BA26" i="17"/>
  <c r="BA28" i="17"/>
  <c r="BA30" i="17"/>
  <c r="BA21" i="17"/>
  <c r="BA23" i="17"/>
  <c r="BA25" i="17"/>
  <c r="BA27" i="17"/>
  <c r="BA29" i="17"/>
  <c r="BA190" i="4"/>
  <c r="BA186" i="4"/>
  <c r="BA171" i="4"/>
  <c r="BA8" i="17"/>
  <c r="BA12" i="17"/>
  <c r="BA16" i="17"/>
  <c r="BA34" i="17"/>
  <c r="BA38" i="17"/>
  <c r="BA54" i="17"/>
  <c r="BA58" i="17"/>
  <c r="BA62" i="17"/>
  <c r="BA78" i="17"/>
  <c r="BA82" i="17"/>
  <c r="BA98" i="17"/>
  <c r="BA102" i="17"/>
  <c r="BA106" i="17"/>
  <c r="BA122" i="17"/>
  <c r="BA126" i="17"/>
  <c r="BA130" i="17"/>
  <c r="BA134" i="17"/>
  <c r="BA150" i="17"/>
  <c r="BA154" i="17"/>
  <c r="BA166" i="17"/>
  <c r="BA170" i="17"/>
  <c r="BA174" i="17"/>
  <c r="BA186" i="17"/>
  <c r="BA192" i="17"/>
  <c r="BA204" i="17"/>
  <c r="BA208" i="17"/>
  <c r="BA212" i="17"/>
  <c r="BA224" i="17"/>
  <c r="BA228" i="17"/>
  <c r="BA232" i="17"/>
  <c r="BA292" i="17"/>
  <c r="BA294" i="17"/>
  <c r="BA296" i="17"/>
  <c r="BA298" i="17"/>
  <c r="BA300" i="17"/>
  <c r="BA302" i="17"/>
  <c r="BA304" i="17"/>
  <c r="BA306" i="17"/>
  <c r="BA308" i="17"/>
  <c r="BA310" i="17"/>
  <c r="BA312" i="17"/>
  <c r="BA314" i="17"/>
  <c r="BA316" i="17"/>
  <c r="BA318" i="17"/>
  <c r="BA320" i="17"/>
  <c r="BA322" i="17"/>
  <c r="BA324" i="17"/>
  <c r="BA192" i="4"/>
  <c r="BA188" i="4"/>
  <c r="BA173" i="4"/>
  <c r="BA169" i="4"/>
  <c r="BA10" i="17"/>
  <c r="BA14" i="17"/>
  <c r="BA18" i="17"/>
  <c r="BA32" i="17"/>
  <c r="BA36" i="17"/>
  <c r="BA40" i="17"/>
  <c r="BA56" i="17"/>
  <c r="BA60" i="17"/>
  <c r="BA76" i="17"/>
  <c r="BA80" i="17"/>
  <c r="BA84" i="17"/>
  <c r="BA100" i="17"/>
  <c r="BA104" i="17"/>
  <c r="BA124" i="17"/>
  <c r="BA128" i="17"/>
  <c r="BA132" i="17"/>
  <c r="BA148" i="17"/>
  <c r="BA152" i="17"/>
  <c r="BA168" i="17"/>
  <c r="BA172" i="17"/>
  <c r="BA188" i="17"/>
  <c r="BA190" i="17"/>
  <c r="BA206" i="17"/>
  <c r="BA210" i="17"/>
  <c r="BA226" i="17"/>
  <c r="BA230" i="17"/>
  <c r="BA250" i="4"/>
  <c r="BA232" i="4"/>
  <c r="BA230" i="4"/>
  <c r="BA228" i="4"/>
  <c r="BA226" i="4"/>
  <c r="BA224" i="4"/>
  <c r="BA211" i="4"/>
  <c r="BA209" i="4"/>
  <c r="BA207" i="4"/>
  <c r="BA205" i="4"/>
  <c r="BA203" i="4"/>
  <c r="BA191" i="4"/>
  <c r="BA187" i="4"/>
  <c r="BA174" i="4"/>
  <c r="BA170" i="4"/>
  <c r="BA154" i="4"/>
  <c r="BA11" i="17"/>
  <c r="BA15" i="17"/>
  <c r="BA19" i="17"/>
  <c r="BA33" i="17"/>
  <c r="BA37" i="17"/>
  <c r="BA41" i="17"/>
  <c r="BA53" i="17"/>
  <c r="BA57" i="17"/>
  <c r="BA61" i="17"/>
  <c r="BA77" i="17"/>
  <c r="BA81" i="17"/>
  <c r="BA101" i="17"/>
  <c r="BA105" i="17"/>
  <c r="BA125" i="17"/>
  <c r="BA129" i="17"/>
  <c r="BA133" i="17"/>
  <c r="BA149" i="17"/>
  <c r="BA153" i="17"/>
  <c r="BA165" i="17"/>
  <c r="BA169" i="17"/>
  <c r="BA173" i="17"/>
  <c r="BA185" i="17"/>
  <c r="BA189" i="17"/>
  <c r="BA193" i="17"/>
  <c r="BA207" i="17"/>
  <c r="BA211" i="17"/>
  <c r="BA223" i="17"/>
  <c r="BA227" i="17"/>
  <c r="BA231" i="17"/>
  <c r="BA291" i="17"/>
  <c r="BA293" i="17"/>
  <c r="BA295" i="17"/>
  <c r="BA297" i="17"/>
  <c r="BA299" i="17"/>
  <c r="BA301" i="17"/>
  <c r="BA303" i="17"/>
  <c r="BA305" i="17"/>
  <c r="BA307" i="17"/>
  <c r="BA309" i="17"/>
  <c r="BA311" i="17"/>
  <c r="BA313" i="17"/>
  <c r="BA315" i="17"/>
  <c r="BA317" i="17"/>
  <c r="BA319" i="17"/>
  <c r="BA321" i="17"/>
  <c r="BA323" i="17"/>
  <c r="BA193" i="4"/>
  <c r="BA189" i="4"/>
  <c r="BA185" i="4"/>
  <c r="BA172" i="4"/>
  <c r="BA168" i="4"/>
  <c r="BA9" i="17"/>
  <c r="BA13" i="17"/>
  <c r="BA17" i="17"/>
  <c r="BA31" i="17"/>
  <c r="BA35" i="17"/>
  <c r="BA39" i="17"/>
  <c r="BA55" i="17"/>
  <c r="BA59" i="17"/>
  <c r="BA63" i="17"/>
  <c r="BA79" i="17"/>
  <c r="BA83" i="17"/>
  <c r="BA99" i="17"/>
  <c r="BA103" i="17"/>
  <c r="BA107" i="17"/>
  <c r="BA123" i="17"/>
  <c r="BA127" i="17"/>
  <c r="BA131" i="17"/>
  <c r="BA147" i="17"/>
  <c r="BA151" i="17"/>
  <c r="BA167" i="17"/>
  <c r="BA171" i="17"/>
  <c r="BA187" i="17"/>
  <c r="BA191" i="17"/>
  <c r="BA203" i="17"/>
  <c r="BA205" i="17"/>
  <c r="BA209" i="17"/>
  <c r="BA225" i="17"/>
  <c r="BA229" i="17"/>
  <c r="K24" i="3"/>
  <c r="L24" i="3" s="1"/>
  <c r="BA231" i="4"/>
  <c r="BA229" i="4"/>
  <c r="BA227" i="4"/>
  <c r="BA225" i="4"/>
  <c r="BA223" i="4"/>
  <c r="BA212" i="4"/>
  <c r="BA210" i="4"/>
  <c r="BA208" i="4"/>
  <c r="BA206" i="4"/>
  <c r="BA204" i="4"/>
  <c r="BA166" i="4"/>
  <c r="BA249" i="4"/>
  <c r="BA245" i="4"/>
  <c r="BA241" i="4"/>
  <c r="BA237" i="4"/>
  <c r="BA233" i="4"/>
  <c r="BA221" i="4"/>
  <c r="BA217" i="4"/>
  <c r="BA213" i="4"/>
  <c r="BA201" i="4"/>
  <c r="BA197" i="4"/>
  <c r="BA181" i="4"/>
  <c r="BA177" i="4"/>
  <c r="BA165" i="4"/>
  <c r="BA159" i="4"/>
  <c r="BA324" i="4"/>
  <c r="BA322" i="4"/>
  <c r="BA320" i="4"/>
  <c r="BA318" i="4"/>
  <c r="BA316" i="4"/>
  <c r="BA314" i="4"/>
  <c r="BA312" i="4"/>
  <c r="BA310" i="4"/>
  <c r="BA308" i="4"/>
  <c r="BA306" i="4"/>
  <c r="BA304" i="4"/>
  <c r="BA302" i="4"/>
  <c r="BA300" i="4"/>
  <c r="BA298" i="4"/>
  <c r="BA296" i="4"/>
  <c r="BA294" i="4"/>
  <c r="BA292" i="4"/>
  <c r="BA290" i="4"/>
  <c r="BA288" i="4"/>
  <c r="BA286" i="4"/>
  <c r="BA284" i="4"/>
  <c r="BA282" i="4"/>
  <c r="BA280" i="4"/>
  <c r="BA278" i="4"/>
  <c r="BA276" i="4"/>
  <c r="BA274" i="4"/>
  <c r="BA272" i="4"/>
  <c r="BA270" i="4"/>
  <c r="BA268" i="4"/>
  <c r="BA266" i="4"/>
  <c r="BA264" i="4"/>
  <c r="BA262" i="4"/>
  <c r="BA260" i="4"/>
  <c r="BA258" i="4"/>
  <c r="BA256" i="4"/>
  <c r="BA254" i="4"/>
  <c r="BA246" i="4"/>
  <c r="BA242" i="4"/>
  <c r="BA238" i="4"/>
  <c r="BA234" i="4"/>
  <c r="BA222" i="4"/>
  <c r="BA218" i="4"/>
  <c r="BA214" i="4"/>
  <c r="BA202" i="4"/>
  <c r="BA198" i="4"/>
  <c r="BA194" i="4"/>
  <c r="BA182" i="4"/>
  <c r="BA178" i="4"/>
  <c r="BA164" i="4"/>
  <c r="BA162" i="4"/>
  <c r="BA160" i="4"/>
  <c r="BA158" i="4"/>
  <c r="BA156" i="4"/>
  <c r="BA152" i="4"/>
  <c r="BA150" i="4"/>
  <c r="BA148" i="4"/>
  <c r="BA146" i="4"/>
  <c r="BA144" i="4"/>
  <c r="BA142" i="4"/>
  <c r="BA140" i="4"/>
  <c r="BA138" i="4"/>
  <c r="BA136" i="4"/>
  <c r="BA134" i="4"/>
  <c r="BA132" i="4"/>
  <c r="BA130" i="4"/>
  <c r="BA128" i="4"/>
  <c r="BA126" i="4"/>
  <c r="BA124" i="4"/>
  <c r="BA122" i="4"/>
  <c r="BA120" i="4"/>
  <c r="BA118" i="4"/>
  <c r="BA116" i="4"/>
  <c r="BA114" i="4"/>
  <c r="BA112" i="4"/>
  <c r="BA110" i="4"/>
  <c r="BA108" i="4"/>
  <c r="BA106" i="4"/>
  <c r="BA104" i="4"/>
  <c r="BA102" i="4"/>
  <c r="BA100" i="4"/>
  <c r="BA98" i="4"/>
  <c r="BA96" i="4"/>
  <c r="BA94" i="4"/>
  <c r="BA92" i="4"/>
  <c r="BA90" i="4"/>
  <c r="BA88" i="4"/>
  <c r="BA86" i="4"/>
  <c r="BA84" i="4"/>
  <c r="BA82" i="4"/>
  <c r="BA80" i="4"/>
  <c r="BA78" i="4"/>
  <c r="BA76" i="4"/>
  <c r="BA74" i="4"/>
  <c r="BA72" i="4"/>
  <c r="BA70" i="4"/>
  <c r="BA68" i="4"/>
  <c r="BA66" i="4"/>
  <c r="BA64" i="4"/>
  <c r="BA62" i="4"/>
  <c r="BA60" i="4"/>
  <c r="BA58" i="4"/>
  <c r="BA56" i="4"/>
  <c r="BA54" i="4"/>
  <c r="BA52" i="4"/>
  <c r="BA50" i="4"/>
  <c r="BA48" i="4"/>
  <c r="BA46" i="4"/>
  <c r="BA44" i="4"/>
  <c r="BA42" i="4"/>
  <c r="BA40" i="4"/>
  <c r="BA38" i="4"/>
  <c r="BA36" i="4"/>
  <c r="BA34" i="4"/>
  <c r="BA32" i="4"/>
  <c r="BA30" i="4"/>
  <c r="BA28" i="4"/>
  <c r="BA26" i="4"/>
  <c r="BA24" i="4"/>
  <c r="BA22" i="4"/>
  <c r="BA20" i="4"/>
  <c r="BA244" i="4"/>
  <c r="BA240" i="4"/>
  <c r="BA236" i="4"/>
  <c r="BA220" i="4"/>
  <c r="BA216" i="4"/>
  <c r="BA200" i="4"/>
  <c r="BA196" i="4"/>
  <c r="BA184" i="4"/>
  <c r="BA180" i="4"/>
  <c r="BA176" i="4"/>
  <c r="BA323" i="4"/>
  <c r="BA321" i="4"/>
  <c r="BA319" i="4"/>
  <c r="BA317" i="4"/>
  <c r="BA315" i="4"/>
  <c r="BA313" i="4"/>
  <c r="BA311" i="4"/>
  <c r="BA309" i="4"/>
  <c r="BA307" i="4"/>
  <c r="BA305" i="4"/>
  <c r="BA303" i="4"/>
  <c r="BA301" i="4"/>
  <c r="BA299" i="4"/>
  <c r="BA297" i="4"/>
  <c r="BA295" i="4"/>
  <c r="BA293" i="4"/>
  <c r="BA291" i="4"/>
  <c r="BA289" i="4"/>
  <c r="BA287" i="4"/>
  <c r="BA285" i="4"/>
  <c r="BA283" i="4"/>
  <c r="BA281" i="4"/>
  <c r="BA279" i="4"/>
  <c r="BA277" i="4"/>
  <c r="BA275" i="4"/>
  <c r="BA273" i="4"/>
  <c r="BA271" i="4"/>
  <c r="BA269" i="4"/>
  <c r="BA267" i="4"/>
  <c r="BA265" i="4"/>
  <c r="BA263" i="4"/>
  <c r="BA261" i="4"/>
  <c r="BA259" i="4"/>
  <c r="BA257" i="4"/>
  <c r="BA255" i="4"/>
  <c r="BA253" i="4"/>
  <c r="BA251" i="4"/>
  <c r="BA247" i="4"/>
  <c r="BA243" i="4"/>
  <c r="BA239" i="4"/>
  <c r="BA219" i="4"/>
  <c r="BA215" i="4"/>
  <c r="BA199" i="4"/>
  <c r="BA195" i="4"/>
  <c r="BA183" i="4"/>
  <c r="BA179" i="4"/>
  <c r="BA175" i="4"/>
  <c r="BA167" i="4"/>
  <c r="BA163" i="4"/>
  <c r="BA161" i="4"/>
  <c r="BA157" i="4"/>
  <c r="BA155" i="4"/>
  <c r="BA153" i="4"/>
  <c r="BA151" i="4"/>
  <c r="BA149" i="4"/>
  <c r="BA147" i="4"/>
  <c r="BA145" i="4"/>
  <c r="BA143" i="4"/>
  <c r="BA141" i="4"/>
  <c r="BA139" i="4"/>
  <c r="BA137" i="4"/>
  <c r="BA135" i="4"/>
  <c r="BA133" i="4"/>
  <c r="BA131" i="4"/>
  <c r="BA129" i="4"/>
  <c r="BA127" i="4"/>
  <c r="BA125" i="4"/>
  <c r="BA123" i="4"/>
  <c r="BA121" i="4"/>
  <c r="BA119" i="4"/>
  <c r="BA117" i="4"/>
  <c r="BA115" i="4"/>
  <c r="BA113" i="4"/>
  <c r="BA111" i="4"/>
  <c r="BA109" i="4"/>
  <c r="BA107" i="4"/>
  <c r="BA105" i="4"/>
  <c r="BA103" i="4"/>
  <c r="BA101" i="4"/>
  <c r="BA99" i="4"/>
  <c r="BA97" i="4"/>
  <c r="BA95" i="4"/>
  <c r="BA93" i="4"/>
  <c r="BA91" i="4"/>
  <c r="BA89" i="4"/>
  <c r="BA87" i="4"/>
  <c r="BA85" i="4"/>
  <c r="BA83" i="4"/>
  <c r="BA81" i="4"/>
  <c r="BA79" i="4"/>
  <c r="BA77" i="4"/>
  <c r="BA75" i="4"/>
  <c r="BA73" i="4"/>
  <c r="BA71" i="4"/>
  <c r="BA69" i="4"/>
  <c r="BA67" i="4"/>
  <c r="BA65" i="4"/>
  <c r="BA63" i="4"/>
  <c r="BA61" i="4"/>
  <c r="BA59" i="4"/>
  <c r="BA57" i="4"/>
  <c r="BA55" i="4"/>
  <c r="BA53" i="4"/>
  <c r="BA51" i="4"/>
  <c r="BA49" i="4"/>
  <c r="BA47" i="4"/>
  <c r="BA45" i="4"/>
  <c r="BA43" i="4"/>
  <c r="BA41" i="4"/>
  <c r="BA39" i="4"/>
  <c r="BA37" i="4"/>
  <c r="BA35" i="4"/>
  <c r="BA33" i="4"/>
  <c r="BA31" i="4"/>
  <c r="BA29" i="4"/>
  <c r="BA27" i="4"/>
  <c r="BA25" i="4"/>
  <c r="BA23" i="4"/>
  <c r="BA21" i="4"/>
  <c r="BA16" i="4"/>
  <c r="BA14" i="4"/>
  <c r="BA10" i="4"/>
  <c r="BA8" i="4"/>
  <c r="BA17" i="4"/>
  <c r="BA11" i="4"/>
  <c r="BA19" i="4"/>
  <c r="BA15" i="4"/>
  <c r="BA13" i="4"/>
  <c r="BA9" i="4"/>
  <c r="BA18" i="4"/>
  <c r="BA12" i="4"/>
  <c r="BA239" i="15"/>
  <c r="BA237" i="15"/>
  <c r="BA235" i="15"/>
  <c r="BA191" i="15"/>
  <c r="BA159" i="15"/>
  <c r="BA155" i="15"/>
  <c r="BA233" i="15"/>
  <c r="BA185" i="15"/>
  <c r="BA157" i="15"/>
  <c r="BA153" i="15"/>
  <c r="BA238" i="15"/>
  <c r="BA234" i="15"/>
  <c r="BA168" i="15"/>
  <c r="BA156" i="15"/>
  <c r="BA152" i="15"/>
  <c r="BA236" i="15"/>
  <c r="BA190" i="15"/>
  <c r="BA158" i="15"/>
  <c r="BA199" i="15"/>
  <c r="BA195" i="15"/>
  <c r="BA167" i="15"/>
  <c r="BA163" i="15"/>
  <c r="BA135" i="15"/>
  <c r="BA131" i="15"/>
  <c r="BA119" i="15"/>
  <c r="BA115" i="15"/>
  <c r="BA31" i="15"/>
  <c r="BA29" i="15"/>
  <c r="BA27" i="15"/>
  <c r="BA25" i="15"/>
  <c r="BA23" i="15"/>
  <c r="BA21" i="15"/>
  <c r="BA19" i="15"/>
  <c r="BA17" i="15"/>
  <c r="BA13" i="15"/>
  <c r="BA9" i="15"/>
  <c r="BA224" i="15"/>
  <c r="BA196" i="15"/>
  <c r="BA192" i="15"/>
  <c r="BA164" i="15"/>
  <c r="BA160" i="15"/>
  <c r="BA132" i="15"/>
  <c r="BA128" i="15"/>
  <c r="BA116" i="15"/>
  <c r="BA112" i="15"/>
  <c r="BA70" i="15"/>
  <c r="BA68" i="15"/>
  <c r="BA66" i="15"/>
  <c r="BA64" i="15"/>
  <c r="BA62" i="15"/>
  <c r="BA60" i="15"/>
  <c r="BA58" i="15"/>
  <c r="BA54" i="15"/>
  <c r="BA52" i="15"/>
  <c r="BA50" i="15"/>
  <c r="BA48" i="15"/>
  <c r="BA46" i="15"/>
  <c r="BA44" i="15"/>
  <c r="BA230" i="15"/>
  <c r="BA226" i="15"/>
  <c r="BA210" i="15"/>
  <c r="BA198" i="15"/>
  <c r="BA194" i="15"/>
  <c r="BA178" i="15"/>
  <c r="BA166" i="15"/>
  <c r="BA162" i="15"/>
  <c r="BA134" i="15"/>
  <c r="BA130" i="15"/>
  <c r="BA118" i="15"/>
  <c r="BA114" i="15"/>
  <c r="BA32" i="15"/>
  <c r="BA30" i="15"/>
  <c r="BA28" i="15"/>
  <c r="BA26" i="15"/>
  <c r="BA22" i="15"/>
  <c r="BA20" i="15"/>
  <c r="BA18" i="15"/>
  <c r="BA229" i="15"/>
  <c r="BA213" i="15"/>
  <c r="BA197" i="15"/>
  <c r="BA165" i="15"/>
  <c r="BA133" i="15"/>
  <c r="BA117" i="15"/>
  <c r="BA71" i="15"/>
  <c r="BA69" i="15"/>
  <c r="BA67" i="15"/>
  <c r="BA63" i="15"/>
  <c r="BA61" i="15"/>
  <c r="BA59" i="15"/>
  <c r="BA55" i="15"/>
  <c r="BA53" i="15"/>
  <c r="BA51" i="15"/>
  <c r="BA43" i="15"/>
  <c r="G3" i="4"/>
  <c r="D32" i="3"/>
  <c r="E32" i="3" s="1"/>
  <c r="D31" i="3"/>
  <c r="E31" i="3" s="1"/>
  <c r="D30" i="3"/>
  <c r="E30" i="3" s="1"/>
  <c r="D29" i="3"/>
  <c r="E29" i="3" s="1"/>
  <c r="D28" i="3"/>
  <c r="E28" i="3" s="1"/>
  <c r="D26" i="3"/>
  <c r="E26" i="3" s="1"/>
  <c r="D24" i="3"/>
  <c r="E24" i="3" s="1"/>
  <c r="D22" i="3"/>
  <c r="E22" i="3" s="1"/>
  <c r="D21" i="3"/>
  <c r="E21" i="3" s="1"/>
  <c r="D18" i="3"/>
  <c r="E18" i="3" s="1"/>
  <c r="D16" i="3"/>
  <c r="E16" i="3" s="1"/>
  <c r="D10" i="3"/>
  <c r="E10" i="3" s="1"/>
  <c r="D9" i="3"/>
  <c r="E9" i="3" s="1"/>
  <c r="D8" i="3"/>
  <c r="E8" i="3" s="1"/>
  <c r="D6" i="3"/>
  <c r="E6" i="3" s="1"/>
  <c r="D5" i="3"/>
  <c r="E5" i="3" s="1"/>
  <c r="D4" i="3"/>
  <c r="E4" i="3" s="1"/>
  <c r="K1" i="3" l="1"/>
  <c r="L1" i="3"/>
  <c r="BA45" i="15"/>
  <c r="BA40" i="15"/>
  <c r="D7" i="3"/>
  <c r="E7" i="3" s="1"/>
  <c r="D23" i="3"/>
  <c r="E23" i="3" s="1"/>
  <c r="BA47" i="15"/>
  <c r="BA182" i="15"/>
  <c r="BA214" i="15"/>
  <c r="BA176" i="15"/>
  <c r="BA212" i="15"/>
  <c r="BA215" i="15"/>
  <c r="D25" i="3"/>
  <c r="E25" i="3" s="1"/>
  <c r="BA8" i="15"/>
  <c r="BA181" i="15"/>
  <c r="BA10" i="15"/>
  <c r="BA180" i="15"/>
  <c r="D19" i="3"/>
  <c r="E19" i="3" s="1"/>
  <c r="BA221" i="15"/>
  <c r="BA250" i="15"/>
  <c r="BA248" i="15"/>
  <c r="BA142" i="15"/>
  <c r="BA136" i="15"/>
  <c r="BA220" i="15"/>
  <c r="BA252" i="15"/>
  <c r="BA227" i="15"/>
  <c r="BA219" i="15"/>
  <c r="BA38" i="15"/>
  <c r="BA228" i="15"/>
  <c r="BA183" i="15"/>
  <c r="BA189" i="15"/>
  <c r="BA188" i="15"/>
  <c r="BA187" i="15"/>
  <c r="BA140" i="15"/>
  <c r="BA217" i="15"/>
  <c r="BA223" i="15"/>
  <c r="BA37" i="15"/>
  <c r="BA247" i="15"/>
  <c r="BA122" i="15"/>
  <c r="G32" i="3"/>
  <c r="BA146" i="15"/>
  <c r="BA93" i="15"/>
  <c r="D13" i="3"/>
  <c r="E13" i="3" s="1"/>
  <c r="BA149" i="15"/>
  <c r="BA150" i="15"/>
  <c r="BA144" i="15"/>
  <c r="BA147" i="15"/>
  <c r="BA125" i="15"/>
  <c r="D20" i="3"/>
  <c r="E20" i="3" s="1"/>
  <c r="BA148" i="15"/>
  <c r="D15" i="3"/>
  <c r="E15" i="3" s="1"/>
  <c r="BA88" i="15"/>
  <c r="BA124" i="15"/>
  <c r="BA95" i="15"/>
  <c r="BA127" i="15"/>
  <c r="BA12" i="15"/>
  <c r="BA90" i="15"/>
  <c r="BA15" i="15"/>
  <c r="BA92" i="15"/>
  <c r="BA126" i="15"/>
  <c r="BA121" i="15"/>
  <c r="D17" i="3"/>
  <c r="E17" i="3" s="1"/>
  <c r="BA14" i="15"/>
  <c r="BA94" i="15"/>
  <c r="D3" i="3"/>
  <c r="E3" i="3" s="1"/>
  <c r="BA11" i="15"/>
  <c r="BA200" i="15"/>
  <c r="D27" i="3"/>
  <c r="E27" i="3" s="1"/>
  <c r="BA77" i="15"/>
  <c r="BA204" i="15"/>
  <c r="BA201" i="15"/>
  <c r="BA203" i="15"/>
  <c r="BA205" i="15"/>
  <c r="BA207" i="15"/>
  <c r="BA206" i="15"/>
  <c r="D12" i="3"/>
  <c r="E12" i="3" s="1"/>
  <c r="BA87" i="15"/>
  <c r="BA99" i="15"/>
  <c r="BA78" i="15"/>
  <c r="BA98" i="15"/>
  <c r="BA86" i="15"/>
  <c r="BA101" i="15"/>
  <c r="BA102" i="15"/>
  <c r="BA80" i="15"/>
  <c r="BA100" i="15"/>
  <c r="BA103" i="15"/>
  <c r="BA79" i="15"/>
  <c r="D14" i="3"/>
  <c r="E14" i="3" s="1"/>
  <c r="BA83" i="15"/>
  <c r="BA82" i="15"/>
  <c r="BA85" i="15"/>
  <c r="BA72" i="15"/>
  <c r="D11" i="3"/>
  <c r="E11" i="3" s="1"/>
  <c r="BA245" i="15"/>
  <c r="BA34" i="15"/>
  <c r="BA242" i="15"/>
  <c r="BA74" i="15"/>
  <c r="BA208" i="15"/>
  <c r="BA240" i="15"/>
  <c r="BA33" i="15"/>
  <c r="BA222" i="15"/>
  <c r="BA172" i="15"/>
  <c r="BA169" i="15"/>
  <c r="G6" i="3"/>
  <c r="BA75" i="15"/>
  <c r="BA249" i="15"/>
  <c r="BA36" i="15"/>
  <c r="BA246" i="15"/>
  <c r="BA244" i="15"/>
  <c r="BA35" i="15"/>
  <c r="BA243" i="15"/>
  <c r="BA174" i="15"/>
  <c r="BA251" i="15"/>
  <c r="BA173" i="15"/>
  <c r="G28" i="3"/>
  <c r="BA209" i="15"/>
  <c r="G24" i="3"/>
  <c r="BA177" i="15"/>
  <c r="G25" i="3"/>
  <c r="BA186" i="15"/>
  <c r="G27" i="3"/>
  <c r="G29" i="3"/>
  <c r="BA218" i="15"/>
  <c r="G9" i="3"/>
  <c r="BA57" i="15"/>
  <c r="G30" i="3"/>
  <c r="BA225" i="15"/>
  <c r="G12" i="3"/>
  <c r="BA81" i="15"/>
  <c r="G14" i="3"/>
  <c r="BA97" i="15"/>
  <c r="G17" i="3"/>
  <c r="BA120" i="15"/>
  <c r="G13" i="3"/>
  <c r="BA89" i="15"/>
  <c r="G20" i="3"/>
  <c r="BA145" i="15"/>
  <c r="BA110" i="15"/>
  <c r="BA108" i="15"/>
  <c r="BA106" i="15"/>
  <c r="N1" i="3"/>
  <c r="E5" i="13" s="1"/>
  <c r="BA141" i="15"/>
  <c r="BA139" i="15"/>
  <c r="BA137" i="15"/>
  <c r="BA107" i="15"/>
  <c r="BA111" i="15"/>
  <c r="BA171" i="15"/>
  <c r="BA105" i="15"/>
  <c r="BA73" i="15"/>
  <c r="G11" i="3"/>
  <c r="BA41" i="15"/>
  <c r="G7" i="3"/>
  <c r="BA170" i="15"/>
  <c r="G23" i="3"/>
  <c r="BA138" i="15"/>
  <c r="G19" i="3"/>
  <c r="BA104" i="15"/>
  <c r="G15" i="3"/>
  <c r="L3" i="4"/>
  <c r="L5" i="4" s="1"/>
  <c r="D1" i="3" l="1"/>
  <c r="L3" i="1" s="1"/>
  <c r="L5" i="1" s="1"/>
  <c r="E1" i="3"/>
  <c r="H3" i="13" s="1"/>
  <c r="G1" i="3"/>
  <c r="E3" i="13" s="1"/>
</calcChain>
</file>

<file path=xl/sharedStrings.xml><?xml version="1.0" encoding="utf-8"?>
<sst xmlns="http://schemas.openxmlformats.org/spreadsheetml/2006/main" count="8284" uniqueCount="331">
  <si>
    <t xml:space="preserve"> шмурдик не боится тараканов</t>
  </si>
  <si>
    <t xml:space="preserve"> шмурдик боится мышей</t>
  </si>
  <si>
    <t xml:space="preserve"> шмурдик боится мышей больше, чем тараканов, но и тараканов боится тоже</t>
  </si>
  <si>
    <t xml:space="preserve"> грымзик не может быть безрогим</t>
  </si>
  <si>
    <t xml:space="preserve"> грымзик не может быть однотонным и безрогим одновременно</t>
  </si>
  <si>
    <t xml:space="preserve"> грымзик не может быть полосатым и безрогим одновременно</t>
  </si>
  <si>
    <t xml:space="preserve"> если запырка пускает пузыри, то она была отравлена</t>
  </si>
  <si>
    <t xml:space="preserve"> если запырку не отравить, то она не будет пускать пузыри</t>
  </si>
  <si>
    <t xml:space="preserve"> если запырка не пускает пузыри, то она не отравлена</t>
  </si>
  <si>
    <t xml:space="preserve"> не бывает охлотушек, которые не умеют играть в шашки</t>
  </si>
  <si>
    <t xml:space="preserve"> все, кто умеет играть в шашки, являются охлотушками</t>
  </si>
  <si>
    <t xml:space="preserve"> не бывает охлотушек, которые умеют играть в шашки</t>
  </si>
  <si>
    <t xml:space="preserve"> этот дубаратор хороший</t>
  </si>
  <si>
    <t xml:space="preserve"> этот дубаратор средненький</t>
  </si>
  <si>
    <t xml:space="preserve"> этот дубаратор плохой</t>
  </si>
  <si>
    <t xml:space="preserve"> по крайней мере некоторые из тиалей красного цвета</t>
  </si>
  <si>
    <t xml:space="preserve"> по крайней мере некоторые из тиалей зеленые</t>
  </si>
  <si>
    <t xml:space="preserve"> некоторые тиали (из тех, что уже обнаружены) могут оказаться не красными</t>
  </si>
  <si>
    <t xml:space="preserve"> не всякий шакал может похвастаться здоровой мухропендией</t>
  </si>
  <si>
    <t xml:space="preserve"> не всякий шакал может похвастаться больной мухропендией</t>
  </si>
  <si>
    <t xml:space="preserve"> существуют шакалы со здоровой мухропендией</t>
  </si>
  <si>
    <t xml:space="preserve"> наша тумельница маленькая и некруглая</t>
  </si>
  <si>
    <t xml:space="preserve"> наша тумельница маленькая, или некруглая, или то и другое вместе</t>
  </si>
  <si>
    <t xml:space="preserve"> наша тумельница маленькая, или некруглая, но не то и другое вместе</t>
  </si>
  <si>
    <t xml:space="preserve"> Джон всегда урдит</t>
  </si>
  <si>
    <t xml:space="preserve"> Джон всегда урдит и мурлит</t>
  </si>
  <si>
    <t xml:space="preserve"> Джон никогда не занимается одновременно и урдением, и мурлением</t>
  </si>
  <si>
    <t xml:space="preserve"> на самом деле бздыш болотный образован и тактичен</t>
  </si>
  <si>
    <t xml:space="preserve"> на самом деле бздыш болотный безграмотен, но не нахален</t>
  </si>
  <si>
    <t xml:space="preserve"> те журналисты солгали</t>
  </si>
  <si>
    <t xml:space="preserve"> стрельба уже началась</t>
  </si>
  <si>
    <t xml:space="preserve"> стрельба начнется когда-нибудь</t>
  </si>
  <si>
    <t xml:space="preserve"> стрельба начнется когда-нибудь или уже началась</t>
  </si>
  <si>
    <t xml:space="preserve"> в течение последнего часа перпелькой не трясли</t>
  </si>
  <si>
    <t xml:space="preserve"> в течение последнего часа перпелькой трясли</t>
  </si>
  <si>
    <t xml:space="preserve"> а нечего трясти чем попало</t>
  </si>
  <si>
    <t xml:space="preserve"> старосте приснился ночной кошмар</t>
  </si>
  <si>
    <t xml:space="preserve"> староста попробовал некачественной выпивки</t>
  </si>
  <si>
    <t xml:space="preserve"> староста был напуган</t>
  </si>
  <si>
    <t xml:space="preserve"> если не чесать угубка за ухом, то молоко поблизости не скиснет</t>
  </si>
  <si>
    <t xml:space="preserve"> если почесать угубка за ухом, молоко поблизости скиснет</t>
  </si>
  <si>
    <t xml:space="preserve"> молоко вдалеке никогда не скисает от чесания угубков</t>
  </si>
  <si>
    <t xml:space="preserve"> все, кто громко обуривает - ухмырки</t>
  </si>
  <si>
    <t xml:space="preserve"> всех ухмырков обязательно съедают</t>
  </si>
  <si>
    <t xml:space="preserve"> некоторых ухмырков не съедают</t>
  </si>
  <si>
    <t xml:space="preserve"> в реках близ Тимуграда не бывает воблы</t>
  </si>
  <si>
    <t xml:space="preserve"> в реках близ Тимуграда обитает щука</t>
  </si>
  <si>
    <t xml:space="preserve"> в реках близ Тимуграда обитает только вобла и щука</t>
  </si>
  <si>
    <t xml:space="preserve"> пуфелка не может быть глупой</t>
  </si>
  <si>
    <t xml:space="preserve"> не бывает глупых некрасивых пуфелок</t>
  </si>
  <si>
    <t xml:space="preserve"> не бывает умных красивых пуфелок</t>
  </si>
  <si>
    <t xml:space="preserve"> если вы мухряете, значит, вы спите</t>
  </si>
  <si>
    <t xml:space="preserve"> если вы не спите, вы не мухряете</t>
  </si>
  <si>
    <t xml:space="preserve"> если вы не мухряете, значит, вы не спите</t>
  </si>
  <si>
    <t xml:space="preserve"> не бывает болельщиков, которые не любят ыгу</t>
  </si>
  <si>
    <t xml:space="preserve"> все, кто любит ыгу, болеет за кого-нибудь</t>
  </si>
  <si>
    <t xml:space="preserve"> не бывает болельщиков, которые любят ыгу</t>
  </si>
  <si>
    <t xml:space="preserve"> этот здунец синий</t>
  </si>
  <si>
    <t xml:space="preserve"> этот здуней синекрасный</t>
  </si>
  <si>
    <t xml:space="preserve"> этот здунец красный</t>
  </si>
  <si>
    <t xml:space="preserve"> некоторые останки быдлозавров очень плохо сохранились</t>
  </si>
  <si>
    <t xml:space="preserve"> по крайней мере некоторые останки быдлозавров в отличном состоянии</t>
  </si>
  <si>
    <t xml:space="preserve"> некоторые найденные останки быдлозавров сохранились хорошо</t>
  </si>
  <si>
    <t xml:space="preserve"> не всякая лапухондрия не стабильна</t>
  </si>
  <si>
    <t xml:space="preserve"> существуют стабильные лапухондрии</t>
  </si>
  <si>
    <t xml:space="preserve"> не всякая лапухондрия стабильна</t>
  </si>
  <si>
    <t xml:space="preserve"> на самом деле дукни тупые и мягкие</t>
  </si>
  <si>
    <t xml:space="preserve"> на самом деле дукни тупые или мягкие или то и другое сразу</t>
  </si>
  <si>
    <t xml:space="preserve"> на самом деле дукни тупые или мягкие, но не то и другое сразу</t>
  </si>
  <si>
    <t xml:space="preserve"> Кафля дышит на бегу</t>
  </si>
  <si>
    <t xml:space="preserve"> Кафля не дышит стоя</t>
  </si>
  <si>
    <t xml:space="preserve"> Кафля не дышит на бегу</t>
  </si>
  <si>
    <t xml:space="preserve"> информация оказалась ложной</t>
  </si>
  <si>
    <t xml:space="preserve"> совещание будет посвящено не утятам</t>
  </si>
  <si>
    <t xml:space="preserve"> совещание будет посвящено утятам, но вовсе не альным</t>
  </si>
  <si>
    <t xml:space="preserve"> не надо обижать уузку</t>
  </si>
  <si>
    <t xml:space="preserve"> уузка испортится</t>
  </si>
  <si>
    <t xml:space="preserve"> уузка не испортится</t>
  </si>
  <si>
    <t xml:space="preserve"> уузку не обливали</t>
  </si>
  <si>
    <t xml:space="preserve"> уузку обливали</t>
  </si>
  <si>
    <t xml:space="preserve"> да отстаньте вы от уузки</t>
  </si>
  <si>
    <t xml:space="preserve"> Вася устал, проходя тест</t>
  </si>
  <si>
    <t xml:space="preserve"> Вася заколебался, проходя тест</t>
  </si>
  <si>
    <t xml:space="preserve"> Вася не закончил тест</t>
  </si>
  <si>
    <t xml:space="preserve"> если бушку не кормить, ее нельзя будет доить</t>
  </si>
  <si>
    <t xml:space="preserve"> бушку можно доить, но не кормить, она сама чего-нибудь найдет и съест</t>
  </si>
  <si>
    <t xml:space="preserve"> после кормления бушку можно доить</t>
  </si>
  <si>
    <t xml:space="preserve"> если дернуть бушку за хвост, она даст молока</t>
  </si>
  <si>
    <t xml:space="preserve"> никто не обрадуется, если дернуть его за хвост</t>
  </si>
  <si>
    <t xml:space="preserve"> если не дернуть бушку за хвост, она не даст молока</t>
  </si>
  <si>
    <t>.</t>
  </si>
  <si>
    <t>Шмурдик боится как мышей, так и тараканов.</t>
  </si>
  <si>
    <t>Известно, что грымзик обязательно или полосат, или рогат, или то и другое вместе.</t>
  </si>
  <si>
    <t>Если запырку отравить, то она сразу начнет пускать пузыри.</t>
  </si>
  <si>
    <t>Все охлотушки умеют играть в шашки.</t>
  </si>
  <si>
    <t>Дубараторы бывают либо хорошими, либо плохими. Неправда, что этот дубаратор не плохой.</t>
  </si>
  <si>
    <t>В природе обнаружено более десятка тиалей. Все обнаруженные тиали сплошь красного цвета.</t>
  </si>
  <si>
    <t>Существуют шакалы с больной мухропендией.</t>
  </si>
  <si>
    <t>Неправда, что наша тумельница большая и круглая.</t>
  </si>
  <si>
    <t>Джон всегда либо урдит, либо мурлит.</t>
  </si>
  <si>
    <t>Журналисты наврали, что бздыш болотный безграмотен и нахален.</t>
  </si>
  <si>
    <t>Если тряхнуть бурдылькой, то начнется стрельба. Бурдылькой тряхнули.</t>
  </si>
  <si>
    <t>Если тряхнуть перпелькой, то немедленно начнется стрельба. За последний час стрельбы не было.</t>
  </si>
  <si>
    <t>Огромный бутряк напугал деревенского старосту.</t>
  </si>
  <si>
    <t>Если почесать угубка за ухом, он начнет довольно шипеть. Если угубок довольно зашипит, то молоко поблизости скиснет.</t>
  </si>
  <si>
    <t>Всех, кто громко обуривает, обязательно съедают. Все ухмырки постоянно громко обуривают.</t>
  </si>
  <si>
    <t>В реках близ Тимуграда обитает и вобла, и щука.</t>
  </si>
  <si>
    <t>Все пуфелки радуют умом или красотой, а иногда даже и тем, и другим.</t>
  </si>
  <si>
    <t>Когда вы спите, вы всегда мухряете.</t>
  </si>
  <si>
    <t>Все болельщики любят ыгу.</t>
  </si>
  <si>
    <t>Есть только два вида здунцов: красные и синие. Что касается этого конкретного здунца, то он оказался вовсе не синим.</t>
  </si>
  <si>
    <t>Найдено множество останков быдлозавров. Но все они очень плохо сохранились.</t>
  </si>
  <si>
    <t>Некоторые лапухондрии не стабильны.</t>
  </si>
  <si>
    <t>Говорили, что дукни и острые, и твердые. Оказывается, это вовсе не так.</t>
  </si>
  <si>
    <t>Кафля всегда либо бегает, либо дышит.</t>
  </si>
  <si>
    <t>Информация о том, что завтрашнее совещание будет посвящено альным утятам, оказалась ложной.</t>
  </si>
  <si>
    <t>Если облить уузку водой, она испортится сразу же. Эта уузка не испорчена. Сейчас я оболью ее водой.</t>
  </si>
  <si>
    <t>Если облить уузку водой, она испортится сразу же. Эта уузка не испорчена.</t>
  </si>
  <si>
    <t>Вася бросил проходить этот тест, ответив только на 28 вопросов.</t>
  </si>
  <si>
    <t>Если покормить бушку, она успокоится. Спокойную бушку можно доить.</t>
  </si>
  <si>
    <t>Если обрадовать бушку, она даст молока. Бушка обрадуется, если дернуть ее за хвост.</t>
  </si>
  <si>
    <t xml:space="preserve"> нет</t>
  </si>
  <si>
    <t xml:space="preserve"> да</t>
  </si>
  <si>
    <t xml:space="preserve"> первую</t>
  </si>
  <si>
    <t xml:space="preserve"> вторую</t>
  </si>
  <si>
    <t xml:space="preserve"> третью</t>
  </si>
  <si>
    <t xml:space="preserve"> последнюю</t>
  </si>
  <si>
    <t xml:space="preserve"> такое невозможно</t>
  </si>
  <si>
    <t xml:space="preserve"> предпоследнюю</t>
  </si>
  <si>
    <t xml:space="preserve"> только у мужчин</t>
  </si>
  <si>
    <t xml:space="preserve"> только у мужчин, старше 18 лет</t>
  </si>
  <si>
    <t xml:space="preserve"> только у военных</t>
  </si>
  <si>
    <t xml:space="preserve"> поросенок</t>
  </si>
  <si>
    <t xml:space="preserve"> свинья</t>
  </si>
  <si>
    <t xml:space="preserve"> кабан</t>
  </si>
  <si>
    <t xml:space="preserve"> хряк</t>
  </si>
  <si>
    <t xml:space="preserve"> ни одно из вышеперечисленного</t>
  </si>
  <si>
    <t xml:space="preserve"> по одному каждого вида</t>
  </si>
  <si>
    <t xml:space="preserve"> по два каждого вида</t>
  </si>
  <si>
    <t xml:space="preserve"> неограниченное количество</t>
  </si>
  <si>
    <t xml:space="preserve"> первый автомобиль</t>
  </si>
  <si>
    <t xml:space="preserve"> второй автомобиль</t>
  </si>
  <si>
    <t xml:space="preserve"> на одинаковом расстоянии</t>
  </si>
  <si>
    <t xml:space="preserve"> они не встретятся</t>
  </si>
  <si>
    <t xml:space="preserve"> девочек</t>
  </si>
  <si>
    <t xml:space="preserve"> поровну</t>
  </si>
  <si>
    <t xml:space="preserve"> мальчиков</t>
  </si>
  <si>
    <t xml:space="preserve"> в зависимости от первоначального кол-ва учеников в классе</t>
  </si>
  <si>
    <t xml:space="preserve"> все из вышеперечисленного</t>
  </si>
  <si>
    <t xml:space="preserve"> чтобы не пытались с ним соревноваться в скорости</t>
  </si>
  <si>
    <t xml:space="preserve"> чтобы пропускали</t>
  </si>
  <si>
    <t xml:space="preserve"> чтобы выбирали правильную дистанцию</t>
  </si>
  <si>
    <t xml:space="preserve"> чтобы уважали</t>
  </si>
  <si>
    <t xml:space="preserve"> яблоко, висящее на яблоне</t>
  </si>
  <si>
    <t xml:space="preserve"> падающее яблоко</t>
  </si>
  <si>
    <t xml:space="preserve"> упавшее яблоко</t>
  </si>
  <si>
    <t>)</t>
  </si>
  <si>
    <t>Площадь Белорусии составляет 4% от площади России, а площадь России от площади Белорусии...</t>
  </si>
  <si>
    <t>Вы участвуете в марафоне и обогнали бегуна, бежавшего вторым. Какую позицию вы теперь занимаете?</t>
  </si>
  <si>
    <t>Вы участвуете в марафоне и обогнали бегуна, бежавшего последним. Какую позицию вы теперь занимаете?</t>
  </si>
  <si>
    <t>Есть в США 23 февраля?</t>
  </si>
  <si>
    <t>Винни-Пух - это...</t>
  </si>
  <si>
    <t>От прямоугольного стола отпилили один угол. Сколько углов у стола стало? Примечание: линия отпила прямая и не проходит через углы</t>
  </si>
  <si>
    <t>Сколько животных взял Моисей на свой ковчег?</t>
  </si>
  <si>
    <t>На столе лежали три редиски и четыре яблока. Ребенок взял со стола одно яблоко. Сколько фруктов осталось на столе?</t>
  </si>
  <si>
    <t>Товар сначала подорожал на 10%, а потом подешевел на 10%. Какова его стоимость сейчас относительно первоначальной?</t>
  </si>
  <si>
    <t>Сколько раз встречается цифра 4 в целых числах от 1 до 50?</t>
  </si>
  <si>
    <t>Вы проехали на машине две трети пути. В начале пути бензобак машины был полон, а сейчас он заполнен на одну четверть. Хватит ли бензина до конца пути (при аналогичном расходе)?</t>
  </si>
  <si>
    <t>Три пятых учащихся в классе - девочки. В этот класс пришло еще 5 девочек и 5 мальчиков. Кого в классе больше?</t>
  </si>
  <si>
    <t>На автомобиле, использующем зимой шипованную резину, сзади обязательна должна быть соответствующая наклейка. Зачем?</t>
  </si>
  <si>
    <t>Сила тяжести действует на...</t>
  </si>
  <si>
    <t>0 углов</t>
  </si>
  <si>
    <t>1 угол</t>
  </si>
  <si>
    <t>2 угла</t>
  </si>
  <si>
    <t>3 угла</t>
  </si>
  <si>
    <t>4 угла</t>
  </si>
  <si>
    <t>5 углов</t>
  </si>
  <si>
    <t>6 углов</t>
  </si>
  <si>
    <t>Расстояние между пунктами А и В 500 км. Из пункта А в пункт В выехал автомобиль со скоростью 100 км./ч. Одновременно навстречу ему из пункта В в пункт А выехал другой автомобиль со скоростью 120 км./ч. Кто из них будет ближе к пункту А, когда они встретятся? P.S. Автомобиль считать материальной точкой.</t>
  </si>
  <si>
    <t>При увеличении скорости на 10 км/ч вероятность аварии возрастает в 5 раз. А во сколько раз возрастает вероятность аварии при увеличении скорости на 20 км/ч?</t>
  </si>
  <si>
    <t xml:space="preserve"> 20х20</t>
  </si>
  <si>
    <t xml:space="preserve"> 25х25</t>
  </si>
  <si>
    <t xml:space="preserve"> одинаково</t>
  </si>
  <si>
    <t>Одна кафельная плитка размером 20х20 стоит 20 руб., а размером 25х25 - 25 руб. Какой дешевле отделать помещение?</t>
  </si>
  <si>
    <t>Часть 1: Тест на матиматическую логику</t>
  </si>
  <si>
    <t xml:space="preserve">Выполнено: </t>
  </si>
  <si>
    <t>Осталось всего:</t>
  </si>
  <si>
    <t>Средняя скорость выполнения задания:</t>
  </si>
  <si>
    <t>№ вопроса</t>
  </si>
  <si>
    <t>Ответ тестируемого</t>
  </si>
  <si>
    <t>Ответ корр</t>
  </si>
  <si>
    <t>Ответ дан</t>
  </si>
  <si>
    <t>Ответ правильный</t>
  </si>
  <si>
    <t>Начало теста:</t>
  </si>
  <si>
    <t>Конец теста:</t>
  </si>
  <si>
    <t>Текущее время:</t>
  </si>
  <si>
    <t>Сложность</t>
  </si>
  <si>
    <t>10% студентов могут решить загадку в уме, 40 студентов решат, написав загадку, 50 студентов не могут решить загадку. Сколько студентов могут решить загадку в уме?</t>
  </si>
  <si>
    <t>Что больше сумма всех цифр возведенная в куб или произведение всех цифр?</t>
  </si>
  <si>
    <t>3599 секунд</t>
  </si>
  <si>
    <t>сумма всех цифр возведенная в куб</t>
  </si>
  <si>
    <t>произведение всех цифр</t>
  </si>
  <si>
    <t>одинаково</t>
  </si>
  <si>
    <t>невозможно посчитать</t>
  </si>
  <si>
    <t>В то время как цены снизились на 25%, зарплата месье X увеличилась на 50%. Насколько увеличилась его покупательная способность?</t>
  </si>
  <si>
    <t>на 25%</t>
  </si>
  <si>
    <t>на 50%</t>
  </si>
  <si>
    <t>на 75%</t>
  </si>
  <si>
    <t>на 100%</t>
  </si>
  <si>
    <t>на 150%</t>
  </si>
  <si>
    <t>1800 секунд</t>
  </si>
  <si>
    <t>599 секунд</t>
  </si>
  <si>
    <t>30 секунд</t>
  </si>
  <si>
    <t>3600 секунд</t>
  </si>
  <si>
    <t>Учёные Лиллипутии открыли новый вид бактерии ,которая за одну секунду делится на две.Учёные закинули её в литровую банку через 1 час они заполнили банку,а за сколько секунд они заполнят полулитровую банку.</t>
  </si>
  <si>
    <t xml:space="preserve">Правитель некой страны из чисто военных соображений хотел бы, чтобы среди его подданных было больше мальчиков, чем девочек. Поэтому он повелел, чтобы ни в одной семье не было более одной девочки. </t>
  </si>
  <si>
    <t xml:space="preserve">В результате у каждой женщины этой страны среди детей последней — и только последней — была девочка, ибо ни одна женщина, родив девочку, не решалась больше иметь детей. </t>
  </si>
  <si>
    <t>Какую же долю составляли мальчики в общей массе детей этой страны?</t>
  </si>
  <si>
    <t>33,33(3) %</t>
  </si>
  <si>
    <t>66, 66(6) %</t>
  </si>
  <si>
    <t xml:space="preserve">Номер правильного ответа: </t>
  </si>
  <si>
    <t>Код товара</t>
  </si>
  <si>
    <t>Название товара</t>
  </si>
  <si>
    <t>Дата</t>
  </si>
  <si>
    <t>РЦ Тольятти (новый)</t>
  </si>
  <si>
    <t>1067040002</t>
  </si>
  <si>
    <t>Сахар песок фас. 10кг:1</t>
  </si>
  <si>
    <t>РЦ Орел (Хардиково)</t>
  </si>
  <si>
    <t>ДЦ Кропоткин</t>
  </si>
  <si>
    <t>РЦ Славянск-на-Кубани</t>
  </si>
  <si>
    <t>РЦ Ерзовка</t>
  </si>
  <si>
    <t>РЦ Стерлитамак</t>
  </si>
  <si>
    <t>РЦ Иваново</t>
  </si>
  <si>
    <t>РЦ Челябинск</t>
  </si>
  <si>
    <t>РЦ Великий Новгород</t>
  </si>
  <si>
    <t>РЦ Батайск</t>
  </si>
  <si>
    <t>РЦ Омск</t>
  </si>
  <si>
    <t>1670400001</t>
  </si>
  <si>
    <t>Сахар песок фас.5кг :1</t>
  </si>
  <si>
    <t>РЦ Ижевск</t>
  </si>
  <si>
    <t>РЦ Энгельс</t>
  </si>
  <si>
    <t>РЦ Лермонтов</t>
  </si>
  <si>
    <t>РЦ Дзержинск</t>
  </si>
  <si>
    <t>РЦ Тамбов</t>
  </si>
  <si>
    <t>3133780401</t>
  </si>
  <si>
    <t>Сахар песок фас.1кг:6</t>
  </si>
  <si>
    <t>ДЦ Тверь</t>
  </si>
  <si>
    <t>Остаток на начало дня, шт</t>
  </si>
  <si>
    <t>Приход, шт</t>
  </si>
  <si>
    <t>Продажа, шт</t>
  </si>
  <si>
    <t>Остаток на конец дня, шт</t>
  </si>
  <si>
    <t>Списания, шт</t>
  </si>
  <si>
    <t>Код Товара</t>
  </si>
  <si>
    <t xml:space="preserve">Срок годности </t>
  </si>
  <si>
    <t>Результат теста</t>
  </si>
  <si>
    <t>Название теста</t>
  </si>
  <si>
    <t>Номер</t>
  </si>
  <si>
    <t>Запуск теста</t>
  </si>
  <si>
    <t>Просмотр ответов</t>
  </si>
  <si>
    <t>Часть 2: Общий тест.</t>
  </si>
  <si>
    <t>Среднее время выполнения одного задания</t>
  </si>
  <si>
    <t>Ответ тестируемого сохраненный</t>
  </si>
  <si>
    <t>Цена, руб</t>
  </si>
  <si>
    <t>Задание 1</t>
  </si>
  <si>
    <t>Вывести продажи больше 1000 штук в день, остальные ячейки оставить пустыми.</t>
  </si>
  <si>
    <t>Задание 2</t>
  </si>
  <si>
    <t>Задание 3</t>
  </si>
  <si>
    <t>Задание 4</t>
  </si>
  <si>
    <t>Задание 5</t>
  </si>
  <si>
    <t>Задание 6</t>
  </si>
  <si>
    <t>Вывести номер недели и год через пробел.</t>
  </si>
  <si>
    <t>Вывести кол-во символов в названии товара.</t>
  </si>
  <si>
    <t>Вывести приходы в штуках, приходы понедельников заменить на 0.</t>
  </si>
  <si>
    <t>Задание 7</t>
  </si>
  <si>
    <t>Задание 8</t>
  </si>
  <si>
    <t>Задание 9</t>
  </si>
  <si>
    <t>Рассчитать кол-во дней  прошедших с указанной даты.</t>
  </si>
  <si>
    <t>Найти дату с максимальной продажей в штуках.</t>
  </si>
  <si>
    <t>Подгрузить срок годности с соседнего листа для каждой строчки.</t>
  </si>
  <si>
    <t>Рассчитать продажи в рублях.</t>
  </si>
  <si>
    <t>Вывести все остатки в штуках, остатки больше 2000 шт подсветить красным цветом.</t>
  </si>
  <si>
    <t>Задание 10</t>
  </si>
  <si>
    <t>Задание 11</t>
  </si>
  <si>
    <t xml:space="preserve">Сделать график по сводной, линию оборачиваемости остатка сделать по вспомогательной оси. </t>
  </si>
  <si>
    <t>На графике построить линию тренда по продажам.</t>
  </si>
  <si>
    <t>Задание 12</t>
  </si>
  <si>
    <t>Задание 13</t>
  </si>
  <si>
    <t>Добавить в сводную вычисляемое поле "Оборачиваемость остаков", равное отношению остатка к продаже.</t>
  </si>
  <si>
    <t>Проверка знаний Exel</t>
  </si>
  <si>
    <t>Проверка знаний SQL</t>
  </si>
  <si>
    <t>Распределительный центр (РЦ)</t>
  </si>
  <si>
    <t>Код_магазина</t>
  </si>
  <si>
    <t>Название_магазина</t>
  </si>
  <si>
    <t>Площадь</t>
  </si>
  <si>
    <t>Код_товара</t>
  </si>
  <si>
    <t>Название_товара</t>
  </si>
  <si>
    <t>Себестоимость</t>
  </si>
  <si>
    <t>Срок годности</t>
  </si>
  <si>
    <t>Таблица 
"Справочник магазинов"</t>
  </si>
  <si>
    <t>Таблица 
"Справочник товаров"</t>
  </si>
  <si>
    <t>Таблица 
"Продажи"</t>
  </si>
  <si>
    <t>База данных:</t>
  </si>
  <si>
    <t>---------</t>
  </si>
  <si>
    <t>1.</t>
  </si>
  <si>
    <t>Результат</t>
  </si>
  <si>
    <t>2.</t>
  </si>
  <si>
    <t>3.</t>
  </si>
  <si>
    <t>4.</t>
  </si>
  <si>
    <t>5.</t>
  </si>
  <si>
    <t>Задание: "Написать SQL запрос"</t>
  </si>
  <si>
    <t xml:space="preserve">Вывести все записи из таблицы "Справочник товаров", товары отсортировать по возрастанию себестоимости. </t>
  </si>
  <si>
    <t xml:space="preserve">Определить магазин с наибольшей площадью. </t>
  </si>
  <si>
    <t>Определить количество записей в таблице "Продажи" по всем товарам с сроком годности равным 5 дням.</t>
  </si>
  <si>
    <t>Вывести продажи в штуках по  всем товарам магазина "Прекрасный" за период с 01.11.2012 по 20.11.2012. Продажи товаров с сроком годности меньше 10 дней умножить на 2.</t>
  </si>
  <si>
    <t>Определить магазин с наибольшими продажами по товару "Сахар песок фас. 10кг:1" суммарно за 2012 год.</t>
  </si>
  <si>
    <t>Найти магазины, у которых не было ни одной продажи за 2012 год.</t>
  </si>
  <si>
    <t>6.</t>
  </si>
  <si>
    <t>Сделать сводную таблицу (на листе "Сводная") по всем данным. Вывести среднюю продажу и средний остаток на конец дня в штуках по позиции 1067040002 в разрезе РЦ.</t>
  </si>
  <si>
    <t>0.2 мин</t>
  </si>
  <si>
    <t>0.4 мин</t>
  </si>
  <si>
    <t>Названия строк</t>
  </si>
  <si>
    <t>Среднее по полю Продажа, шт</t>
  </si>
  <si>
    <t>Среднее по полю Остаток на конец дня, шт</t>
  </si>
  <si>
    <t>Сумма по полю Оборачиваемость остаков</t>
  </si>
  <si>
    <t>Общий итог</t>
  </si>
  <si>
    <t>SELECT * FROM "Справочник товаров" ORDER BY себестоимость ASC;</t>
  </si>
  <si>
    <t>SELECT 
  Название_магазина
FROM "Справочник магазинов"
ORDER BY Площадь DESC
LIMIT 1;</t>
  </si>
  <si>
    <t>SELECT
   COUNT(п.Код_товара)
FROM Продажи п
JOIN "Справочник товаров" с ON п.Код_товара = с.Код_товара
WHERE с."Срок годности" = 5;</t>
  </si>
  <si>
    <t>SELECT
   т.Название_товара,
   CASE
    WHEN т."Срок годности" &lt; 10 THEN п."Продажа, шт" * 2
    ELSE п."Продажа, шт"
   END AS Продажа
FROM Продажи п
JOIN "Справочник магазинов" с ON п.Код_магазина = с.Код_магазина
JOIN "Справочник товаров" т ON п.Код_товара = т.Код_товара
WHERE с.Название_магазина = 'Прекрасный' 
AND NOT п."Продажа, шт" IS NULL
AND п."Продажа, шт" &lt;&gt; 0
AND п.Дата::DATE &gt;= '2012-11-01'::DATE 
AND п.Дата::DATE &lt;= '2012-11-20'::DATE;</t>
  </si>
  <si>
    <t>SELECT
   с.Название_магазина
FROM Продажи п
JOIN "Справочник магазинов" с ON п.Код_магазина = с.Код_магазина
WHERE DATE_PART('year', п.Дата::date) = 2012 AND п."Продажа, шт" = 0 OR  п."Продажа, шт" IS NULL
GROUP BY с.Название_магазина;</t>
  </si>
  <si>
    <t>SELECT TOP 1
   с.Название_магазина],
  SUM(п."Продажа, шт") Продажи
FROM Продажи п
JOIN "Справочник товаров" т ON п.Код_товара = т.Код_товара
JOIN "Справочник магазинов" с ON п.Код_магазина = с.Код_магазина
WHERE DATE_PART('year', п.Дата::date) = 2012 AND т.Название_товара = 'Сахар песок фас. 10кг:1'
GROUP BY с.Название_магазина
ORDER BY 2 DESC
LIMIT 1;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</si>
</sst>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р_._-;\-* #,##0.00_р_._-;_-* &quot;-&quot;??_р_._-;_-@_-"/>
    <numFmt numFmtId="165" formatCode="dd/mm/yy\ h:mm;@"/>
    <numFmt numFmtId="166" formatCode="dd\.mm\.yyyy"/>
    <numFmt numFmtId="167" formatCode="#,##0_ ;\-#,##0\ "/>
    <numFmt numFmtId="168" formatCode="#,##0.00_ ;\-#,##0.00\ 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indexed="64"/>
      <name val="Arial"/>
      <family val="2"/>
      <charset val="204"/>
    </font>
    <font>
      <sz val="8"/>
      <color indexed="64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8"/>
      <color indexed="64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8"/>
      <color theme="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b/>
      <u/>
      <sz val="8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6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6" tint="0.39994506668294322"/>
      </bottom>
      <diagonal/>
    </border>
    <border>
      <left style="thin">
        <color indexed="64"/>
      </left>
      <right style="thin">
        <color indexed="64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indexed="64"/>
      </left>
      <right style="thin">
        <color indexed="64"/>
      </right>
      <top style="thin">
        <color theme="6" tint="0.39994506668294322"/>
      </top>
      <bottom style="thin">
        <color indexed="64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4506668294322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6" fillId="0" borderId="0"/>
    <xf numFmtId="0" fontId="1" fillId="0" borderId="0"/>
  </cellStyleXfs>
  <cellXfs count="188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49" fontId="3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5" xfId="0" applyNumberFormat="1" applyFont="1" applyBorder="1" applyAlignment="1">
      <alignment horizontal="left"/>
    </xf>
    <xf numFmtId="49" fontId="2" fillId="0" borderId="6" xfId="0" applyNumberFormat="1" applyFont="1" applyBorder="1" applyAlignment="1">
      <alignment horizontal="left"/>
    </xf>
    <xf numFmtId="9" fontId="2" fillId="0" borderId="1" xfId="1" applyFont="1" applyBorder="1" applyAlignment="1">
      <alignment horizontal="left"/>
    </xf>
    <xf numFmtId="1" fontId="2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1" fontId="2" fillId="0" borderId="5" xfId="0" applyNumberFormat="1" applyFont="1" applyBorder="1" applyAlignment="1">
      <alignment horizontal="left"/>
    </xf>
    <xf numFmtId="1" fontId="2" fillId="0" borderId="6" xfId="0" applyNumberFormat="1" applyFont="1" applyBorder="1" applyAlignment="1">
      <alignment horizontal="left"/>
    </xf>
    <xf numFmtId="0" fontId="3" fillId="0" borderId="6" xfId="0" applyFont="1" applyBorder="1"/>
    <xf numFmtId="0" fontId="2" fillId="0" borderId="6" xfId="0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3" fillId="2" borderId="7" xfId="0" applyFont="1" applyFill="1" applyBorder="1"/>
    <xf numFmtId="0" fontId="3" fillId="2" borderId="7" xfId="0" applyFont="1" applyFill="1" applyBorder="1" applyAlignment="1">
      <alignment horizontal="right"/>
    </xf>
    <xf numFmtId="0" fontId="4" fillId="2" borderId="7" xfId="0" applyFont="1" applyFill="1" applyBorder="1"/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7" xfId="0" applyFont="1" applyFill="1" applyBorder="1" applyAlignment="1">
      <alignment horizontal="left"/>
    </xf>
    <xf numFmtId="1" fontId="2" fillId="2" borderId="7" xfId="0" applyNumberFormat="1" applyFont="1" applyFill="1" applyBorder="1" applyAlignment="1">
      <alignment horizontal="left"/>
    </xf>
    <xf numFmtId="165" fontId="2" fillId="2" borderId="7" xfId="0" applyNumberFormat="1" applyFont="1" applyFill="1" applyBorder="1" applyAlignment="1">
      <alignment horizontal="left"/>
    </xf>
    <xf numFmtId="167" fontId="2" fillId="0" borderId="1" xfId="2" applyNumberFormat="1" applyFont="1" applyBorder="1" applyAlignment="1">
      <alignment horizontal="left"/>
    </xf>
    <xf numFmtId="0" fontId="2" fillId="0" borderId="1" xfId="2" applyNumberFormat="1" applyFont="1" applyBorder="1" applyAlignment="1">
      <alignment horizontal="left"/>
    </xf>
    <xf numFmtId="9" fontId="2" fillId="0" borderId="1" xfId="2" applyNumberFormat="1" applyFont="1" applyBorder="1" applyAlignment="1">
      <alignment horizontal="left"/>
    </xf>
    <xf numFmtId="1" fontId="2" fillId="2" borderId="7" xfId="0" applyNumberFormat="1" applyFont="1" applyFill="1" applyBorder="1"/>
    <xf numFmtId="1" fontId="2" fillId="0" borderId="6" xfId="0" applyNumberFormat="1" applyFont="1" applyBorder="1"/>
    <xf numFmtId="1" fontId="3" fillId="0" borderId="1" xfId="0" applyNumberFormat="1" applyFont="1" applyBorder="1"/>
    <xf numFmtId="1" fontId="2" fillId="0" borderId="1" xfId="0" applyNumberFormat="1" applyFont="1" applyBorder="1"/>
    <xf numFmtId="0" fontId="10" fillId="0" borderId="1" xfId="0" applyFont="1" applyBorder="1"/>
    <xf numFmtId="1" fontId="2" fillId="0" borderId="5" xfId="0" applyNumberFormat="1" applyFont="1" applyBorder="1"/>
    <xf numFmtId="0" fontId="11" fillId="0" borderId="6" xfId="0" applyFont="1" applyBorder="1"/>
    <xf numFmtId="0" fontId="11" fillId="0" borderId="1" xfId="0" applyFont="1" applyBorder="1"/>
    <xf numFmtId="1" fontId="11" fillId="2" borderId="7" xfId="0" applyNumberFormat="1" applyFont="1" applyFill="1" applyBorder="1"/>
    <xf numFmtId="1" fontId="11" fillId="0" borderId="6" xfId="0" applyNumberFormat="1" applyFont="1" applyBorder="1"/>
    <xf numFmtId="1" fontId="11" fillId="0" borderId="1" xfId="0" applyNumberFormat="1" applyFont="1" applyBorder="1"/>
    <xf numFmtId="1" fontId="10" fillId="0" borderId="1" xfId="0" applyNumberFormat="1" applyFont="1" applyBorder="1"/>
    <xf numFmtId="0" fontId="5" fillId="0" borderId="0" xfId="0" applyFont="1"/>
    <xf numFmtId="0" fontId="11" fillId="2" borderId="7" xfId="0" applyFont="1" applyFill="1" applyBorder="1"/>
    <xf numFmtId="2" fontId="2" fillId="2" borderId="7" xfId="0" applyNumberFormat="1" applyFont="1" applyFill="1" applyBorder="1" applyAlignment="1">
      <alignment horizontal="left"/>
    </xf>
    <xf numFmtId="0" fontId="18" fillId="2" borderId="7" xfId="0" applyFont="1" applyFill="1" applyBorder="1"/>
    <xf numFmtId="0" fontId="18" fillId="2" borderId="7" xfId="0" applyFont="1" applyFill="1" applyBorder="1" applyAlignment="1">
      <alignment horizontal="right"/>
    </xf>
    <xf numFmtId="0" fontId="18" fillId="2" borderId="7" xfId="0" applyFont="1" applyFill="1" applyBorder="1" applyAlignment="1">
      <alignment horizontal="left"/>
    </xf>
    <xf numFmtId="1" fontId="18" fillId="2" borderId="7" xfId="0" applyNumberFormat="1" applyFont="1" applyFill="1" applyBorder="1" applyAlignment="1">
      <alignment horizontal="left"/>
    </xf>
    <xf numFmtId="1" fontId="18" fillId="2" borderId="7" xfId="0" applyNumberFormat="1" applyFont="1" applyFill="1" applyBorder="1"/>
    <xf numFmtId="1" fontId="17" fillId="2" borderId="7" xfId="0" applyNumberFormat="1" applyFont="1" applyFill="1" applyBorder="1"/>
    <xf numFmtId="0" fontId="17" fillId="2" borderId="7" xfId="0" applyFont="1" applyFill="1" applyBorder="1"/>
    <xf numFmtId="49" fontId="7" fillId="0" borderId="0" xfId="3" applyNumberFormat="1" applyFont="1"/>
    <xf numFmtId="0" fontId="7" fillId="0" borderId="0" xfId="3" applyFont="1"/>
    <xf numFmtId="166" fontId="7" fillId="0" borderId="0" xfId="3" applyNumberFormat="1" applyFont="1"/>
    <xf numFmtId="2" fontId="2" fillId="0" borderId="0" xfId="0" applyNumberFormat="1" applyFont="1"/>
    <xf numFmtId="0" fontId="10" fillId="0" borderId="3" xfId="0" applyFont="1" applyBorder="1"/>
    <xf numFmtId="1" fontId="2" fillId="0" borderId="2" xfId="0" applyNumberFormat="1" applyFont="1" applyBorder="1" applyAlignment="1" applyProtection="1">
      <alignment horizontal="left"/>
      <protection locked="0"/>
    </xf>
    <xf numFmtId="0" fontId="18" fillId="2" borderId="7" xfId="0" applyFont="1" applyFill="1" applyBorder="1" applyProtection="1">
      <protection hidden="1"/>
    </xf>
    <xf numFmtId="0" fontId="18" fillId="2" borderId="7" xfId="0" applyFont="1" applyFill="1" applyBorder="1" applyAlignment="1" applyProtection="1">
      <alignment horizontal="righ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1" fontId="18" fillId="2" borderId="7" xfId="0" applyNumberFormat="1" applyFont="1" applyFill="1" applyBorder="1" applyAlignment="1" applyProtection="1">
      <alignment horizontal="left"/>
      <protection hidden="1"/>
    </xf>
    <xf numFmtId="1" fontId="18" fillId="2" borderId="7" xfId="0" applyNumberFormat="1" applyFont="1" applyFill="1" applyBorder="1" applyProtection="1">
      <protection hidden="1"/>
    </xf>
    <xf numFmtId="0" fontId="17" fillId="2" borderId="7" xfId="0" applyFont="1" applyFill="1" applyBorder="1" applyProtection="1">
      <protection hidden="1"/>
    </xf>
    <xf numFmtId="0" fontId="4" fillId="2" borderId="7" xfId="0" applyFont="1" applyFill="1" applyBorder="1" applyProtection="1">
      <protection hidden="1"/>
    </xf>
    <xf numFmtId="0" fontId="3" fillId="2" borderId="7" xfId="0" applyFont="1" applyFill="1" applyBorder="1" applyProtection="1">
      <protection hidden="1"/>
    </xf>
    <xf numFmtId="0" fontId="2" fillId="2" borderId="7" xfId="0" applyFont="1" applyFill="1" applyBorder="1" applyProtection="1">
      <protection hidden="1"/>
    </xf>
    <xf numFmtId="0" fontId="2" fillId="2" borderId="7" xfId="0" applyFont="1" applyFill="1" applyBorder="1" applyAlignment="1" applyProtection="1">
      <alignment horizontal="right"/>
      <protection hidden="1"/>
    </xf>
    <xf numFmtId="0" fontId="2" fillId="2" borderId="7" xfId="0" applyFont="1" applyFill="1" applyBorder="1" applyAlignment="1" applyProtection="1">
      <alignment horizontal="left"/>
      <protection hidden="1"/>
    </xf>
    <xf numFmtId="1" fontId="2" fillId="2" borderId="7" xfId="0" applyNumberFormat="1" applyFont="1" applyFill="1" applyBorder="1" applyAlignment="1" applyProtection="1">
      <alignment horizontal="left"/>
      <protection hidden="1"/>
    </xf>
    <xf numFmtId="1" fontId="2" fillId="2" borderId="7" xfId="0" applyNumberFormat="1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3" fillId="2" borderId="7" xfId="0" applyFont="1" applyFill="1" applyBorder="1" applyAlignment="1" applyProtection="1">
      <alignment horizontal="right"/>
      <protection hidden="1"/>
    </xf>
    <xf numFmtId="165" fontId="2" fillId="2" borderId="7" xfId="0" applyNumberFormat="1" applyFont="1" applyFill="1" applyBorder="1" applyAlignment="1" applyProtection="1">
      <alignment horizontal="left"/>
      <protection hidden="1"/>
    </xf>
    <xf numFmtId="2" fontId="2" fillId="2" borderId="7" xfId="0" applyNumberFormat="1" applyFont="1" applyFill="1" applyBorder="1" applyAlignment="1" applyProtection="1">
      <alignment horizontal="left"/>
      <protection hidden="1"/>
    </xf>
    <xf numFmtId="0" fontId="2" fillId="0" borderId="6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2" fillId="0" borderId="6" xfId="0" applyFont="1" applyBorder="1" applyAlignment="1" applyProtection="1">
      <alignment horizontal="right"/>
      <protection hidden="1"/>
    </xf>
    <xf numFmtId="0" fontId="2" fillId="0" borderId="6" xfId="0" applyFont="1" applyBorder="1" applyAlignment="1" applyProtection="1">
      <alignment horizontal="left"/>
      <protection hidden="1"/>
    </xf>
    <xf numFmtId="49" fontId="2" fillId="0" borderId="6" xfId="0" applyNumberFormat="1" applyFont="1" applyBorder="1" applyAlignment="1" applyProtection="1">
      <alignment horizontal="left"/>
      <protection hidden="1"/>
    </xf>
    <xf numFmtId="1" fontId="2" fillId="0" borderId="6" xfId="0" applyNumberFormat="1" applyFont="1" applyBorder="1" applyProtection="1">
      <protection hidden="1"/>
    </xf>
    <xf numFmtId="0" fontId="11" fillId="0" borderId="6" xfId="0" applyFont="1" applyBorder="1" applyProtection="1">
      <protection hidden="1"/>
    </xf>
    <xf numFmtId="0" fontId="3" fillId="0" borderId="1" xfId="0" applyFont="1" applyBorder="1" applyProtection="1">
      <protection hidden="1"/>
    </xf>
    <xf numFmtId="0" fontId="3" fillId="0" borderId="1" xfId="0" applyFont="1" applyBorder="1" applyAlignment="1" applyProtection="1">
      <alignment horizontal="right"/>
      <protection hidden="1"/>
    </xf>
    <xf numFmtId="0" fontId="3" fillId="0" borderId="1" xfId="0" applyFont="1" applyBorder="1" applyAlignment="1" applyProtection="1">
      <alignment horizontal="left"/>
      <protection hidden="1"/>
    </xf>
    <xf numFmtId="49" fontId="3" fillId="0" borderId="1" xfId="0" applyNumberFormat="1" applyFont="1" applyBorder="1" applyAlignment="1" applyProtection="1">
      <alignment horizontal="left"/>
      <protection hidden="1"/>
    </xf>
    <xf numFmtId="1" fontId="3" fillId="0" borderId="1" xfId="0" applyNumberFormat="1" applyFont="1" applyBorder="1" applyProtection="1">
      <protection hidden="1"/>
    </xf>
    <xf numFmtId="0" fontId="11" fillId="0" borderId="1" xfId="0" applyFont="1" applyBorder="1" applyProtection="1">
      <protection hidden="1"/>
    </xf>
    <xf numFmtId="0" fontId="10" fillId="0" borderId="1" xfId="0" applyFont="1" applyBorder="1" applyProtection="1">
      <protection hidden="1"/>
    </xf>
    <xf numFmtId="0" fontId="2" fillId="0" borderId="1" xfId="0" applyFont="1" applyBorder="1" applyProtection="1">
      <protection hidden="1"/>
    </xf>
    <xf numFmtId="0" fontId="2" fillId="0" borderId="1" xfId="0" applyFont="1" applyBorder="1" applyAlignment="1" applyProtection="1">
      <alignment horizontal="right"/>
      <protection hidden="1"/>
    </xf>
    <xf numFmtId="0" fontId="2" fillId="0" borderId="1" xfId="0" applyFont="1" applyBorder="1" applyAlignment="1" applyProtection="1">
      <alignment horizontal="left"/>
      <protection hidden="1"/>
    </xf>
    <xf numFmtId="49" fontId="2" fillId="0" borderId="1" xfId="0" applyNumberFormat="1" applyFont="1" applyBorder="1" applyAlignment="1" applyProtection="1">
      <alignment horizontal="left"/>
      <protection hidden="1"/>
    </xf>
    <xf numFmtId="1" fontId="2" fillId="0" borderId="1" xfId="0" applyNumberFormat="1" applyFont="1" applyBorder="1" applyProtection="1">
      <protection hidden="1"/>
    </xf>
    <xf numFmtId="0" fontId="3" fillId="0" borderId="3" xfId="0" applyFont="1" applyBorder="1" applyProtection="1">
      <protection hidden="1"/>
    </xf>
    <xf numFmtId="49" fontId="2" fillId="0" borderId="5" xfId="0" applyNumberFormat="1" applyFont="1" applyBorder="1" applyAlignment="1" applyProtection="1">
      <alignment horizontal="left"/>
      <protection hidden="1"/>
    </xf>
    <xf numFmtId="0" fontId="2" fillId="0" borderId="5" xfId="0" applyFont="1" applyBorder="1" applyProtection="1">
      <protection hidden="1"/>
    </xf>
    <xf numFmtId="0" fontId="10" fillId="0" borderId="3" xfId="0" applyFont="1" applyBorder="1" applyProtection="1">
      <protection hidden="1"/>
    </xf>
    <xf numFmtId="9" fontId="2" fillId="0" borderId="1" xfId="1" applyFont="1" applyBorder="1" applyAlignment="1" applyProtection="1">
      <alignment horizontal="left"/>
      <protection hidden="1"/>
    </xf>
    <xf numFmtId="167" fontId="2" fillId="0" borderId="1" xfId="2" applyNumberFormat="1" applyFont="1" applyBorder="1" applyAlignment="1" applyProtection="1">
      <alignment horizontal="left"/>
      <protection hidden="1"/>
    </xf>
    <xf numFmtId="9" fontId="2" fillId="0" borderId="1" xfId="2" applyNumberFormat="1" applyFont="1" applyBorder="1" applyAlignment="1" applyProtection="1">
      <alignment horizontal="left"/>
      <protection hidden="1"/>
    </xf>
    <xf numFmtId="0" fontId="2" fillId="0" borderId="1" xfId="2" applyNumberFormat="1" applyFont="1" applyBorder="1" applyAlignment="1" applyProtection="1">
      <alignment horizontal="left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1" fontId="2" fillId="0" borderId="2" xfId="0" applyNumberFormat="1" applyFont="1" applyBorder="1" applyAlignment="1" applyProtection="1">
      <alignment horizontal="left"/>
      <protection locked="0" hidden="1"/>
    </xf>
    <xf numFmtId="1" fontId="8" fillId="0" borderId="1" xfId="0" applyNumberFormat="1" applyFont="1" applyBorder="1" applyAlignment="1" applyProtection="1">
      <alignment horizontal="center" wrapText="1"/>
      <protection hidden="1"/>
    </xf>
    <xf numFmtId="1" fontId="8" fillId="0" borderId="1" xfId="0" applyNumberFormat="1" applyFont="1" applyBorder="1" applyAlignment="1" applyProtection="1">
      <alignment horizontal="center" vertical="center" wrapText="1"/>
      <protection hidden="1"/>
    </xf>
    <xf numFmtId="9" fontId="8" fillId="0" borderId="1" xfId="1" applyFont="1" applyBorder="1" applyAlignment="1" applyProtection="1">
      <alignment horizontal="center" vertical="center" wrapText="1"/>
      <protection hidden="1"/>
    </xf>
    <xf numFmtId="1" fontId="12" fillId="0" borderId="1" xfId="0" applyNumberFormat="1" applyFont="1" applyBorder="1" applyAlignment="1" applyProtection="1">
      <alignment vertical="center"/>
      <protection hidden="1"/>
    </xf>
    <xf numFmtId="1" fontId="13" fillId="0" borderId="1" xfId="0" applyNumberFormat="1" applyFont="1" applyBorder="1" applyAlignment="1" applyProtection="1">
      <alignment vertical="center"/>
      <protection hidden="1"/>
    </xf>
    <xf numFmtId="9" fontId="19" fillId="0" borderId="1" xfId="1" applyFont="1" applyBorder="1" applyAlignment="1" applyProtection="1">
      <alignment horizontal="center" vertical="center"/>
      <protection hidden="1"/>
    </xf>
    <xf numFmtId="9" fontId="8" fillId="0" borderId="1" xfId="1" applyFont="1" applyBorder="1" applyAlignment="1" applyProtection="1">
      <alignment horizontal="center" vertical="center"/>
      <protection hidden="1"/>
    </xf>
    <xf numFmtId="1" fontId="15" fillId="0" borderId="1" xfId="0" applyNumberFormat="1" applyFont="1" applyBorder="1" applyAlignment="1" applyProtection="1">
      <alignment vertical="center"/>
      <protection hidden="1"/>
    </xf>
    <xf numFmtId="1" fontId="13" fillId="0" borderId="1" xfId="0" applyNumberFormat="1" applyFont="1" applyBorder="1" applyProtection="1">
      <protection hidden="1"/>
    </xf>
    <xf numFmtId="1" fontId="16" fillId="0" borderId="1" xfId="0" applyNumberFormat="1" applyFont="1" applyBorder="1" applyProtection="1">
      <protection hidden="1"/>
    </xf>
    <xf numFmtId="1" fontId="14" fillId="0" borderId="1" xfId="0" applyNumberFormat="1" applyFont="1" applyBorder="1" applyProtection="1">
      <protection hidden="1"/>
    </xf>
    <xf numFmtId="1" fontId="15" fillId="0" borderId="1" xfId="0" applyNumberFormat="1" applyFont="1" applyBorder="1" applyProtection="1">
      <protection hidden="1"/>
    </xf>
    <xf numFmtId="9" fontId="16" fillId="0" borderId="1" xfId="1" applyFont="1" applyBorder="1" applyProtection="1">
      <protection hidden="1"/>
    </xf>
    <xf numFmtId="9" fontId="14" fillId="0" borderId="1" xfId="1" applyFont="1" applyBorder="1" applyProtection="1">
      <protection hidden="1"/>
    </xf>
    <xf numFmtId="0" fontId="2" fillId="0" borderId="2" xfId="0" applyFont="1" applyBorder="1" applyAlignment="1" applyProtection="1">
      <alignment horizontal="left"/>
      <protection locked="0" hidden="1"/>
    </xf>
    <xf numFmtId="0" fontId="11" fillId="0" borderId="0" xfId="0" applyFont="1" applyProtection="1">
      <protection hidden="1"/>
    </xf>
    <xf numFmtId="9" fontId="11" fillId="0" borderId="0" xfId="1" applyFont="1" applyProtection="1">
      <protection hidden="1"/>
    </xf>
    <xf numFmtId="1" fontId="11" fillId="0" borderId="0" xfId="0" applyNumberFormat="1" applyFont="1" applyProtection="1">
      <protection hidden="1"/>
    </xf>
    <xf numFmtId="0" fontId="11" fillId="0" borderId="0" xfId="0" applyFont="1" applyAlignment="1" applyProtection="1">
      <alignment horizontal="center" vertical="top" wrapText="1"/>
      <protection hidden="1"/>
    </xf>
    <xf numFmtId="1" fontId="11" fillId="0" borderId="0" xfId="0" applyNumberFormat="1" applyFont="1" applyAlignment="1" applyProtection="1">
      <alignment horizontal="center" vertical="top" wrapText="1"/>
      <protection hidden="1"/>
    </xf>
    <xf numFmtId="1" fontId="11" fillId="0" borderId="0" xfId="0" quotePrefix="1" applyNumberFormat="1" applyFont="1" applyProtection="1">
      <protection hidden="1"/>
    </xf>
    <xf numFmtId="0" fontId="3" fillId="3" borderId="8" xfId="0" applyFont="1" applyFill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2" fillId="0" borderId="8" xfId="0" applyFont="1" applyBorder="1"/>
    <xf numFmtId="0" fontId="3" fillId="3" borderId="0" xfId="0" applyFont="1" applyFill="1" applyAlignment="1">
      <alignment horizontal="center"/>
    </xf>
    <xf numFmtId="0" fontId="9" fillId="3" borderId="0" xfId="3" applyFont="1" applyFill="1" applyAlignment="1">
      <alignment horizontal="center" vertical="top" wrapText="1"/>
    </xf>
    <xf numFmtId="2" fontId="9" fillId="3" borderId="0" xfId="3" applyNumberFormat="1" applyFont="1" applyFill="1" applyAlignment="1">
      <alignment horizontal="center" vertical="top" wrapText="1"/>
    </xf>
    <xf numFmtId="0" fontId="2" fillId="3" borderId="0" xfId="0" applyFont="1" applyFill="1" applyAlignment="1">
      <alignment horizontal="center" wrapText="1"/>
    </xf>
    <xf numFmtId="0" fontId="20" fillId="3" borderId="0" xfId="0" applyFont="1" applyFill="1" applyAlignment="1">
      <alignment horizontal="center"/>
    </xf>
    <xf numFmtId="0" fontId="2" fillId="3" borderId="0" xfId="0" applyFont="1" applyFill="1"/>
    <xf numFmtId="2" fontId="2" fillId="3" borderId="0" xfId="0" applyNumberFormat="1" applyFont="1" applyFill="1"/>
    <xf numFmtId="0" fontId="2" fillId="0" borderId="1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0" borderId="11" xfId="0" applyFont="1" applyBorder="1"/>
    <xf numFmtId="0" fontId="2" fillId="0" borderId="6" xfId="0" applyFont="1" applyBorder="1" applyAlignment="1">
      <alignment horizontal="center"/>
    </xf>
    <xf numFmtId="0" fontId="2" fillId="3" borderId="12" xfId="0" applyFont="1" applyFill="1" applyBorder="1"/>
    <xf numFmtId="0" fontId="2" fillId="3" borderId="12" xfId="0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0" fontId="20" fillId="3" borderId="12" xfId="0" applyFont="1" applyFill="1" applyBorder="1"/>
    <xf numFmtId="0" fontId="20" fillId="3" borderId="13" xfId="0" applyFont="1" applyFill="1" applyBorder="1" applyAlignment="1">
      <alignment horizontal="center"/>
    </xf>
    <xf numFmtId="0" fontId="20" fillId="3" borderId="13" xfId="0" applyFont="1" applyFill="1" applyBorder="1"/>
    <xf numFmtId="0" fontId="2" fillId="3" borderId="13" xfId="0" applyFont="1" applyFill="1" applyBorder="1"/>
    <xf numFmtId="0" fontId="20" fillId="3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0" fillId="3" borderId="16" xfId="0" applyFont="1" applyFill="1" applyBorder="1" applyAlignment="1">
      <alignment horizontal="center" wrapText="1"/>
    </xf>
    <xf numFmtId="0" fontId="20" fillId="3" borderId="17" xfId="0" applyFont="1" applyFill="1" applyBorder="1" applyAlignment="1">
      <alignment horizontal="left" wrapText="1"/>
    </xf>
    <xf numFmtId="0" fontId="2" fillId="3" borderId="17" xfId="0" applyFont="1" applyFill="1" applyBorder="1" applyAlignment="1">
      <alignment horizontal="left"/>
    </xf>
    <xf numFmtId="0" fontId="2" fillId="3" borderId="18" xfId="0" applyFont="1" applyFill="1" applyBorder="1" applyAlignment="1">
      <alignment horizontal="left"/>
    </xf>
    <xf numFmtId="0" fontId="20" fillId="3" borderId="19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19" xfId="0" quotePrefix="1" applyFont="1" applyFill="1" applyBorder="1" applyAlignment="1">
      <alignment horizontal="center"/>
    </xf>
    <xf numFmtId="0" fontId="20" fillId="3" borderId="17" xfId="0" applyFont="1" applyFill="1" applyBorder="1" applyAlignment="1">
      <alignment horizontal="left"/>
    </xf>
    <xf numFmtId="0" fontId="20" fillId="3" borderId="14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20" xfId="0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right" vertical="top"/>
    </xf>
    <xf numFmtId="0" fontId="2" fillId="0" borderId="5" xfId="0" applyFont="1" applyBorder="1" applyAlignment="1">
      <alignment horizontal="center"/>
    </xf>
    <xf numFmtId="14" fontId="2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168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21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2" fillId="3" borderId="12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9" xfId="0" applyFont="1" applyBorder="1" applyAlignment="1">
      <alignment horizontal="left" vertical="top"/>
    </xf>
  </cellXfs>
  <cellStyles count="5">
    <cellStyle name="Обычный" xfId="0" builtinId="0"/>
    <cellStyle name="Обычный 2" xfId="4" xr:uid="{00000000-0005-0000-0000-000001000000}"/>
    <cellStyle name="Обычный 3" xfId="3" xr:uid="{00000000-0005-0000-0000-000002000000}"/>
    <cellStyle name="Процентный" xfId="1" builtinId="5"/>
    <cellStyle name="Финансовый" xfId="2" builtinId="3"/>
  </cellStyles>
  <dxfs count="495"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9" defaultPivotStyle="PivotStyleLight16"/>
  <colors>
    <mruColors>
      <color rgb="FFCC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[Тестирование соискателей.xlsm]Сводная!Сводная таблица1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Сводная!$B$3</c:f>
              <c:strCache>
                <c:ptCount val="1"/>
                <c:pt idx="0">
                  <c:v>Среднее по полю Продажа, шт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Сводная!$A$4:$A$20</c:f>
              <c:strCache>
                <c:ptCount val="16"/>
                <c:pt idx="0">
                  <c:v>ДЦ Кропоткин</c:v>
                </c:pt>
                <c:pt idx="1">
                  <c:v>РЦ Батайск</c:v>
                </c:pt>
                <c:pt idx="2">
                  <c:v>РЦ Великий Новгород</c:v>
                </c:pt>
                <c:pt idx="3">
                  <c:v>РЦ Дзержинск</c:v>
                </c:pt>
                <c:pt idx="4">
                  <c:v>РЦ Ерзовка</c:v>
                </c:pt>
                <c:pt idx="5">
                  <c:v>РЦ Иваново</c:v>
                </c:pt>
                <c:pt idx="6">
                  <c:v>РЦ Ижевск</c:v>
                </c:pt>
                <c:pt idx="7">
                  <c:v>РЦ Лермонтов</c:v>
                </c:pt>
                <c:pt idx="8">
                  <c:v>РЦ Омск</c:v>
                </c:pt>
                <c:pt idx="9">
                  <c:v>РЦ Орел (Хардиково)</c:v>
                </c:pt>
                <c:pt idx="10">
                  <c:v>РЦ Славянск-на-Кубани</c:v>
                </c:pt>
                <c:pt idx="11">
                  <c:v>РЦ Стерлитамак</c:v>
                </c:pt>
                <c:pt idx="12">
                  <c:v>РЦ Тамбов</c:v>
                </c:pt>
                <c:pt idx="13">
                  <c:v>РЦ Тольятти (новый)</c:v>
                </c:pt>
                <c:pt idx="14">
                  <c:v>РЦ Челябинск</c:v>
                </c:pt>
                <c:pt idx="15">
                  <c:v>РЦ Энгельс</c:v>
                </c:pt>
              </c:strCache>
            </c:strRef>
          </c:cat>
          <c:val>
            <c:numRef>
              <c:f>Сводная!$B$4:$B$20</c:f>
              <c:numCache>
                <c:formatCode>#\ ##0.00_ ;\-#\ ##0.00\ </c:formatCode>
                <c:ptCount val="16"/>
                <c:pt idx="0">
                  <c:v>408.34042553191489</c:v>
                </c:pt>
                <c:pt idx="1">
                  <c:v>1008.063829787234</c:v>
                </c:pt>
                <c:pt idx="2">
                  <c:v>520.14893617021278</c:v>
                </c:pt>
                <c:pt idx="3">
                  <c:v>762.21276595744678</c:v>
                </c:pt>
                <c:pt idx="4">
                  <c:v>21.787234042553191</c:v>
                </c:pt>
                <c:pt idx="5">
                  <c:v>69.085106382978722</c:v>
                </c:pt>
                <c:pt idx="6">
                  <c:v>792.29787234042556</c:v>
                </c:pt>
                <c:pt idx="7">
                  <c:v>536</c:v>
                </c:pt>
                <c:pt idx="8">
                  <c:v>115.40425531914893</c:v>
                </c:pt>
                <c:pt idx="9">
                  <c:v>1200.7659574468084</c:v>
                </c:pt>
                <c:pt idx="10">
                  <c:v>269.40425531914894</c:v>
                </c:pt>
                <c:pt idx="11">
                  <c:v>600.936170212766</c:v>
                </c:pt>
                <c:pt idx="12">
                  <c:v>1645.7234042553191</c:v>
                </c:pt>
                <c:pt idx="13">
                  <c:v>843.02127659574467</c:v>
                </c:pt>
                <c:pt idx="14">
                  <c:v>532.40425531914889</c:v>
                </c:pt>
                <c:pt idx="15">
                  <c:v>973.19148936170211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A-4CB0-A7A6-FF00C380AB20}"/>
            </c:ext>
          </c:extLst>
        </c:ser>
        <c:ser>
          <c:idx val="1"/>
          <c:order val="1"/>
          <c:tx>
            <c:strRef>
              <c:f>Сводная!$C$3</c:f>
              <c:strCache>
                <c:ptCount val="1"/>
                <c:pt idx="0">
                  <c:v>Среднее по полю Остаток на конец дня, шт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Сводная!$A$4:$A$20</c:f>
              <c:strCache>
                <c:ptCount val="16"/>
                <c:pt idx="0">
                  <c:v>ДЦ Кропоткин</c:v>
                </c:pt>
                <c:pt idx="1">
                  <c:v>РЦ Батайск</c:v>
                </c:pt>
                <c:pt idx="2">
                  <c:v>РЦ Великий Новгород</c:v>
                </c:pt>
                <c:pt idx="3">
                  <c:v>РЦ Дзержинск</c:v>
                </c:pt>
                <c:pt idx="4">
                  <c:v>РЦ Ерзовка</c:v>
                </c:pt>
                <c:pt idx="5">
                  <c:v>РЦ Иваново</c:v>
                </c:pt>
                <c:pt idx="6">
                  <c:v>РЦ Ижевск</c:v>
                </c:pt>
                <c:pt idx="7">
                  <c:v>РЦ Лермонтов</c:v>
                </c:pt>
                <c:pt idx="8">
                  <c:v>РЦ Омск</c:v>
                </c:pt>
                <c:pt idx="9">
                  <c:v>РЦ Орел (Хардиково)</c:v>
                </c:pt>
                <c:pt idx="10">
                  <c:v>РЦ Славянск-на-Кубани</c:v>
                </c:pt>
                <c:pt idx="11">
                  <c:v>РЦ Стерлитамак</c:v>
                </c:pt>
                <c:pt idx="12">
                  <c:v>РЦ Тамбов</c:v>
                </c:pt>
                <c:pt idx="13">
                  <c:v>РЦ Тольятти (новый)</c:v>
                </c:pt>
                <c:pt idx="14">
                  <c:v>РЦ Челябинск</c:v>
                </c:pt>
                <c:pt idx="15">
                  <c:v>РЦ Энгельс</c:v>
                </c:pt>
              </c:strCache>
            </c:strRef>
          </c:cat>
          <c:val>
            <c:numRef>
              <c:f>Сводная!$C$4:$C$20</c:f>
              <c:numCache>
                <c:formatCode>#\ ##0.00_ ;\-#\ ##0.00\ </c:formatCode>
                <c:ptCount val="16"/>
                <c:pt idx="0">
                  <c:v>1610.9148936170213</c:v>
                </c:pt>
                <c:pt idx="1">
                  <c:v>5197.510638297872</c:v>
                </c:pt>
                <c:pt idx="2">
                  <c:v>3516.0425531914893</c:v>
                </c:pt>
                <c:pt idx="3">
                  <c:v>2980.5106382978724</c:v>
                </c:pt>
                <c:pt idx="4">
                  <c:v>153.42553191489361</c:v>
                </c:pt>
                <c:pt idx="5">
                  <c:v>451.89361702127661</c:v>
                </c:pt>
                <c:pt idx="6">
                  <c:v>4181.9361702127662</c:v>
                </c:pt>
                <c:pt idx="7">
                  <c:v>1945.2978723404256</c:v>
                </c:pt>
                <c:pt idx="8">
                  <c:v>445.468085106383</c:v>
                </c:pt>
                <c:pt idx="9">
                  <c:v>4157.0638297872338</c:v>
                </c:pt>
                <c:pt idx="10">
                  <c:v>1091.2127659574469</c:v>
                </c:pt>
                <c:pt idx="11">
                  <c:v>3241.7234042553191</c:v>
                </c:pt>
                <c:pt idx="12">
                  <c:v>6223.510638297872</c:v>
                </c:pt>
                <c:pt idx="13">
                  <c:v>3208.5957446808511</c:v>
                </c:pt>
                <c:pt idx="14">
                  <c:v>3246.9361702127658</c:v>
                </c:pt>
                <c:pt idx="15">
                  <c:v>3930.5957446808511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5A-4CB0-A7A6-FF00C380A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20702335"/>
        <c:axId val="1920700895"/>
      </c:barChart>
      <c:lineChart>
        <c:grouping val="standard"/>
        <c:varyColors val="0"/>
        <c:ser>
          <c:idx val="2"/>
          <c:order val="2"/>
          <c:tx>
            <c:strRef>
              <c:f>Сводная!$D$3</c:f>
              <c:strCache>
                <c:ptCount val="1"/>
                <c:pt idx="0">
                  <c:v>Сумма по полю Оборачиваемость остаков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Сводная!$A$4:$A$20</c:f>
              <c:strCache>
                <c:ptCount val="16"/>
                <c:pt idx="0">
                  <c:v>ДЦ Кропоткин</c:v>
                </c:pt>
                <c:pt idx="1">
                  <c:v>РЦ Батайск</c:v>
                </c:pt>
                <c:pt idx="2">
                  <c:v>РЦ Великий Новгород</c:v>
                </c:pt>
                <c:pt idx="3">
                  <c:v>РЦ Дзержинск</c:v>
                </c:pt>
                <c:pt idx="4">
                  <c:v>РЦ Ерзовка</c:v>
                </c:pt>
                <c:pt idx="5">
                  <c:v>РЦ Иваново</c:v>
                </c:pt>
                <c:pt idx="6">
                  <c:v>РЦ Ижевск</c:v>
                </c:pt>
                <c:pt idx="7">
                  <c:v>РЦ Лермонтов</c:v>
                </c:pt>
                <c:pt idx="8">
                  <c:v>РЦ Омск</c:v>
                </c:pt>
                <c:pt idx="9">
                  <c:v>РЦ Орел (Хардиково)</c:v>
                </c:pt>
                <c:pt idx="10">
                  <c:v>РЦ Славянск-на-Кубани</c:v>
                </c:pt>
                <c:pt idx="11">
                  <c:v>РЦ Стерлитамак</c:v>
                </c:pt>
                <c:pt idx="12">
                  <c:v>РЦ Тамбов</c:v>
                </c:pt>
                <c:pt idx="13">
                  <c:v>РЦ Тольятти (новый)</c:v>
                </c:pt>
                <c:pt idx="14">
                  <c:v>РЦ Челябинск</c:v>
                </c:pt>
                <c:pt idx="15">
                  <c:v>РЦ Энгельс</c:v>
                </c:pt>
              </c:strCache>
            </c:strRef>
          </c:cat>
          <c:val>
            <c:numRef>
              <c:f>Сводная!$D$4:$D$20</c:f>
              <c:numCache>
                <c:formatCode>0.00</c:formatCode>
                <c:ptCount val="16"/>
                <c:pt idx="0">
                  <c:v>3.9450291788245102</c:v>
                </c:pt>
                <c:pt idx="1">
                  <c:v>5.1559340636146818</c:v>
                </c:pt>
                <c:pt idx="2">
                  <c:v>6.7596842148320855</c:v>
                </c:pt>
                <c:pt idx="3">
                  <c:v>3.9103394372487719</c:v>
                </c:pt>
                <c:pt idx="4">
                  <c:v>7.0419921875</c:v>
                </c:pt>
                <c:pt idx="5">
                  <c:v>6.5411148752694794</c:v>
                </c:pt>
                <c:pt idx="6">
                  <c:v>5.2782372844943337</c:v>
                </c:pt>
                <c:pt idx="7">
                  <c:v>3.6292870752619879</c:v>
                </c:pt>
                <c:pt idx="8">
                  <c:v>3.8600663716814161</c:v>
                </c:pt>
                <c:pt idx="9">
                  <c:v>3.4620100644978384</c:v>
                </c:pt>
                <c:pt idx="10">
                  <c:v>4.0504659611435789</c:v>
                </c:pt>
                <c:pt idx="11">
                  <c:v>5.3944554595666334</c:v>
                </c:pt>
                <c:pt idx="12">
                  <c:v>3.7816261360845003</c:v>
                </c:pt>
                <c:pt idx="13">
                  <c:v>3.8060673363283026</c:v>
                </c:pt>
                <c:pt idx="14">
                  <c:v>6.0986292610798065</c:v>
                </c:pt>
                <c:pt idx="15">
                  <c:v>4.0388718845649318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A-4CB0-A7A6-FF00C380A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0706175"/>
        <c:axId val="1920704255"/>
      </c:lineChart>
      <c:catAx>
        <c:axId val="192070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0700895"/>
        <c:crosses val="autoZero"/>
        <c:auto val="1"/>
        <c:lblAlgn val="ctr"/>
        <c:lblOffset val="100"/>
        <c:noMultiLvlLbl val="0"/>
      </c:catAx>
      <c:valAx>
        <c:axId val="192070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_ ;\-#\ 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0702335"/>
        <c:crosses val="autoZero"/>
        <c:crossBetween val="between"/>
      </c:valAx>
      <c:valAx>
        <c:axId val="192070425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0706175"/>
        <c:crosses val="max"/>
        <c:crossBetween val="between"/>
      </c:valAx>
      <c:catAx>
        <c:axId val="1920706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07042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114299</xdr:colOff>
      <xdr:row>2</xdr:row>
      <xdr:rowOff>47625</xdr:rowOff>
    </xdr:from>
    <xdr:to>
      <xdr:col>5</xdr:col>
      <xdr:colOff>1554299</xdr:colOff>
      <xdr:row>2</xdr:row>
      <xdr:rowOff>273150</xdr:rowOff>
    </xdr:to>
    <xdr:sp macro="[0]!Часть_1_начало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71849" y="590550"/>
          <a:ext cx="1440000" cy="225525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Пройти </a:t>
          </a:r>
          <a:r>
            <a:rPr lang="ru-RU" sz="10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тест</a:t>
          </a:r>
        </a:p>
      </xdr:txBody>
    </xdr:sp>
    <xdr:clientData/>
  </xdr:twoCellAnchor>
  <xdr:twoCellAnchor>
    <xdr:from>
      <xdr:col>11</xdr:col>
      <xdr:colOff>85724</xdr:colOff>
      <xdr:row>2</xdr:row>
      <xdr:rowOff>47624</xdr:rowOff>
    </xdr:from>
    <xdr:to>
      <xdr:col>11</xdr:col>
      <xdr:colOff>1525724</xdr:colOff>
      <xdr:row>2</xdr:row>
      <xdr:rowOff>263624</xdr:rowOff>
    </xdr:to>
    <xdr:sp macro="[0]!Часть_1_результаты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410324" y="590549"/>
          <a:ext cx="1440000" cy="216000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Просмотр ответов</a:t>
          </a:r>
        </a:p>
      </xdr:txBody>
    </xdr:sp>
    <xdr:clientData/>
  </xdr:twoCellAnchor>
  <xdr:twoCellAnchor>
    <xdr:from>
      <xdr:col>5</xdr:col>
      <xdr:colOff>114299</xdr:colOff>
      <xdr:row>4</xdr:row>
      <xdr:rowOff>47625</xdr:rowOff>
    </xdr:from>
    <xdr:to>
      <xdr:col>5</xdr:col>
      <xdr:colOff>1554299</xdr:colOff>
      <xdr:row>4</xdr:row>
      <xdr:rowOff>273150</xdr:rowOff>
    </xdr:to>
    <xdr:sp macro="[0]!Часть_1_начало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371849" y="590550"/>
          <a:ext cx="1440000" cy="225525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/>
            <a:t>Пройти </a:t>
          </a:r>
          <a:r>
            <a:rPr lang="ru-RU" sz="1000" b="1" baseline="0"/>
            <a:t> тест</a:t>
          </a:r>
        </a:p>
      </xdr:txBody>
    </xdr:sp>
    <xdr:clientData/>
  </xdr:twoCellAnchor>
  <xdr:twoCellAnchor>
    <xdr:from>
      <xdr:col>11</xdr:col>
      <xdr:colOff>85724</xdr:colOff>
      <xdr:row>4</xdr:row>
      <xdr:rowOff>47624</xdr:rowOff>
    </xdr:from>
    <xdr:to>
      <xdr:col>11</xdr:col>
      <xdr:colOff>1525724</xdr:colOff>
      <xdr:row>4</xdr:row>
      <xdr:rowOff>263624</xdr:rowOff>
    </xdr:to>
    <xdr:sp macro="[0]!Часть_1_результаты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410324" y="590549"/>
          <a:ext cx="1440000" cy="216000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 baseline="0"/>
            <a:t>Просмотр ошибок</a:t>
          </a:r>
        </a:p>
      </xdr:txBody>
    </xdr:sp>
    <xdr:clientData/>
  </xdr:twoCellAnchor>
  <xdr:twoCellAnchor>
    <xdr:from>
      <xdr:col>5</xdr:col>
      <xdr:colOff>114299</xdr:colOff>
      <xdr:row>6</xdr:row>
      <xdr:rowOff>47625</xdr:rowOff>
    </xdr:from>
    <xdr:to>
      <xdr:col>5</xdr:col>
      <xdr:colOff>1554299</xdr:colOff>
      <xdr:row>6</xdr:row>
      <xdr:rowOff>273150</xdr:rowOff>
    </xdr:to>
    <xdr:sp macro="[0]!Часть_1_начало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371849" y="1114425"/>
          <a:ext cx="1440000" cy="225525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/>
            <a:t>Пройти </a:t>
          </a:r>
          <a:r>
            <a:rPr lang="ru-RU" sz="1000" b="1" baseline="0"/>
            <a:t> тест</a:t>
          </a:r>
        </a:p>
      </xdr:txBody>
    </xdr:sp>
    <xdr:clientData/>
  </xdr:twoCellAnchor>
  <xdr:twoCellAnchor>
    <xdr:from>
      <xdr:col>5</xdr:col>
      <xdr:colOff>114299</xdr:colOff>
      <xdr:row>4</xdr:row>
      <xdr:rowOff>47625</xdr:rowOff>
    </xdr:from>
    <xdr:to>
      <xdr:col>5</xdr:col>
      <xdr:colOff>1554299</xdr:colOff>
      <xdr:row>4</xdr:row>
      <xdr:rowOff>273150</xdr:rowOff>
    </xdr:to>
    <xdr:sp macro="[0]!Часть_2_начало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428999" y="685800"/>
          <a:ext cx="1440000" cy="225525"/>
        </a:xfrm>
        <a:prstGeom prst="roundRect">
          <a:avLst/>
        </a:prstGeom>
        <a:solidFill>
          <a:schemeClr val="accent3"/>
        </a:solidFill>
        <a:ln w="6350">
          <a:solidFill>
            <a:schemeClr val="accent3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Пройти </a:t>
          </a:r>
          <a:r>
            <a:rPr lang="ru-RU" sz="10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тест</a:t>
          </a:r>
        </a:p>
      </xdr:txBody>
    </xdr:sp>
    <xdr:clientData/>
  </xdr:twoCellAnchor>
  <xdr:twoCellAnchor>
    <xdr:from>
      <xdr:col>11</xdr:col>
      <xdr:colOff>85724</xdr:colOff>
      <xdr:row>4</xdr:row>
      <xdr:rowOff>47624</xdr:rowOff>
    </xdr:from>
    <xdr:to>
      <xdr:col>11</xdr:col>
      <xdr:colOff>1525724</xdr:colOff>
      <xdr:row>4</xdr:row>
      <xdr:rowOff>263624</xdr:rowOff>
    </xdr:to>
    <xdr:sp macro="[0]!Часть_2_результаты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391399" y="685799"/>
          <a:ext cx="1440000" cy="216000"/>
        </a:xfrm>
        <a:prstGeom prst="roundRect">
          <a:avLst/>
        </a:prstGeom>
        <a:solidFill>
          <a:schemeClr val="accent3"/>
        </a:solidFill>
        <a:ln w="6350">
          <a:solidFill>
            <a:schemeClr val="accent3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Просмотр ответов</a:t>
          </a:r>
        </a:p>
      </xdr:txBody>
    </xdr:sp>
    <xdr:clientData/>
  </xdr:twoCellAnchor>
  <xdr:twoCellAnchor>
    <xdr:from>
      <xdr:col>5</xdr:col>
      <xdr:colOff>114299</xdr:colOff>
      <xdr:row>6</xdr:row>
      <xdr:rowOff>47625</xdr:rowOff>
    </xdr:from>
    <xdr:to>
      <xdr:col>5</xdr:col>
      <xdr:colOff>1554299</xdr:colOff>
      <xdr:row>6</xdr:row>
      <xdr:rowOff>273150</xdr:rowOff>
    </xdr:to>
    <xdr:sp macro="[0]!Часть_3_начало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28999" y="685800"/>
          <a:ext cx="1440000" cy="225525"/>
        </a:xfrm>
        <a:prstGeom prst="roundRect">
          <a:avLst/>
        </a:prstGeom>
        <a:solidFill>
          <a:schemeClr val="accent2"/>
        </a:solidFill>
        <a:ln w="6350">
          <a:solidFill>
            <a:schemeClr val="accent2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 baseline="0">
              <a:effectLst/>
            </a:rPr>
            <a:t>Задания</a:t>
          </a:r>
          <a:endParaRPr lang="ru-RU" sz="1000" b="1" baseline="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5</xdr:col>
      <xdr:colOff>114299</xdr:colOff>
      <xdr:row>8</xdr:row>
      <xdr:rowOff>47625</xdr:rowOff>
    </xdr:from>
    <xdr:to>
      <xdr:col>5</xdr:col>
      <xdr:colOff>1554299</xdr:colOff>
      <xdr:row>8</xdr:row>
      <xdr:rowOff>273150</xdr:rowOff>
    </xdr:to>
    <xdr:sp macro="[0]!Часть_1_начало" textlink="">
      <xdr:nvSpPr>
        <xdr:cNvPr id="16" name="Скругленный прямоугольни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76624" y="1743075"/>
          <a:ext cx="1440000" cy="225525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/>
            <a:t>Пройти </a:t>
          </a:r>
          <a:r>
            <a:rPr lang="ru-RU" sz="1000" b="1" baseline="0"/>
            <a:t> тест</a:t>
          </a:r>
        </a:p>
      </xdr:txBody>
    </xdr:sp>
    <xdr:clientData/>
  </xdr:twoCellAnchor>
  <xdr:twoCellAnchor>
    <xdr:from>
      <xdr:col>5</xdr:col>
      <xdr:colOff>114299</xdr:colOff>
      <xdr:row>8</xdr:row>
      <xdr:rowOff>47625</xdr:rowOff>
    </xdr:from>
    <xdr:to>
      <xdr:col>5</xdr:col>
      <xdr:colOff>1554299</xdr:colOff>
      <xdr:row>8</xdr:row>
      <xdr:rowOff>273150</xdr:rowOff>
    </xdr:to>
    <xdr:sp macro="[0]!Часть_4_начало" textlink="">
      <xdr:nvSpPr>
        <xdr:cNvPr id="17" name="Скругленный прямоугольни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476624" y="1743075"/>
          <a:ext cx="1440000" cy="225525"/>
        </a:xfrm>
        <a:prstGeom prst="roundRect">
          <a:avLst/>
        </a:prstGeom>
        <a:solidFill>
          <a:schemeClr val="accent2"/>
        </a:solidFill>
        <a:ln w="6350">
          <a:solidFill>
            <a:schemeClr val="accent2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00" b="1" baseline="0">
              <a:effectLst/>
            </a:rPr>
            <a:t>Задания</a:t>
          </a:r>
          <a:endParaRPr lang="ru-RU" sz="1000" b="1" baseline="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0</xdr:row>
      <xdr:rowOff>104774</xdr:rowOff>
    </xdr:from>
    <xdr:to>
      <xdr:col>13</xdr:col>
      <xdr:colOff>1838099</xdr:colOff>
      <xdr:row>1</xdr:row>
      <xdr:rowOff>180975</xdr:rowOff>
    </xdr:to>
    <xdr:sp macro="[0]!Часть_1_конец" textlink="" fLocksText="0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86374" y="104774"/>
          <a:ext cx="1800000" cy="276226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Закончит</a:t>
          </a:r>
          <a:r>
            <a:rPr lang="ru-RU" sz="11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ь   тестирование</a:t>
          </a:r>
        </a:p>
      </xdr:txBody>
    </xdr:sp>
    <xdr:clientData/>
  </xdr:twoCellAnchor>
  <xdr:twoCellAnchor>
    <xdr:from>
      <xdr:col>13</xdr:col>
      <xdr:colOff>38099</xdr:colOff>
      <xdr:row>2</xdr:row>
      <xdr:rowOff>85724</xdr:rowOff>
    </xdr:from>
    <xdr:to>
      <xdr:col>13</xdr:col>
      <xdr:colOff>1838099</xdr:colOff>
      <xdr:row>4</xdr:row>
      <xdr:rowOff>76200</xdr:rowOff>
    </xdr:to>
    <xdr:sp macro="[0]!Часть_1_отменить" textlink="" fLocksText="0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286374" y="485774"/>
          <a:ext cx="1800000" cy="2762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Отменить   </a:t>
          </a:r>
          <a:r>
            <a:rPr lang="ru-RU" sz="11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тестирование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1</xdr:row>
      <xdr:rowOff>114300</xdr:rowOff>
    </xdr:from>
    <xdr:to>
      <xdr:col>13</xdr:col>
      <xdr:colOff>1866675</xdr:colOff>
      <xdr:row>3</xdr:row>
      <xdr:rowOff>47626</xdr:rowOff>
    </xdr:to>
    <xdr:sp macro="[0]!Часть_1_на_главную" textlink="" fLocksText="0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9700" y="304800"/>
          <a:ext cx="1800000" cy="2762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 baseline="0">
              <a:effectLst/>
            </a:rPr>
            <a:t>На главную</a:t>
          </a:r>
          <a:endParaRPr lang="ru-RU" sz="1100" baseline="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0</xdr:row>
      <xdr:rowOff>104775</xdr:rowOff>
    </xdr:from>
    <xdr:to>
      <xdr:col>13</xdr:col>
      <xdr:colOff>1838099</xdr:colOff>
      <xdr:row>1</xdr:row>
      <xdr:rowOff>181950</xdr:rowOff>
    </xdr:to>
    <xdr:sp macro="[0]!Часть_2_конец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1124" y="104775"/>
          <a:ext cx="1800000" cy="277200"/>
        </a:xfrm>
        <a:prstGeom prst="round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Закончить  </a:t>
          </a:r>
          <a:r>
            <a:rPr lang="ru-RU" sz="11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тестирование</a:t>
          </a:r>
          <a:endParaRPr lang="ru-RU" sz="11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13</xdr:col>
      <xdr:colOff>38099</xdr:colOff>
      <xdr:row>2</xdr:row>
      <xdr:rowOff>85725</xdr:rowOff>
    </xdr:from>
    <xdr:to>
      <xdr:col>13</xdr:col>
      <xdr:colOff>1838099</xdr:colOff>
      <xdr:row>4</xdr:row>
      <xdr:rowOff>77175</xdr:rowOff>
    </xdr:to>
    <xdr:sp macro="[0]!Часть_2_отменить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1124" y="485775"/>
          <a:ext cx="1800000" cy="2772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Отменить  </a:t>
          </a:r>
          <a:r>
            <a:rPr lang="ru-RU" sz="11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тестирование</a:t>
          </a:r>
          <a:endParaRPr lang="ru-RU" sz="11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</xdr:row>
      <xdr:rowOff>152400</xdr:rowOff>
    </xdr:from>
    <xdr:to>
      <xdr:col>13</xdr:col>
      <xdr:colOff>1838099</xdr:colOff>
      <xdr:row>3</xdr:row>
      <xdr:rowOff>86700</xdr:rowOff>
    </xdr:to>
    <xdr:sp macro="[0]!Часть_2_на_главную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1124" y="342900"/>
          <a:ext cx="1800000" cy="2772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На</a:t>
          </a:r>
          <a:r>
            <a:rPr lang="ru-RU" sz="11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главную</a:t>
          </a:r>
          <a:endParaRPr lang="ru-RU" sz="11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104775</xdr:rowOff>
    </xdr:from>
    <xdr:to>
      <xdr:col>2</xdr:col>
      <xdr:colOff>466500</xdr:colOff>
      <xdr:row>2</xdr:row>
      <xdr:rowOff>95251</xdr:rowOff>
    </xdr:to>
    <xdr:sp macro="[0]!Module3.Часть_3_на_главную" textlink="" fLocksText="0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8125" y="104775"/>
          <a:ext cx="1800000" cy="2762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 baseline="0">
              <a:effectLst/>
            </a:rPr>
            <a:t>На главную</a:t>
          </a:r>
          <a:endParaRPr lang="ru-RU" sz="1100" baseline="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157162</xdr:rowOff>
    </xdr:from>
    <xdr:to>
      <xdr:col>15</xdr:col>
      <xdr:colOff>152400</xdr:colOff>
      <xdr:row>27</xdr:row>
      <xdr:rowOff>171450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0A81B67-68F4-E33D-7085-4AFAB8A02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390525</xdr:rowOff>
    </xdr:from>
    <xdr:to>
      <xdr:col>10</xdr:col>
      <xdr:colOff>28350</xdr:colOff>
      <xdr:row>4</xdr:row>
      <xdr:rowOff>95251</xdr:rowOff>
    </xdr:to>
    <xdr:sp macro="[0]!Часть_4_на_главную" textlink="" fLocksText="0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067300" y="695325"/>
          <a:ext cx="1800000" cy="2762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 baseline="0">
              <a:effectLst/>
            </a:rPr>
            <a:t>На главную</a:t>
          </a:r>
          <a:endParaRPr lang="ru-RU" sz="1100" baseline="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1056;&#1072;&#1073;&#1086;&#1090;&#1072;\&#1052;&#1072;&#1075;&#1085;&#1080;&#1090;\&#1058;&#1077;&#1089;&#1090;&#1080;&#1088;&#1086;&#1074;&#1072;&#1085;&#1080;&#1077;%20&#1089;&#1086;&#1080;&#1089;&#1082;&#1072;&#1090;&#1077;&#1083;&#1077;&#1081;%20&#8212;%20&#1082;&#1086;&#1087;&#1080;&#1103;.xlsm" TargetMode="External"/><Relationship Id="rId1" Type="http://schemas.openxmlformats.org/officeDocument/2006/relationships/externalLinkPath" Target="&#1058;&#1077;&#1089;&#1090;&#1080;&#1088;&#1086;&#1074;&#1072;&#1085;&#1080;&#1077;%20&#1089;&#1086;&#1080;&#1089;&#1082;&#1072;&#1090;&#1077;&#1083;&#1077;&#1081;%20&#8212;%20&#1082;&#1086;&#1087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естирование"/>
      <sheetName val="Часть 1"/>
      <sheetName val="Часть 1_ответы"/>
      <sheetName val="Часть 2"/>
      <sheetName val="Часть 2_ответы"/>
      <sheetName val="Часть 3"/>
      <sheetName val="Срок Годности"/>
      <sheetName val="Часть 0"/>
      <sheetName val="Сводная"/>
      <sheetName val="Часть 4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1067040002</v>
          </cell>
          <cell r="B2">
            <v>500</v>
          </cell>
        </row>
        <row r="3">
          <cell r="A3" t="str">
            <v>1670400001</v>
          </cell>
          <cell r="B3">
            <v>1000</v>
          </cell>
        </row>
        <row r="4">
          <cell r="A4" t="str">
            <v>3133780401</v>
          </cell>
          <cell r="B4">
            <v>1500</v>
          </cell>
        </row>
      </sheetData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&#1058;&#1077;&#1089;&#1090;&#1080;&#1088;&#1086;&#1074;&#1072;&#1085;&#1080;&#1077;%20&#1089;&#1086;&#1080;&#1089;&#1082;&#1072;&#1090;&#1077;&#1083;&#1077;&#1081;%20&#8212;%20&#1082;&#1086;&#1087;&#1080;&#1103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garin" refreshedDate="45132.045949652776" createdVersion="8" refreshedVersion="8" minRefreshableVersion="3" recordCount="2350" xr:uid="{8C6C944A-6B16-4C33-A4B7-31670547709B}">
  <cacheSource type="worksheet">
    <worksheetSource ref="A6:J2356" sheet="Часть 3" r:id="rId2"/>
  </cacheSource>
  <cacheFields count="11">
    <cacheField name="Распределительный центр (РЦ)" numFmtId="49">
      <sharedItems count="17">
        <s v="ДЦ Кропоткин"/>
        <s v="ДЦ Тверь"/>
        <s v="РЦ Батайск"/>
        <s v="РЦ Великий Новгород"/>
        <s v="РЦ Дзержинск"/>
        <s v="РЦ Ерзовка"/>
        <s v="РЦ Иваново"/>
        <s v="РЦ Ижевск"/>
        <s v="РЦ Лермонтов"/>
        <s v="РЦ Омск"/>
        <s v="РЦ Орел (Хардиково)"/>
        <s v="РЦ Славянск-на-Кубани"/>
        <s v="РЦ Стерлитамак"/>
        <s v="РЦ Тамбов"/>
        <s v="РЦ Тольятти (новый)"/>
        <s v="РЦ Челябинск"/>
        <s v="РЦ Энгельс"/>
      </sharedItems>
    </cacheField>
    <cacheField name="Код товара" numFmtId="49">
      <sharedItems count="3">
        <s v="1067040002"/>
        <s v="3133780401"/>
        <s v="1670400001"/>
      </sharedItems>
    </cacheField>
    <cacheField name="Название товара" numFmtId="49">
      <sharedItems/>
    </cacheField>
    <cacheField name="Цена, руб" numFmtId="0">
      <sharedItems containsSemiMixedTypes="0" containsString="0" containsNumber="1" minValue="33.659999999999997" maxValue="317.08"/>
    </cacheField>
    <cacheField name="Дата" numFmtId="166">
      <sharedItems containsSemiMixedTypes="0" containsNonDate="0" containsDate="1" containsString="0" minDate="2012-06-01T00:00:00" maxDate="2012-07-18T00:00:00"/>
    </cacheField>
    <cacheField name="Остаток на начало дня, шт" numFmtId="0">
      <sharedItems containsSemiMixedTypes="0" containsString="0" containsNumber="1" minValue="0" maxValue="256579"/>
    </cacheField>
    <cacheField name="Приход, шт" numFmtId="0">
      <sharedItems containsSemiMixedTypes="0" containsString="0" containsNumber="1" containsInteger="1" minValue="-2225" maxValue="199909" count="1978">
        <n v="0"/>
        <n v="927"/>
        <n v="635"/>
        <n v="198"/>
        <n v="217"/>
        <n v="387"/>
        <n v="400"/>
        <n v="375"/>
        <n v="253"/>
        <n v="236"/>
        <n v="249"/>
        <n v="1370"/>
        <n v="761"/>
        <n v="277"/>
        <n v="270"/>
        <n v="354"/>
        <n v="463"/>
        <n v="491"/>
        <n v="736"/>
        <n v="687"/>
        <n v="805"/>
        <n v="627"/>
        <n v="648"/>
        <n v="628"/>
        <n v="682"/>
        <n v="519"/>
        <n v="367"/>
        <n v="336"/>
        <n v="31"/>
        <n v="908"/>
        <n v="968"/>
        <n v="47"/>
        <n v="29"/>
        <n v="910"/>
        <n v="674"/>
        <n v="312"/>
        <n v="317"/>
        <n v="506"/>
        <n v="418"/>
        <n v="334"/>
        <n v="255"/>
        <n v="294"/>
        <n v="285"/>
        <n v="355"/>
        <n v="304"/>
        <n v="15364"/>
        <n v="11987"/>
        <n v="25357"/>
        <n v="24695"/>
        <n v="9795"/>
        <n v="25536"/>
        <n v="9399"/>
        <n v="23195"/>
        <n v="6984"/>
        <n v="8235"/>
        <n v="19356"/>
        <n v="18124"/>
        <n v="19966"/>
        <n v="6023"/>
        <n v="19571"/>
        <n v="5572"/>
        <n v="30605"/>
        <n v="20794"/>
        <n v="22997"/>
        <n v="15960"/>
        <n v="2368"/>
        <n v="15049"/>
        <n v="6153"/>
        <n v="6594"/>
        <n v="4137"/>
        <n v="2904"/>
        <n v="18028"/>
        <n v="19314"/>
        <n v="18042"/>
        <n v="24755"/>
        <n v="22687"/>
        <n v="22685"/>
        <n v="23500"/>
        <n v="23042"/>
        <n v="21087"/>
        <n v="19022"/>
        <n v="15890"/>
        <n v="15091"/>
        <n v="12224"/>
        <n v="10066"/>
        <n v="8258"/>
        <n v="9983"/>
        <n v="10065"/>
        <n v="9910"/>
        <n v="8860"/>
        <n v="8238"/>
        <n v="9599"/>
        <n v="4716"/>
        <n v="4920"/>
        <n v="8148"/>
        <n v="6234"/>
        <n v="5854"/>
        <n v="4391"/>
        <n v="8255"/>
        <n v="6971"/>
        <n v="3737"/>
        <n v="5698"/>
        <n v="4772"/>
        <n v="2948"/>
        <n v="8183"/>
        <n v="5793"/>
        <n v="4974"/>
        <n v="3900"/>
        <n v="3952"/>
        <n v="5548"/>
        <n v="6238"/>
        <n v="6029"/>
        <n v="5801"/>
        <n v="6812"/>
        <n v="4832"/>
        <n v="4206"/>
        <n v="4550"/>
        <n v="4306"/>
        <n v="3095"/>
        <n v="3590"/>
        <n v="4672"/>
        <n v="4995"/>
        <n v="5595"/>
        <n v="5977"/>
        <n v="5317"/>
        <n v="4863"/>
        <n v="4820"/>
        <n v="4223"/>
        <n v="4281"/>
        <n v="3772"/>
        <n v="2758"/>
        <n v="3045"/>
        <n v="2597"/>
        <n v="2483"/>
        <n v="2264"/>
        <n v="2538"/>
        <n v="2470"/>
        <n v="2245"/>
        <n v="2065"/>
        <n v="11297"/>
        <n v="12003"/>
        <n v="13320"/>
        <n v="12204"/>
        <n v="11554"/>
        <n v="14400"/>
        <n v="13256"/>
        <n v="12094"/>
        <n v="13674"/>
        <n v="13266"/>
        <n v="9883"/>
        <n v="9396"/>
        <n v="9936"/>
        <n v="8316"/>
        <n v="9994"/>
        <n v="9108"/>
        <n v="8403"/>
        <n v="12308"/>
        <n v="10492"/>
        <n v="10449"/>
        <n v="12180"/>
        <n v="11155"/>
        <n v="11217"/>
        <n v="13599"/>
        <n v="14345"/>
        <n v="17771"/>
        <n v="21064"/>
        <n v="19256"/>
        <n v="22491"/>
        <n v="23296"/>
        <n v="25866"/>
        <n v="30171"/>
        <n v="22445"/>
        <n v="25760"/>
        <n v="32155"/>
        <n v="21270"/>
        <n v="27437"/>
        <n v="29110"/>
        <n v="35951"/>
        <n v="28498"/>
        <n v="34677"/>
        <n v="27797"/>
        <n v="38965"/>
        <n v="26584"/>
        <n v="20180"/>
        <n v="18234"/>
        <n v="26644"/>
        <n v="1661"/>
        <n v="2088"/>
        <n v="2786"/>
        <n v="2690"/>
        <n v="2286"/>
        <n v="2883"/>
        <n v="2698"/>
        <n v="2703"/>
        <n v="3198"/>
        <n v="2304"/>
        <n v="2543"/>
        <n v="2547"/>
        <n v="2248"/>
        <n v="2080"/>
        <n v="2135"/>
        <n v="2048"/>
        <n v="2340"/>
        <n v="3118"/>
        <n v="3092"/>
        <n v="2644"/>
        <n v="2713"/>
        <n v="3215"/>
        <n v="3264"/>
        <n v="4422"/>
        <n v="3796"/>
        <n v="4097"/>
        <n v="2759"/>
        <n v="33"/>
        <n v="6801"/>
        <n v="6650"/>
        <n v="1108"/>
        <n v="6938"/>
        <n v="2687"/>
        <n v="7271"/>
        <n v="3348"/>
        <n v="3413"/>
        <n v="6657"/>
        <n v="3306"/>
        <n v="3388"/>
        <n v="16870"/>
        <n v="6769"/>
        <n v="7128"/>
        <n v="6290"/>
        <n v="9436"/>
        <n v="6692"/>
        <n v="3175"/>
        <n v="2185"/>
        <n v="492"/>
        <n v="1137"/>
        <n v="1701"/>
        <n v="1143"/>
        <n v="1996"/>
        <n v="1998"/>
        <n v="2"/>
        <n v="3473"/>
        <n v="1944"/>
        <n v="1045"/>
        <n v="879"/>
        <n v="1739"/>
        <n v="1769"/>
        <n v="1460"/>
        <n v="1590"/>
        <n v="1356"/>
        <n v="921"/>
        <n v="618"/>
        <n v="890"/>
        <n v="877"/>
        <n v="957"/>
        <n v="743"/>
        <n v="1057"/>
        <n v="953"/>
        <n v="1027"/>
        <n v="1398"/>
        <n v="1652"/>
        <n v="1596"/>
        <n v="1776"/>
        <n v="1303"/>
        <n v="1617"/>
        <n v="1205"/>
        <n v="1856"/>
        <n v="1369"/>
        <n v="844"/>
        <n v="448"/>
        <n v="715"/>
        <n v="495"/>
        <n v="350"/>
        <n v="348"/>
        <n v="21038"/>
        <n v="27655"/>
        <n v="26398"/>
        <n v="15277"/>
        <n v="37"/>
        <n v="13428"/>
        <n v="54038"/>
        <n v="43698"/>
        <n v="18107"/>
        <n v="30334"/>
        <n v="24014"/>
        <n v="30823"/>
        <n v="27296"/>
        <n v="29056"/>
        <n v="27554"/>
        <n v="24735"/>
        <n v="26303"/>
        <n v="27225"/>
        <n v="23492"/>
        <n v="19435"/>
        <n v="17623"/>
        <n v="18528"/>
        <n v="17341"/>
        <n v="21142"/>
        <n v="19747"/>
        <n v="22499"/>
        <n v="21962"/>
        <n v="24400"/>
        <n v="24416"/>
        <n v="20411"/>
        <n v="27477"/>
        <n v="32950"/>
        <n v="28249"/>
        <n v="27911"/>
        <n v="23737"/>
        <n v="25303"/>
        <n v="27693"/>
        <n v="23988"/>
        <n v="20736"/>
        <n v="7013"/>
        <n v="24432"/>
        <n v="25060"/>
        <n v="14276"/>
        <n v="11283"/>
        <n v="11648"/>
        <n v="6034"/>
        <n v="5634"/>
        <n v="930"/>
        <n v="5896"/>
        <n v="-1"/>
        <n v="5311"/>
        <n v="1957"/>
        <n v="10145"/>
        <n v="3476"/>
        <n v="7"/>
        <n v="9480"/>
        <n v="3831"/>
        <n v="7269"/>
        <n v="7049"/>
        <n v="4940"/>
        <n v="3372"/>
        <n v="6439"/>
        <n v="4630"/>
        <n v="4210"/>
        <n v="2894"/>
        <n v="3664"/>
        <n v="2956"/>
        <n v="3075"/>
        <n v="3150"/>
        <n v="2392"/>
        <n v="2119"/>
        <n v="2513"/>
        <n v="2567"/>
        <n v="3665"/>
        <n v="4466"/>
        <n v="5439"/>
        <n v="5582"/>
        <n v="4650"/>
        <n v="3720"/>
        <n v="4353"/>
        <n v="4185"/>
        <n v="4621"/>
        <n v="3630"/>
        <n v="3122"/>
        <n v="2494"/>
        <n v="2586"/>
        <n v="2458"/>
        <n v="2247"/>
        <n v="2195"/>
        <n v="1639"/>
        <n v="11"/>
        <n v="3315"/>
        <n v="1492"/>
        <n v="405"/>
        <n v="314"/>
        <n v="243"/>
        <n v="423"/>
        <n v="570"/>
        <n v="302"/>
        <n v="443"/>
        <n v="289"/>
        <n v="229"/>
        <n v="226"/>
        <n v="303"/>
        <n v="305"/>
        <n v="272"/>
        <n v="421"/>
        <n v="420"/>
        <n v="515"/>
        <n v="362"/>
        <n v="223"/>
        <n v="320"/>
        <n v="546"/>
        <n v="599"/>
        <n v="574"/>
        <n v="533"/>
        <n v="450"/>
        <n v="368"/>
        <n v="818"/>
        <n v="1151"/>
        <n v="601"/>
        <n v="416"/>
        <n v="706"/>
        <n v="803"/>
        <n v="727"/>
        <n v="946"/>
        <n v="1310"/>
        <n v="417"/>
        <n v="568"/>
        <n v="880"/>
        <n v="1130"/>
        <n v="978"/>
        <n v="1177"/>
        <n v="1125"/>
        <n v="960"/>
        <n v="15643"/>
        <n v="15538"/>
        <n v="19000"/>
        <n v="14115"/>
        <n v="15741"/>
        <n v="18383"/>
        <n v="19512"/>
        <n v="14062"/>
        <n v="13035"/>
        <n v="15183"/>
        <n v="12704"/>
        <n v="10192"/>
        <n v="10950"/>
        <n v="9802"/>
        <n v="11664"/>
        <n v="10242"/>
        <n v="10439"/>
        <n v="11821"/>
        <n v="8171"/>
        <n v="8425"/>
        <n v="9837"/>
        <n v="4240"/>
        <n v="2367"/>
        <n v="3202"/>
        <n v="9477"/>
        <n v="15757"/>
        <n v="15216"/>
        <n v="18903"/>
        <n v="17034"/>
        <n v="18734"/>
        <n v="17048"/>
        <n v="17668"/>
        <n v="21098"/>
        <n v="19748"/>
        <n v="24344"/>
        <n v="24206"/>
        <n v="30527"/>
        <n v="10490"/>
        <n v="21687"/>
        <n v="22756"/>
        <n v="21438"/>
        <n v="21378"/>
        <n v="23226"/>
        <n v="19366"/>
        <n v="7826"/>
        <n v="24098"/>
        <n v="41"/>
        <n v="1494"/>
        <n v="1595"/>
        <n v="2104"/>
        <n v="2279"/>
        <n v="1563"/>
        <n v="1806"/>
        <n v="1822"/>
        <n v="1380"/>
        <n v="1485"/>
        <n v="1710"/>
        <n v="1720"/>
        <n v="1542"/>
        <n v="1397"/>
        <n v="1481"/>
        <n v="1506"/>
        <n v="1723"/>
        <n v="1287"/>
        <n v="1385"/>
        <n v="1813"/>
        <n v="617"/>
        <n v="1309"/>
        <n v="1908"/>
        <n v="1671"/>
        <n v="2051"/>
        <n v="2177"/>
        <n v="1936"/>
        <n v="3606"/>
        <n v="2528"/>
        <n v="394"/>
        <n v="2207"/>
        <n v="3237"/>
        <n v="2622"/>
        <n v="3002"/>
        <n v="2970"/>
        <n v="2436"/>
        <n v="2484"/>
        <n v="2744"/>
        <n v="3030"/>
        <n v="2920"/>
        <n v="3823"/>
        <n v="1243"/>
        <n v="356"/>
        <n v="685"/>
        <n v="471"/>
        <n v="555"/>
        <n v="-2"/>
        <n v="25"/>
        <n v="1937"/>
        <n v="532"/>
        <n v="696"/>
        <n v="1202"/>
        <n v="608"/>
        <n v="382"/>
        <n v="507"/>
        <n v="513"/>
        <n v="548"/>
        <n v="610"/>
        <n v="817"/>
        <n v="940"/>
        <n v="1173"/>
        <n v="883"/>
        <n v="871"/>
        <n v="862"/>
        <n v="1420"/>
        <n v="1101"/>
        <n v="1000"/>
        <n v="1306"/>
        <n v="1176"/>
        <n v="742"/>
        <n v="1136"/>
        <n v="184"/>
        <n v="741"/>
        <n v="19"/>
        <n v="485"/>
        <n v="2214"/>
        <n v="585"/>
        <n v="644"/>
        <n v="410"/>
        <n v="269"/>
        <n v="102"/>
        <n v="545"/>
        <n v="341"/>
        <n v="1641"/>
        <n v="1501"/>
        <n v="10098"/>
        <n v="9865"/>
        <n v="6751"/>
        <n v="14502"/>
        <n v="18294"/>
        <n v="20872"/>
        <n v="16449"/>
        <n v="17228"/>
        <n v="17280"/>
        <n v="14040"/>
        <n v="12030"/>
        <n v="9036"/>
        <n v="9215"/>
        <n v="9729"/>
        <n v="9488"/>
        <n v="12337"/>
        <n v="14820"/>
        <n v="19139"/>
        <n v="28447"/>
        <n v="21041"/>
        <n v="33112"/>
        <n v="18638"/>
        <n v="34130"/>
        <n v="19488"/>
        <n v="35107"/>
        <n v="38134"/>
        <n v="15513"/>
        <n v="10990"/>
        <n v="23934"/>
        <n v="25688"/>
        <n v="7670"/>
        <n v="7436"/>
        <n v="19676"/>
        <n v="10429"/>
        <n v="29477"/>
        <n v="43484"/>
        <n v="90162"/>
        <n v="60550"/>
        <n v="36778"/>
        <n v="51387"/>
        <n v="52924"/>
        <n v="57603"/>
        <n v="55160"/>
        <n v="34717"/>
        <n v="41780"/>
        <n v="11842"/>
        <n v="738"/>
        <n v="814"/>
        <n v="402"/>
        <n v="1347"/>
        <n v="1348"/>
        <n v="1163"/>
        <n v="1980"/>
        <n v="1399"/>
        <n v="1817"/>
        <n v="1368"/>
        <n v="1040"/>
        <n v="1016"/>
        <n v="165"/>
        <n v="1407"/>
        <n v="1620"/>
        <n v="1772"/>
        <n v="1450"/>
        <n v="1565"/>
        <n v="1433"/>
        <n v="1913"/>
        <n v="1133"/>
        <n v="1754"/>
        <n v="1132"/>
        <n v="1364"/>
        <n v="1211"/>
        <n v="1974"/>
        <n v="1453"/>
        <n v="1553"/>
        <n v="2345"/>
        <n v="2889"/>
        <n v="2256"/>
        <n v="3898"/>
        <n v="3151"/>
        <n v="764"/>
        <n v="1634"/>
        <n v="177"/>
        <n v="3208"/>
        <n v="3491"/>
        <n v="1847"/>
        <n v="1268"/>
        <n v="1786"/>
        <n v="1"/>
        <n v="3"/>
        <n v="38"/>
        <n v="18"/>
        <n v="44"/>
        <n v="16"/>
        <n v="93"/>
        <n v="14"/>
        <n v="15"/>
        <n v="30"/>
        <n v="45"/>
        <n v="-15"/>
        <n v="5"/>
        <n v="54"/>
        <n v="23"/>
        <n v="32"/>
        <n v="20"/>
        <n v="17"/>
        <n v="58"/>
        <n v="22"/>
        <n v="27"/>
        <n v="111"/>
        <n v="49"/>
        <n v="52"/>
        <n v="43"/>
        <n v="-20"/>
        <n v="46"/>
        <n v="6"/>
        <n v="24"/>
        <n v="12673"/>
        <n v="17203"/>
        <n v="16074"/>
        <n v="23777"/>
        <n v="6475"/>
        <n v="16383"/>
        <n v="7450"/>
        <n v="23976"/>
        <n v="27679"/>
        <n v="12900"/>
        <n v="11678"/>
        <n v="12239"/>
        <n v="13567"/>
        <n v="12788"/>
        <n v="13454"/>
        <n v="11804"/>
        <n v="12058"/>
        <n v="14016"/>
        <n v="9711"/>
        <n v="13349"/>
        <n v="14333"/>
        <n v="11496"/>
        <n v="13887"/>
        <n v="14668"/>
        <n v="13378"/>
        <n v="14129"/>
        <n v="16659"/>
        <n v="13946"/>
        <n v="13084"/>
        <n v="13364"/>
        <n v="10708"/>
        <n v="11516"/>
        <n v="17535"/>
        <n v="19077"/>
        <n v="16896"/>
        <n v="15030"/>
        <n v="1188"/>
        <n v="13015"/>
        <n v="18049"/>
        <n v="19385"/>
        <n v="13250"/>
        <n v="11028"/>
        <n v="11201"/>
        <n v="9374"/>
        <n v="7739"/>
        <n v="4539"/>
        <n v="3241"/>
        <n v="3483"/>
        <n v="5135"/>
        <n v="4428"/>
        <n v="4380"/>
        <n v="2344"/>
        <n v="3263"/>
        <n v="5362"/>
        <n v="3868"/>
        <n v="3043"/>
        <n v="3130"/>
        <n v="3431"/>
        <n v="2833"/>
        <n v="2579"/>
        <n v="3064"/>
        <n v="3359"/>
        <n v="4335"/>
        <n v="2722"/>
        <n v="2580"/>
        <n v="2819"/>
        <n v="3328"/>
        <n v="3446"/>
        <n v="3711"/>
        <n v="3059"/>
        <n v="3529"/>
        <n v="2529"/>
        <n v="2718"/>
        <n v="2462"/>
        <n v="4126"/>
        <n v="3257"/>
        <n v="2776"/>
        <n v="3063"/>
        <n v="3068"/>
        <n v="2926"/>
        <n v="3050"/>
        <n v="2350"/>
        <n v="2125"/>
        <n v="2057"/>
        <n v="1920"/>
        <n v="1672"/>
        <n v="1850"/>
        <n v="1845"/>
        <n v="1928"/>
        <n v="36"/>
        <n v="26"/>
        <n v="121"/>
        <n v="113"/>
        <n v="119"/>
        <n v="39"/>
        <n v="167"/>
        <n v="4"/>
        <n v="130"/>
        <n v="76"/>
        <n v="65"/>
        <n v="94"/>
        <n v="50"/>
        <n v="208"/>
        <n v="69"/>
        <n v="126"/>
        <n v="21"/>
        <n v="146"/>
        <n v="181"/>
        <n v="158"/>
        <n v="64"/>
        <n v="51"/>
        <n v="96"/>
        <n v="179"/>
        <n v="28"/>
        <n v="147"/>
        <n v="67"/>
        <n v="88"/>
        <n v="187"/>
        <n v="2662"/>
        <n v="36214"/>
        <n v="39005"/>
        <n v="18390"/>
        <n v="18172"/>
        <n v="33438"/>
        <n v="35011"/>
        <n v="27858"/>
        <n v="29661"/>
        <n v="20889"/>
        <n v="18791"/>
        <n v="17414"/>
        <n v="15315"/>
        <n v="14068"/>
        <n v="16056"/>
        <n v="19063"/>
        <n v="18182"/>
        <n v="14026"/>
        <n v="18024"/>
        <n v="23718"/>
        <n v="18061"/>
        <n v="17808"/>
        <n v="18225"/>
        <n v="17164"/>
        <n v="18979"/>
        <n v="36488"/>
        <n v="42281"/>
        <n v="47993"/>
        <n v="39643"/>
        <n v="17722"/>
        <n v="21174"/>
        <n v="1312"/>
        <n v="38900"/>
        <n v="1809"/>
        <n v="1859"/>
        <n v="19709"/>
        <n v="37818"/>
        <n v="23300"/>
        <n v="2986"/>
        <n v="142659"/>
        <n v="69060"/>
        <n v="29432"/>
        <n v="30854"/>
        <n v="72953"/>
        <n v="19710"/>
        <n v="15711"/>
        <n v="3128"/>
        <n v="4330"/>
        <n v="5587"/>
        <n v="4323"/>
        <n v="4710"/>
        <n v="5191"/>
        <n v="5741"/>
        <n v="5283"/>
        <n v="4706"/>
        <n v="4736"/>
        <n v="5199"/>
        <n v="4017"/>
        <n v="3593"/>
        <n v="3689"/>
        <n v="3981"/>
        <n v="4491"/>
        <n v="5663"/>
        <n v="5829"/>
        <n v="5979"/>
        <n v="6943"/>
        <n v="6734"/>
        <n v="6701"/>
        <n v="6148"/>
        <n v="4388"/>
        <n v="4651"/>
        <n v="7643"/>
        <n v="8894"/>
        <n v="5416"/>
        <n v="395"/>
        <n v="3542"/>
        <n v="4379"/>
        <n v="3751"/>
        <n v="17277"/>
        <n v="7903"/>
        <n v="7245"/>
        <n v="3918"/>
        <n v="4370"/>
        <n v="10134"/>
        <n v="7546"/>
        <n v="18046"/>
        <n v="11226"/>
        <n v="9807"/>
        <n v="9555"/>
        <n v="11827"/>
        <n v="12073"/>
        <n v="343"/>
        <n v="652"/>
        <n v="611"/>
        <n v="680"/>
        <n v="397"/>
        <n v="1074"/>
        <n v="903"/>
        <n v="885"/>
        <n v="543"/>
        <n v="754"/>
        <n v="447"/>
        <n v="468"/>
        <n v="752"/>
        <n v="588"/>
        <n v="1042"/>
        <n v="928"/>
        <n v="1834"/>
        <n v="899"/>
        <n v="1325"/>
        <n v="1008"/>
        <n v="1588"/>
        <n v="110"/>
        <n v="-26"/>
        <n v="1725"/>
        <n v="2477"/>
        <n v="2173"/>
        <n v="284"/>
        <n v="132"/>
        <n v="1981"/>
        <n v="3117"/>
        <n v="902"/>
        <n v="831"/>
        <n v="426"/>
        <n v="12554"/>
        <n v="15336"/>
        <n v="13914"/>
        <n v="12870"/>
        <n v="10786"/>
        <n v="10564"/>
        <n v="19481"/>
        <n v="17303"/>
        <n v="14506"/>
        <n v="14989"/>
        <n v="11964"/>
        <n v="11301"/>
        <n v="9388"/>
        <n v="10021"/>
        <n v="9934"/>
        <n v="10833"/>
        <n v="11238"/>
        <n v="13077"/>
        <n v="14986"/>
        <n v="20787"/>
        <n v="19224"/>
        <n v="19334"/>
        <n v="16957"/>
        <n v="18239"/>
        <n v="19240"/>
        <n v="15590"/>
        <n v="19915"/>
        <n v="4405"/>
        <n v="2412"/>
        <n v="34180"/>
        <n v="20100"/>
        <n v="19397"/>
        <n v="2954"/>
        <n v="19620"/>
        <n v="37834"/>
        <n v="29848"/>
        <n v="105"/>
        <n v="16730"/>
        <n v="6809"/>
        <n v="34034"/>
        <n v="28248"/>
        <n v="21999"/>
        <n v="23771"/>
        <n v="17796"/>
        <n v="13825"/>
        <n v="22082"/>
        <n v="1210"/>
        <n v="1208"/>
        <n v="1148"/>
        <n v="991"/>
        <n v="1680"/>
        <n v="1719"/>
        <n v="1779"/>
        <n v="1910"/>
        <n v="2129"/>
        <n v="1755"/>
        <n v="1493"/>
        <n v="1444"/>
        <n v="1384"/>
        <n v="1127"/>
        <n v="1825"/>
        <n v="2321"/>
        <n v="2640"/>
        <n v="2327"/>
        <n v="2623"/>
        <n v="2074"/>
        <n v="2818"/>
        <n v="3088"/>
        <n v="1738"/>
        <n v="3023"/>
        <n v="3646"/>
        <n v="117"/>
        <n v="3927"/>
        <n v="3610"/>
        <n v="6417"/>
        <n v="6318"/>
        <n v="3575"/>
        <n v="4730"/>
        <n v="1855"/>
        <n v="407"/>
        <n v="1028"/>
        <n v="526"/>
        <n v="582"/>
        <n v="723"/>
        <n v="745"/>
        <n v="641"/>
        <n v="847"/>
        <n v="79"/>
        <n v="214"/>
        <n v="1449"/>
        <n v="74"/>
        <n v="56"/>
        <n v="1299"/>
        <n v="716"/>
        <n v="82"/>
        <n v="83"/>
        <n v="80"/>
        <n v="1352"/>
        <n v="694"/>
        <n v="118"/>
        <n v="1390"/>
        <n v="521"/>
        <n v="502"/>
        <n v="464"/>
        <n v="406"/>
        <n v="613"/>
        <n v="763"/>
        <n v="749"/>
        <n v="701"/>
        <n v="782"/>
        <n v="631"/>
        <n v="849"/>
        <n v="846"/>
        <n v="592"/>
        <n v="345"/>
        <n v="584"/>
        <n v="496"/>
        <n v="551"/>
        <n v="488"/>
        <n v="23820"/>
        <n v="11924"/>
        <n v="16534"/>
        <n v="16250"/>
        <n v="11290"/>
        <n v="15579"/>
        <n v="14457"/>
        <n v="15751"/>
        <n v="13005"/>
        <n v="13192"/>
        <n v="14397"/>
        <n v="15173"/>
        <n v="17319"/>
        <n v="16140"/>
        <n v="18504"/>
        <n v="12581"/>
        <n v="20985"/>
        <n v="16388"/>
        <n v="31699"/>
        <n v="19530"/>
        <n v="18631"/>
        <n v="15734"/>
        <n v="16057"/>
        <n v="15276"/>
        <n v="18098"/>
        <n v="17884"/>
        <n v="18505"/>
        <n v="19958"/>
        <n v="15266"/>
        <n v="18152"/>
        <n v="13857"/>
        <n v="15378"/>
        <n v="18761"/>
        <n v="13727"/>
        <n v="14735"/>
        <n v="10380"/>
        <n v="18177"/>
        <n v="14070"/>
        <n v="14543"/>
        <n v="11862"/>
        <n v="12040"/>
        <n v="10215"/>
        <n v="12198"/>
        <n v="9342"/>
        <n v="2435"/>
        <n v="11077"/>
        <n v="16179"/>
        <n v="2059"/>
        <n v="2699"/>
        <n v="4230"/>
        <n v="3645"/>
        <n v="2183"/>
        <n v="4590"/>
        <n v="6715"/>
        <n v="3828"/>
        <n v="2229"/>
        <n v="3709"/>
        <n v="4861"/>
        <n v="1520"/>
        <n v="4518"/>
        <n v="4276"/>
        <n v="4412"/>
        <n v="699"/>
        <n v="4597"/>
        <n v="5337"/>
        <n v="3853"/>
        <n v="5560"/>
        <n v="3387"/>
        <n v="714"/>
        <n v="3377"/>
        <n v="228"/>
        <n v="6811"/>
        <n v="7782"/>
        <n v="3229"/>
        <n v="1880"/>
        <n v="2803"/>
        <n v="3989"/>
        <n v="3007"/>
        <n v="4326"/>
        <n v="4026"/>
        <n v="3972"/>
        <n v="4456"/>
        <n v="4213"/>
        <n v="4296"/>
        <n v="4073"/>
        <n v="2938"/>
        <n v="4367"/>
        <n v="2544"/>
        <n v="3817"/>
        <n v="2417"/>
        <n v="2352"/>
        <n v="219"/>
        <n v="91"/>
        <n v="100"/>
        <n v="66"/>
        <n v="57"/>
        <n v="61"/>
        <n v="86"/>
        <n v="78"/>
        <n v="131"/>
        <n v="75"/>
        <n v="123"/>
        <n v="87"/>
        <n v="104"/>
        <n v="152"/>
        <n v="182"/>
        <n v="120"/>
        <n v="140"/>
        <n v="170"/>
        <n v="218"/>
        <n v="221"/>
        <n v="183"/>
        <n v="266"/>
        <n v="268"/>
        <n v="138"/>
        <n v="174"/>
        <n v="141"/>
        <n v="459"/>
        <n v="550"/>
        <n v="2052"/>
        <n v="3042"/>
        <n v="1587"/>
        <n v="2295"/>
        <n v="2708"/>
        <n v="2490"/>
        <n v="1961"/>
        <n v="1290"/>
        <n v="1837"/>
        <n v="2298"/>
        <n v="1222"/>
        <n v="1546"/>
        <n v="966"/>
        <n v="1709"/>
        <n v="2006"/>
        <n v="1903"/>
        <n v="2777"/>
        <n v="4182"/>
        <n v="3450"/>
        <n v="2004"/>
        <n v="1612"/>
        <n v="2166"/>
        <n v="5389"/>
        <n v="3492"/>
        <n v="3754"/>
        <n v="4596"/>
        <n v="4295"/>
        <n v="4067"/>
        <n v="5800"/>
        <n v="7692"/>
        <n v="9080"/>
        <n v="4061"/>
        <n v="2268"/>
        <n v="12772"/>
        <n v="7008"/>
        <n v="1614"/>
        <n v="5016"/>
        <n v="14822"/>
        <n v="445"/>
        <n v="2816"/>
        <n v="293"/>
        <n v="154"/>
        <n v="92"/>
        <n v="188"/>
        <n v="265"/>
        <n v="191"/>
        <n v="168"/>
        <n v="150"/>
        <n v="148"/>
        <n v="201"/>
        <n v="176"/>
        <n v="142"/>
        <n v="134"/>
        <n v="393"/>
        <n v="333"/>
        <n v="357"/>
        <n v="346"/>
        <n v="536"/>
        <n v="254"/>
        <n v="484"/>
        <n v="296"/>
        <n v="386"/>
        <n v="286"/>
        <n v="549"/>
        <n v="988"/>
        <n v="688"/>
        <n v="490"/>
        <n v="311"/>
        <n v="1476"/>
        <n v="399"/>
        <n v="887"/>
        <n v="1178"/>
        <n v="567"/>
        <n v="2780"/>
        <n v="1175"/>
        <n v="307"/>
        <n v="590"/>
        <n v="1039"/>
        <n v="861"/>
        <n v="730"/>
        <n v="986"/>
        <n v="951"/>
        <n v="873"/>
        <n v="931"/>
        <n v="1007"/>
        <n v="1112"/>
        <n v="2266"/>
        <n v="1490"/>
        <n v="1314"/>
        <n v="1502"/>
        <n v="1628"/>
        <n v="1904"/>
        <n v="1985"/>
        <n v="2684"/>
        <n v="2140"/>
        <n v="1865"/>
        <n v="1624"/>
        <n v="1078"/>
        <n v="3296"/>
        <n v="3563"/>
        <n v="4242"/>
        <n v="2813"/>
        <n v="2197"/>
        <n v="1716"/>
        <n v="1516"/>
        <n v="16121"/>
        <n v="21431"/>
        <n v="20494"/>
        <n v="21918"/>
        <n v="673"/>
        <n v="37314"/>
        <n v="29633"/>
        <n v="20085"/>
        <n v="18860"/>
        <n v="17106"/>
        <n v="15794"/>
        <n v="18120"/>
        <n v="16704"/>
        <n v="18396"/>
        <n v="17964"/>
        <n v="21865"/>
        <n v="22209"/>
        <n v="34744"/>
        <n v="31167"/>
        <n v="29321"/>
        <n v="24368"/>
        <n v="29194"/>
        <n v="22173"/>
        <n v="19996"/>
        <n v="7726"/>
        <n v="24422"/>
        <n v="20610"/>
        <n v="14888"/>
        <n v="15473"/>
        <n v="21649"/>
        <n v="27388"/>
        <n v="40158"/>
        <n v="49005"/>
        <n v="15788"/>
        <n v="48715"/>
        <n v="6764"/>
        <n v="63141"/>
        <n v="29595"/>
        <n v="17399"/>
        <n v="34086"/>
        <n v="36695"/>
        <n v="19173"/>
        <n v="71593"/>
        <n v="18219"/>
        <n v="10472"/>
        <n v="2627"/>
        <n v="2876"/>
        <n v="3615"/>
        <n v="3732"/>
        <n v="4120"/>
        <n v="3298"/>
        <n v="3467"/>
        <n v="3565"/>
        <n v="4746"/>
        <n v="4973"/>
        <n v="4914"/>
        <n v="4467"/>
        <n v="73"/>
        <n v="3434"/>
        <n v="7419"/>
        <n v="3480"/>
        <n v="4564"/>
        <n v="9133"/>
        <n v="6850"/>
        <n v="5001"/>
        <n v="5154"/>
        <n v="6354"/>
        <n v="5387"/>
        <n v="6584"/>
        <n v="4190"/>
        <n v="7683"/>
        <n v="4209"/>
        <n v="10"/>
        <n v="2292"/>
        <n v="7388"/>
        <n v="10659"/>
        <n v="7486"/>
        <n v="7532"/>
        <n v="7620"/>
        <n v="4077"/>
        <n v="11123"/>
        <n v="5244"/>
        <n v="2673"/>
        <n v="1455"/>
        <n v="178"/>
        <n v="242"/>
        <n v="160"/>
        <n v="173"/>
        <n v="274"/>
        <n v="419"/>
        <n v="252"/>
        <n v="516"/>
        <n v="442"/>
        <n v="251"/>
        <n v="230"/>
        <n v="359"/>
        <n v="326"/>
        <n v="465"/>
        <n v="456"/>
        <n v="279"/>
        <n v="365"/>
        <n v="424"/>
        <n v="327"/>
        <n v="292"/>
        <n v="244"/>
        <n v="374"/>
        <n v="6114"/>
        <n v="17544"/>
        <n v="20106"/>
        <n v="14272"/>
        <n v="13699"/>
        <n v="14268"/>
        <n v="19406"/>
        <n v="14815"/>
        <n v="16095"/>
        <n v="12097"/>
        <n v="11220"/>
        <n v="12478"/>
        <n v="14346"/>
        <n v="12132"/>
        <n v="14214"/>
        <n v="9090"/>
        <n v="6810"/>
        <n v="16674"/>
        <n v="14136"/>
        <n v="13249"/>
        <n v="14628"/>
        <n v="28764"/>
        <n v="14250"/>
        <n v="18707"/>
        <n v="13584"/>
        <n v="11406"/>
        <n v="11256"/>
        <n v="10806"/>
        <n v="12910"/>
        <n v="12263"/>
        <n v="12891"/>
        <n v="16676"/>
        <n v="18050"/>
        <n v="16868"/>
        <n v="17200"/>
        <n v="15483"/>
        <n v="16092"/>
        <n v="14106"/>
        <n v="16800"/>
        <n v="12840"/>
        <n v="13416"/>
        <n v="16619"/>
        <n v="14334"/>
        <n v="11647"/>
        <n v="11233"/>
        <n v="9246"/>
        <n v="10149"/>
        <n v="4091"/>
        <n v="4151"/>
        <n v="3207"/>
        <n v="1820"/>
        <n v="7501"/>
        <n v="3725"/>
        <n v="3108"/>
        <n v="3643"/>
        <n v="2105"/>
        <n v="2070"/>
        <n v="3670"/>
        <n v="2681"/>
        <n v="6348"/>
        <n v="2963"/>
        <n v="1900"/>
        <n v="6428"/>
        <n v="5612"/>
        <n v="3022"/>
        <n v="3703"/>
        <n v="2184"/>
        <n v="2337"/>
        <n v="2393"/>
        <n v="2844"/>
        <n v="3079"/>
        <n v="3815"/>
        <n v="3586"/>
        <n v="2414"/>
        <n v="3383"/>
        <n v="3113"/>
        <n v="2650"/>
        <n v="3174"/>
        <n v="3194"/>
        <n v="2945"/>
        <n v="2588"/>
        <n v="2601"/>
        <n v="3052"/>
        <n v="2175"/>
        <n v="2262"/>
        <n v="2500"/>
        <n v="2598"/>
        <n v="220"/>
        <n v="133"/>
        <n v="698"/>
        <n v="672"/>
        <n v="668"/>
        <n v="739"/>
        <n v="775"/>
        <n v="888"/>
        <n v="622"/>
        <n v="634"/>
        <n v="810"/>
        <n v="1087"/>
        <n v="972"/>
        <n v="1048"/>
        <n v="829"/>
        <n v="1011"/>
        <n v="757"/>
        <n v="638"/>
        <n v="924"/>
        <n v="853"/>
        <n v="809"/>
        <n v="1050"/>
        <n v="898"/>
        <n v="544"/>
        <n v="498"/>
        <n v="1429"/>
        <n v="676"/>
        <n v="425"/>
        <n v="824"/>
        <n v="8464"/>
        <n v="8100"/>
        <n v="11040"/>
        <n v="11922"/>
        <n v="2631"/>
        <n v="14931"/>
        <n v="26142"/>
        <n v="14799"/>
        <n v="13913"/>
        <n v="12210"/>
        <n v="12324"/>
        <n v="11722"/>
        <n v="4952"/>
        <n v="13570"/>
        <n v="18828"/>
        <n v="14447"/>
        <n v="15717"/>
        <n v="10698"/>
        <n v="537"/>
        <n v="21028"/>
        <n v="22088"/>
        <n v="25800"/>
        <n v="23612"/>
        <n v="14981"/>
        <n v="11477"/>
        <n v="14648"/>
        <n v="9147"/>
        <n v="10410"/>
        <n v="10917"/>
        <n v="9304"/>
        <n v="9763"/>
        <n v="10664"/>
        <n v="16354"/>
        <n v="7014"/>
        <n v="31026"/>
        <n v="18203"/>
        <n v="992"/>
        <n v="20026"/>
        <n v="29610"/>
        <n v="12577"/>
        <n v="9398"/>
        <n v="7071"/>
        <n v="6088"/>
        <n v="5532"/>
        <n v="6391"/>
        <n v="1327"/>
        <n v="1322"/>
        <n v="1767"/>
        <n v="1860"/>
        <n v="1832"/>
        <n v="2848"/>
        <n v="2775"/>
        <n v="2884"/>
        <n v="3152"/>
        <n v="5885"/>
        <n v="785"/>
        <n v="1277"/>
        <n v="5515"/>
        <n v="2783"/>
        <n v="215"/>
        <n v="2213"/>
        <n v="3421"/>
        <n v="3080"/>
        <n v="2378"/>
        <n v="3146"/>
        <n v="4123"/>
        <n v="-32"/>
        <n v="-8"/>
        <n v="162"/>
        <n v="6450"/>
        <n v="2003"/>
        <n v="7003"/>
        <n v="2223"/>
        <n v="1098"/>
        <n v="2625"/>
        <n v="2638"/>
        <n v="3667"/>
        <n v="2017"/>
        <n v="2757"/>
        <n v="1742"/>
        <n v="34"/>
        <n v="882"/>
        <n v="865"/>
        <n v="792"/>
        <n v="1106"/>
        <n v="1331"/>
        <n v="1491"/>
        <n v="1711"/>
        <n v="875"/>
        <n v="1046"/>
        <n v="933"/>
        <n v="1152"/>
        <n v="886"/>
        <n v="896"/>
        <n v="1161"/>
        <n v="1144"/>
        <n v="1353"/>
        <n v="2068"/>
        <n v="2301"/>
        <n v="1700"/>
        <n v="2293"/>
        <n v="2716"/>
        <n v="340"/>
        <n v="2239"/>
        <n v="4247"/>
        <n v="3577"/>
        <n v="3061"/>
        <n v="3165"/>
        <n v="1774"/>
        <n v="5098"/>
        <n v="5112"/>
        <n v="2725"/>
        <n v="4125"/>
        <n v="4373"/>
        <n v="3466"/>
        <n v="3832"/>
        <n v="3172"/>
        <n v="2276"/>
        <n v="747"/>
        <n v="645"/>
        <n v="1003"/>
        <n v="18929"/>
        <n v="18610"/>
        <n v="21452"/>
        <n v="15883"/>
        <n v="15779"/>
        <n v="23393"/>
        <n v="18674"/>
        <n v="11400"/>
        <n v="25859"/>
        <n v="16740"/>
        <n v="17553"/>
        <n v="16162"/>
        <n v="20461"/>
        <n v="6714"/>
        <n v="21993"/>
        <n v="29137"/>
        <n v="7483"/>
        <n v="34203"/>
        <n v="37725"/>
        <n v="43988"/>
        <n v="30026"/>
        <n v="32829"/>
        <n v="42187"/>
        <n v="52547"/>
        <n v="9845"/>
        <n v="78104"/>
        <n v="48812"/>
        <n v="36864"/>
        <n v="42037"/>
        <n v="47272"/>
        <n v="59455"/>
        <n v="3944"/>
        <n v="30808"/>
        <n v="363"/>
        <n v="12697"/>
        <n v="3614"/>
        <n v="1650"/>
        <n v="7641"/>
        <n v="199909"/>
        <n v="81866"/>
        <n v="22527"/>
        <n v="25284"/>
        <n v="16701"/>
        <n v="9476"/>
        <n v="1896"/>
        <n v="2082"/>
        <n v="2605"/>
        <n v="3797"/>
        <n v="3403"/>
        <n v="3026"/>
        <n v="4882"/>
        <n v="3213"/>
        <n v="3659"/>
        <n v="3679"/>
        <n v="3845"/>
        <n v="3505"/>
        <n v="3385"/>
        <n v="4232"/>
        <n v="3730"/>
        <n v="7627"/>
        <n v="5671"/>
        <n v="5211"/>
        <n v="4768"/>
        <n v="5581"/>
        <n v="5038"/>
        <n v="9522"/>
        <n v="7631"/>
        <n v="4027"/>
        <n v="813"/>
        <n v="721"/>
        <n v="659"/>
        <n v="822"/>
        <n v="842"/>
        <n v="8450"/>
        <n v="16221"/>
        <n v="1328"/>
        <n v="4822"/>
        <n v="4732"/>
        <n v="7914"/>
        <n v="10045"/>
        <n v="7707"/>
        <n v="8324"/>
        <n v="7267"/>
        <n v="5139"/>
        <n v="3499"/>
        <n v="1762"/>
        <n v="906"/>
        <n v="1150"/>
        <n v="486"/>
        <n v="789"/>
        <n v="649"/>
        <n v="884"/>
        <n v="534"/>
        <n v="1499"/>
        <n v="1375"/>
        <n v="1103"/>
        <n v="1789"/>
        <n v="1877"/>
        <n v="1941"/>
        <n v="1260"/>
        <n v="1468"/>
        <n v="1480"/>
        <n v="1117"/>
        <n v="1160"/>
        <n v="1340"/>
        <n v="1916"/>
        <n v="-18"/>
        <n v="16536"/>
        <n v="9573"/>
        <n v="19916"/>
        <n v="17217"/>
        <n v="16113"/>
        <n v="9560"/>
        <n v="28853"/>
        <n v="32683"/>
        <n v="23160"/>
        <n v="17963"/>
        <n v="17400"/>
        <n v="21225"/>
        <n v="6602"/>
        <n v="151"/>
        <n v="-139"/>
        <n v="55210"/>
        <n v="21169"/>
        <n v="24594"/>
        <n v="40418"/>
        <n v="28667"/>
        <n v="30500"/>
        <n v="280"/>
        <n v="13941"/>
        <n v="-2225"/>
        <n v="-311"/>
        <n v="29823"/>
        <n v="15976"/>
        <n v="63865"/>
        <n v="38618"/>
        <n v="17268"/>
        <n v="28850"/>
        <n v="35045"/>
        <n v="3247"/>
        <n v="39203"/>
        <n v="45663"/>
        <n v="32103"/>
        <n v="27730"/>
        <n v="33840"/>
        <n v="18467"/>
        <n v="34810"/>
        <n v="40920"/>
        <n v="24806"/>
        <n v="23248"/>
        <n v="2842"/>
        <n v="11307"/>
        <n v="2093"/>
        <n v="2199"/>
        <n v="2778"/>
        <n v="3170"/>
        <n v="4426"/>
        <n v="3691"/>
        <n v="4236"/>
        <n v="4071"/>
        <n v="2772"/>
        <n v="4465"/>
        <n v="5271"/>
        <n v="9611"/>
        <n v="6302"/>
        <n v="3836"/>
        <n v="4831"/>
        <n v="3587"/>
        <n v="2918"/>
        <n v="3789"/>
        <n v="5841"/>
        <n v="6587"/>
        <n v="4504"/>
        <n v="4525"/>
        <n v="3717"/>
        <n v="4624"/>
        <n v="3814"/>
        <n v="1392"/>
        <n v="4942"/>
        <n v="8006"/>
        <n v="103"/>
        <n v="4322"/>
        <n v="10624"/>
        <n v="1771"/>
        <n v="4229"/>
        <n v="8469"/>
        <n v="2619"/>
        <n v="2032"/>
        <n v="2606"/>
        <n v="3027"/>
        <n v="3087"/>
        <n v="1879"/>
        <n v="237"/>
        <n v="732"/>
        <n v="212"/>
        <n v="384"/>
        <n v="503"/>
        <n v="602"/>
        <n v="650"/>
        <n v="245"/>
        <n v="579"/>
        <n v="959"/>
        <n v="780"/>
        <n v="786"/>
        <n v="528"/>
        <n v="733"/>
        <n v="755"/>
        <n v="799"/>
        <n v="683"/>
        <n v="819"/>
        <n v="911"/>
        <n v="798"/>
        <n v="994"/>
        <n v="14385"/>
        <n v="9102"/>
        <n v="17962"/>
        <n v="20332"/>
        <n v="15334"/>
        <n v="14704"/>
        <n v="678"/>
        <n v="85"/>
        <n v="-54"/>
        <n v="18414"/>
        <n v="40698"/>
        <n v="25998"/>
        <n v="9660"/>
        <n v="8393"/>
        <n v="9347"/>
        <n v="9281"/>
        <n v="11841"/>
        <n v="11817"/>
        <n v="13962"/>
        <n v="14645"/>
        <n v="10986"/>
        <n v="6103"/>
        <n v="13884"/>
        <n v="16696"/>
        <n v="23904"/>
        <n v="24135"/>
        <n v="20436"/>
        <n v="17324"/>
        <n v="15139"/>
        <n v="13390"/>
        <n v="12488"/>
        <n v="12157"/>
        <n v="11801"/>
        <n v="11782"/>
        <n v="12756"/>
        <n v="15198"/>
        <n v="15756"/>
        <n v="18354"/>
        <n v="16746"/>
        <n v="20324"/>
        <n v="18247"/>
        <n v="17814"/>
        <n v="17578"/>
        <n v="17820"/>
        <n v="18116"/>
        <n v="1971"/>
        <n v="2665"/>
        <n v="-6"/>
        <n v="2033"/>
        <n v="3658"/>
        <n v="3259"/>
        <n v="1182"/>
        <n v="1302"/>
        <n v="1065"/>
        <n v="1186"/>
        <n v="1556"/>
        <n v="2162"/>
        <n v="2452"/>
        <n v="1600"/>
        <n v="1292"/>
        <n v="2931"/>
        <n v="3008"/>
        <n v="3604"/>
        <n v="3185"/>
        <n v="2966"/>
        <n v="2260"/>
        <n v="2751"/>
        <n v="2858"/>
        <n v="351"/>
        <n v="-3"/>
        <n v="3279"/>
        <n v="3356"/>
        <n v="2709"/>
        <n v="2421"/>
        <n v="2049"/>
        <n v="3349"/>
        <n v="1748"/>
        <n v="90"/>
        <n v="3888"/>
        <n v="3910"/>
        <n v="1768"/>
        <n v="-5"/>
        <n v="115"/>
        <n v="655"/>
        <n v="703"/>
        <n v="1081"/>
        <n v="1071"/>
        <n v="1244"/>
        <n v="1623"/>
        <n v="939"/>
        <n v="1228"/>
        <n v="1090"/>
        <n v="724"/>
        <n v="1023"/>
        <n v="1053"/>
        <n v="1926"/>
        <n v="1193"/>
        <n v="909"/>
        <n v="1093"/>
        <n v="1116"/>
        <n v="918"/>
        <n v="1625"/>
        <n v="1687"/>
        <n v="1462"/>
        <n v="392"/>
        <n v="1425"/>
        <n v="8"/>
        <n v="1758"/>
        <n v="1858"/>
        <n v="9694"/>
        <n v="8424"/>
        <n v="12684"/>
        <n v="14227"/>
        <n v="28952"/>
        <n v="23902"/>
        <n v="16564"/>
        <n v="13408"/>
        <n v="8672"/>
        <n v="15320"/>
        <n v="7950"/>
        <n v="18340"/>
        <n v="23124"/>
        <n v="13578"/>
        <n v="13715"/>
        <n v="15576"/>
        <n v="18750"/>
        <n v="-92"/>
        <n v="-25"/>
        <n v="33736"/>
        <n v="23159"/>
        <n v="30886"/>
        <n v="37962"/>
        <n v="27022"/>
        <n v="15188"/>
        <n v="3501"/>
        <n v="21074"/>
        <n v="23669"/>
        <n v="20216"/>
        <n v="18770"/>
        <n v="3462"/>
        <n v="18432"/>
        <n v="12967"/>
        <n v="25564"/>
        <n v="13748"/>
        <n v="14267"/>
        <n v="19895"/>
        <n v="12153"/>
        <n v="10722"/>
        <n v="8522"/>
        <n v="6171"/>
        <n v="6060"/>
        <n v="1403"/>
        <n v="1745"/>
        <n v="3066"/>
        <n v="3671"/>
        <n v="3790"/>
        <n v="4569"/>
        <n v="2911"/>
        <n v="-17"/>
        <n v="4846"/>
        <n v="3120"/>
        <n v="8538"/>
        <n v="1367"/>
        <n v="3712"/>
        <n v="4739"/>
        <n v="2338"/>
        <n v="6409"/>
        <n v="4069"/>
        <n v="3641"/>
        <n v="3531"/>
        <n v="3193"/>
        <n v="3253"/>
        <n v="4505"/>
        <n v="5161"/>
        <n v="5598"/>
        <n v="1955"/>
        <n v="4029"/>
        <n v="3502"/>
        <n v="3178"/>
        <n v="3950"/>
        <n v="3631"/>
        <n v="5678"/>
      </sharedItems>
    </cacheField>
    <cacheField name="Продажа, шт" numFmtId="0">
      <sharedItems containsSemiMixedTypes="0" containsString="0" containsNumber="1" containsInteger="1" minValue="0" maxValue="48814"/>
    </cacheField>
    <cacheField name="Остаток на конец дня, шт" numFmtId="0">
      <sharedItems containsSemiMixedTypes="0" containsString="0" containsNumber="1" minValue="0" maxValue="256579"/>
    </cacheField>
    <cacheField name="Списания, шт" numFmtId="0">
      <sharedItems containsSemiMixedTypes="0" containsString="0" containsNumber="1" containsInteger="1" minValue="0" maxValue="18"/>
    </cacheField>
    <cacheField name="Оборачиваемость остаков" numFmtId="0" formula="'Остаток на конец дня, шт'/'Продажа, шт'" databaseField="0"/>
  </cacheFields>
  <extLst>
    <ext xmlns:x14="http://schemas.microsoft.com/office/spreadsheetml/2009/9/main" uri="{725AE2AE-9491-48be-B2B4-4EB974FC3084}">
      <x14:pivotCacheDefinition pivotCacheId="4159911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0">
  <r>
    <x v="0"/>
    <x v="0"/>
    <s v="Сахар песок фас. 10кг:1"/>
    <n v="317.08"/>
    <d v="2012-06-01T00:00:00"/>
    <n v="0"/>
    <x v="0"/>
    <n v="0"/>
    <n v="0"/>
    <n v="0"/>
  </r>
  <r>
    <x v="0"/>
    <x v="0"/>
    <s v="Сахар песок фас. 10кг:1"/>
    <n v="317.08"/>
    <d v="2012-06-02T00:00:00"/>
    <n v="0"/>
    <x v="0"/>
    <n v="0"/>
    <n v="0"/>
    <n v="0"/>
  </r>
  <r>
    <x v="0"/>
    <x v="0"/>
    <s v="Сахар песок фас. 10кг:1"/>
    <n v="317.08"/>
    <d v="2012-06-03T00:00:00"/>
    <n v="0"/>
    <x v="1"/>
    <n v="105"/>
    <n v="823"/>
    <n v="0"/>
  </r>
  <r>
    <x v="0"/>
    <x v="0"/>
    <s v="Сахар песок фас. 10кг:1"/>
    <n v="317.08"/>
    <d v="2012-06-04T00:00:00"/>
    <n v="823"/>
    <x v="2"/>
    <n v="310"/>
    <n v="1145"/>
    <n v="0"/>
  </r>
  <r>
    <x v="0"/>
    <x v="0"/>
    <s v="Сахар песок фас. 10кг:1"/>
    <n v="317.08"/>
    <d v="2012-06-05T00:00:00"/>
    <n v="1145"/>
    <x v="3"/>
    <n v="374"/>
    <n v="968"/>
    <n v="0"/>
  </r>
  <r>
    <x v="0"/>
    <x v="0"/>
    <s v="Сахар песок фас. 10кг:1"/>
    <n v="317.08"/>
    <d v="2012-06-06T00:00:00"/>
    <n v="968"/>
    <x v="4"/>
    <n v="342"/>
    <n v="843"/>
    <n v="0"/>
  </r>
  <r>
    <x v="0"/>
    <x v="0"/>
    <s v="Сахар песок фас. 10кг:1"/>
    <n v="317.08"/>
    <d v="2012-06-07T00:00:00"/>
    <n v="843"/>
    <x v="5"/>
    <n v="310"/>
    <n v="918"/>
    <n v="0"/>
  </r>
  <r>
    <x v="0"/>
    <x v="0"/>
    <s v="Сахар песок фас. 10кг:1"/>
    <n v="317.08"/>
    <d v="2012-06-08T00:00:00"/>
    <n v="918"/>
    <x v="6"/>
    <n v="322"/>
    <n v="993"/>
    <n v="0"/>
  </r>
  <r>
    <x v="0"/>
    <x v="0"/>
    <s v="Сахар песок фас. 10кг:1"/>
    <n v="317.08"/>
    <d v="2012-06-09T00:00:00"/>
    <n v="993"/>
    <x v="7"/>
    <n v="290"/>
    <n v="1073"/>
    <n v="0"/>
  </r>
  <r>
    <x v="0"/>
    <x v="0"/>
    <s v="Сахар песок фас. 10кг:1"/>
    <n v="317.08"/>
    <d v="2012-06-10T00:00:00"/>
    <n v="1073"/>
    <x v="8"/>
    <n v="412"/>
    <n v="910"/>
    <n v="0"/>
  </r>
  <r>
    <x v="0"/>
    <x v="0"/>
    <s v="Сахар песок фас. 10кг:1"/>
    <n v="317.08"/>
    <d v="2012-06-11T00:00:00"/>
    <n v="910"/>
    <x v="9"/>
    <n v="355"/>
    <n v="786"/>
    <n v="0"/>
  </r>
  <r>
    <x v="0"/>
    <x v="0"/>
    <s v="Сахар песок фас. 10кг:1"/>
    <n v="317.08"/>
    <d v="2012-06-12T00:00:00"/>
    <n v="786"/>
    <x v="10"/>
    <n v="258"/>
    <n v="777"/>
    <n v="0"/>
  </r>
  <r>
    <x v="0"/>
    <x v="0"/>
    <s v="Сахар песок фас. 10кг:1"/>
    <n v="317.08"/>
    <d v="2012-06-13T00:00:00"/>
    <n v="777"/>
    <x v="11"/>
    <n v="328"/>
    <n v="1808"/>
    <n v="0"/>
  </r>
  <r>
    <x v="0"/>
    <x v="0"/>
    <s v="Сахар песок фас. 10кг:1"/>
    <n v="317.08"/>
    <d v="2012-06-14T00:00:00"/>
    <n v="1808"/>
    <x v="12"/>
    <n v="381"/>
    <n v="2191"/>
    <n v="0"/>
  </r>
  <r>
    <x v="0"/>
    <x v="0"/>
    <s v="Сахар песок фас. 10кг:1"/>
    <n v="317.08"/>
    <d v="2012-06-15T00:00:00"/>
    <n v="2191"/>
    <x v="13"/>
    <n v="433"/>
    <n v="2033"/>
    <n v="0"/>
  </r>
  <r>
    <x v="0"/>
    <x v="0"/>
    <s v="Сахар песок фас. 10кг:1"/>
    <n v="317.08"/>
    <d v="2012-06-16T00:00:00"/>
    <n v="2033"/>
    <x v="14"/>
    <n v="480"/>
    <n v="1817"/>
    <n v="0"/>
  </r>
  <r>
    <x v="0"/>
    <x v="0"/>
    <s v="Сахар песок фас. 10кг:1"/>
    <n v="317.08"/>
    <d v="2012-06-17T00:00:00"/>
    <n v="1817"/>
    <x v="15"/>
    <n v="583"/>
    <n v="1582"/>
    <n v="0"/>
  </r>
  <r>
    <x v="0"/>
    <x v="0"/>
    <s v="Сахар песок фас. 10кг:1"/>
    <n v="317.08"/>
    <d v="2012-06-18T00:00:00"/>
    <n v="1582"/>
    <x v="16"/>
    <n v="501"/>
    <n v="1542"/>
    <n v="0"/>
  </r>
  <r>
    <x v="0"/>
    <x v="0"/>
    <s v="Сахар песок фас. 10кг:1"/>
    <n v="317.08"/>
    <d v="2012-06-19T00:00:00"/>
    <n v="1542"/>
    <x v="17"/>
    <n v="562"/>
    <n v="1470"/>
    <n v="0"/>
  </r>
  <r>
    <x v="0"/>
    <x v="0"/>
    <s v="Сахар песок фас. 10кг:1"/>
    <n v="317.08"/>
    <d v="2012-06-20T00:00:00"/>
    <n v="1470"/>
    <x v="18"/>
    <n v="528"/>
    <n v="1674"/>
    <n v="0"/>
  </r>
  <r>
    <x v="0"/>
    <x v="0"/>
    <s v="Сахар песок фас. 10кг:1"/>
    <n v="317.08"/>
    <d v="2012-06-21T00:00:00"/>
    <n v="1674"/>
    <x v="19"/>
    <n v="608"/>
    <n v="1752"/>
    <n v="0"/>
  </r>
  <r>
    <x v="0"/>
    <x v="0"/>
    <s v="Сахар песок фас. 10кг:1"/>
    <n v="317.08"/>
    <d v="2012-06-22T00:00:00"/>
    <n v="1752"/>
    <x v="20"/>
    <n v="598"/>
    <n v="1957"/>
    <n v="0"/>
  </r>
  <r>
    <x v="0"/>
    <x v="0"/>
    <s v="Сахар песок фас. 10кг:1"/>
    <n v="317.08"/>
    <d v="2012-06-23T00:00:00"/>
    <n v="1957"/>
    <x v="21"/>
    <n v="658"/>
    <n v="1920"/>
    <n v="0"/>
  </r>
  <r>
    <x v="0"/>
    <x v="0"/>
    <s v="Сахар песок фас. 10кг:1"/>
    <n v="317.08"/>
    <d v="2012-06-24T00:00:00"/>
    <n v="1920"/>
    <x v="22"/>
    <n v="599"/>
    <n v="1966"/>
    <n v="0"/>
  </r>
  <r>
    <x v="0"/>
    <x v="0"/>
    <s v="Сахар песок фас. 10кг:1"/>
    <n v="317.08"/>
    <d v="2012-06-25T00:00:00"/>
    <n v="1966"/>
    <x v="23"/>
    <n v="473"/>
    <n v="2114"/>
    <n v="0"/>
  </r>
  <r>
    <x v="0"/>
    <x v="0"/>
    <s v="Сахар песок фас. 10кг:1"/>
    <n v="317.08"/>
    <d v="2012-06-26T00:00:00"/>
    <n v="2114"/>
    <x v="24"/>
    <n v="491"/>
    <n v="2297"/>
    <n v="0"/>
  </r>
  <r>
    <x v="0"/>
    <x v="0"/>
    <s v="Сахар песок фас. 10кг:1"/>
    <n v="317.08"/>
    <d v="2012-06-27T00:00:00"/>
    <n v="2297"/>
    <x v="25"/>
    <n v="573"/>
    <n v="2236"/>
    <n v="0"/>
  </r>
  <r>
    <x v="0"/>
    <x v="0"/>
    <s v="Сахар песок фас. 10кг:1"/>
    <n v="317.08"/>
    <d v="2012-06-28T00:00:00"/>
    <n v="2236"/>
    <x v="26"/>
    <n v="573"/>
    <n v="2025"/>
    <n v="0"/>
  </r>
  <r>
    <x v="0"/>
    <x v="0"/>
    <s v="Сахар песок фас. 10кг:1"/>
    <n v="317.08"/>
    <d v="2012-06-29T00:00:00"/>
    <n v="2025"/>
    <x v="27"/>
    <n v="543"/>
    <n v="1816"/>
    <n v="0"/>
  </r>
  <r>
    <x v="0"/>
    <x v="0"/>
    <s v="Сахар песок фас. 10кг:1"/>
    <n v="317.08"/>
    <d v="2012-06-30T00:00:00"/>
    <n v="1816"/>
    <x v="28"/>
    <n v="537"/>
    <n v="1299"/>
    <n v="0"/>
  </r>
  <r>
    <x v="0"/>
    <x v="0"/>
    <s v="Сахар песок фас. 10кг:1"/>
    <n v="317.08"/>
    <d v="2012-07-01T00:00:00"/>
    <n v="1299"/>
    <x v="29"/>
    <n v="365"/>
    <n v="1834"/>
    <n v="0"/>
  </r>
  <r>
    <x v="0"/>
    <x v="0"/>
    <s v="Сахар песок фас. 10кг:1"/>
    <n v="317.08"/>
    <d v="2012-07-02T00:00:00"/>
    <n v="1834"/>
    <x v="30"/>
    <n v="507"/>
    <n v="2296"/>
    <n v="0"/>
  </r>
  <r>
    <x v="0"/>
    <x v="0"/>
    <s v="Сахар песок фас. 10кг:1"/>
    <n v="317.08"/>
    <d v="2012-07-03T00:00:00"/>
    <n v="2296"/>
    <x v="31"/>
    <n v="495"/>
    <n v="1843"/>
    <n v="0"/>
  </r>
  <r>
    <x v="0"/>
    <x v="0"/>
    <s v="Сахар песок фас. 10кг:1"/>
    <n v="317.08"/>
    <d v="2012-07-04T00:00:00"/>
    <n v="1843"/>
    <x v="32"/>
    <n v="379"/>
    <n v="1489"/>
    <n v="0"/>
  </r>
  <r>
    <x v="0"/>
    <x v="0"/>
    <s v="Сахар песок фас. 10кг:1"/>
    <n v="317.08"/>
    <d v="2012-07-05T00:00:00"/>
    <n v="1489"/>
    <x v="33"/>
    <n v="323"/>
    <n v="2073"/>
    <n v="0"/>
  </r>
  <r>
    <x v="0"/>
    <x v="0"/>
    <s v="Сахар песок фас. 10кг:1"/>
    <n v="317.08"/>
    <d v="2012-07-06T00:00:00"/>
    <n v="2073"/>
    <x v="34"/>
    <n v="439"/>
    <n v="2301"/>
    <n v="0"/>
  </r>
  <r>
    <x v="0"/>
    <x v="0"/>
    <s v="Сахар песок фас. 10кг:1"/>
    <n v="317.08"/>
    <d v="2012-07-07T00:00:00"/>
    <n v="2301"/>
    <x v="35"/>
    <n v="562"/>
    <n v="2049"/>
    <n v="0"/>
  </r>
  <r>
    <x v="0"/>
    <x v="0"/>
    <s v="Сахар песок фас. 10кг:1"/>
    <n v="317.08"/>
    <d v="2012-07-08T00:00:00"/>
    <n v="2049"/>
    <x v="36"/>
    <n v="412"/>
    <n v="1952"/>
    <n v="0"/>
  </r>
  <r>
    <x v="0"/>
    <x v="0"/>
    <s v="Сахар песок фас. 10кг:1"/>
    <n v="317.08"/>
    <d v="2012-07-09T00:00:00"/>
    <n v="1952"/>
    <x v="37"/>
    <n v="372"/>
    <n v="2075"/>
    <n v="0"/>
  </r>
  <r>
    <x v="0"/>
    <x v="0"/>
    <s v="Сахар песок фас. 10кг:1"/>
    <n v="317.08"/>
    <d v="2012-07-10T00:00:00"/>
    <n v="2075"/>
    <x v="38"/>
    <n v="363"/>
    <n v="2121"/>
    <n v="0"/>
  </r>
  <r>
    <x v="0"/>
    <x v="0"/>
    <s v="Сахар песок фас. 10кг:1"/>
    <n v="317.08"/>
    <d v="2012-07-11T00:00:00"/>
    <n v="2121"/>
    <x v="39"/>
    <n v="360"/>
    <n v="2084"/>
    <n v="0"/>
  </r>
  <r>
    <x v="0"/>
    <x v="0"/>
    <s v="Сахар песок фас. 10кг:1"/>
    <n v="317.08"/>
    <d v="2012-07-12T00:00:00"/>
    <n v="2084"/>
    <x v="40"/>
    <n v="390"/>
    <n v="1939"/>
    <n v="0"/>
  </r>
  <r>
    <x v="0"/>
    <x v="0"/>
    <s v="Сахар песок фас. 10кг:1"/>
    <n v="317.08"/>
    <d v="2012-07-13T00:00:00"/>
    <n v="1939"/>
    <x v="41"/>
    <n v="350"/>
    <n v="1882"/>
    <n v="0"/>
  </r>
  <r>
    <x v="0"/>
    <x v="0"/>
    <s v="Сахар песок фас. 10кг:1"/>
    <n v="317.08"/>
    <d v="2012-07-14T00:00:00"/>
    <n v="1882"/>
    <x v="42"/>
    <n v="363"/>
    <n v="1802"/>
    <n v="0"/>
  </r>
  <r>
    <x v="0"/>
    <x v="0"/>
    <s v="Сахар песок фас. 10кг:1"/>
    <n v="317.08"/>
    <d v="2012-07-15T00:00:00"/>
    <n v="1802"/>
    <x v="43"/>
    <n v="388"/>
    <n v="1763"/>
    <n v="0"/>
  </r>
  <r>
    <x v="0"/>
    <x v="0"/>
    <s v="Сахар песок фас. 10кг:1"/>
    <n v="317.08"/>
    <d v="2012-07-16T00:00:00"/>
    <n v="1763"/>
    <x v="42"/>
    <n v="302"/>
    <n v="1741"/>
    <n v="0"/>
  </r>
  <r>
    <x v="0"/>
    <x v="0"/>
    <s v="Сахар песок фас. 10кг:1"/>
    <n v="317.08"/>
    <d v="2012-07-17T00:00:00"/>
    <n v="1741"/>
    <x v="44"/>
    <n v="295"/>
    <n v="1734"/>
    <n v="0"/>
  </r>
  <r>
    <x v="0"/>
    <x v="1"/>
    <s v="Сахар песок фас.1кг:6"/>
    <n v="33.659999999999997"/>
    <d v="2012-06-01T00:00:00"/>
    <n v="87061"/>
    <x v="45"/>
    <n v="18363"/>
    <n v="83824"/>
    <n v="3"/>
  </r>
  <r>
    <x v="0"/>
    <x v="1"/>
    <s v="Сахар песок фас.1кг:6"/>
    <n v="33.659999999999997"/>
    <d v="2012-06-02T00:00:00"/>
    <n v="83824"/>
    <x v="46"/>
    <n v="19380"/>
    <n v="76396"/>
    <n v="0"/>
  </r>
  <r>
    <x v="0"/>
    <x v="1"/>
    <s v="Сахар песок фас.1кг:6"/>
    <n v="33.659999999999997"/>
    <d v="2012-06-03T00:00:00"/>
    <n v="76396"/>
    <x v="47"/>
    <n v="19412"/>
    <n v="82395"/>
    <n v="0"/>
  </r>
  <r>
    <x v="0"/>
    <x v="1"/>
    <s v="Сахар песок фас.1кг:6"/>
    <n v="33.659999999999997"/>
    <d v="2012-06-04T00:00:00"/>
    <n v="82395"/>
    <x v="48"/>
    <n v="19067"/>
    <n v="87954"/>
    <n v="0"/>
  </r>
  <r>
    <x v="0"/>
    <x v="1"/>
    <s v="Сахар песок фас.1кг:6"/>
    <n v="33.659999999999997"/>
    <d v="2012-06-05T00:00:00"/>
    <n v="87954"/>
    <x v="49"/>
    <n v="17300"/>
    <n v="80492"/>
    <n v="0"/>
  </r>
  <r>
    <x v="0"/>
    <x v="1"/>
    <s v="Сахар песок фас.1кг:6"/>
    <n v="33.659999999999997"/>
    <d v="2012-06-06T00:00:00"/>
    <n v="80492"/>
    <x v="50"/>
    <n v="16932"/>
    <n v="88997"/>
    <n v="4"/>
  </r>
  <r>
    <x v="0"/>
    <x v="1"/>
    <s v="Сахар песок фас.1кг:6"/>
    <n v="33.659999999999997"/>
    <d v="2012-06-07T00:00:00"/>
    <n v="88997"/>
    <x v="51"/>
    <n v="16551"/>
    <n v="82251"/>
    <n v="1"/>
  </r>
  <r>
    <x v="0"/>
    <x v="1"/>
    <s v="Сахар песок фас.1кг:6"/>
    <n v="33.659999999999997"/>
    <d v="2012-06-08T00:00:00"/>
    <n v="82251"/>
    <x v="52"/>
    <n v="16542"/>
    <n v="88515"/>
    <n v="0"/>
  </r>
  <r>
    <x v="0"/>
    <x v="1"/>
    <s v="Сахар песок фас.1кг:6"/>
    <n v="33.659999999999997"/>
    <d v="2012-06-09T00:00:00"/>
    <n v="88515"/>
    <x v="53"/>
    <n v="16223"/>
    <n v="79295"/>
    <n v="0"/>
  </r>
  <r>
    <x v="0"/>
    <x v="1"/>
    <s v="Сахар песок фас.1кг:6"/>
    <n v="33.659999999999997"/>
    <d v="2012-06-10T00:00:00"/>
    <n v="79295"/>
    <x v="54"/>
    <n v="15379"/>
    <n v="72691"/>
    <n v="0"/>
  </r>
  <r>
    <x v="0"/>
    <x v="1"/>
    <s v="Сахар песок фас.1кг:6"/>
    <n v="33.659999999999997"/>
    <d v="2012-06-11T00:00:00"/>
    <n v="72691"/>
    <x v="55"/>
    <n v="14979"/>
    <n v="77077"/>
    <n v="1"/>
  </r>
  <r>
    <x v="0"/>
    <x v="1"/>
    <s v="Сахар песок фас.1кг:6"/>
    <n v="33.659999999999997"/>
    <d v="2012-06-12T00:00:00"/>
    <n v="77077"/>
    <x v="56"/>
    <n v="16580"/>
    <n v="78908"/>
    <n v="0"/>
  </r>
  <r>
    <x v="0"/>
    <x v="1"/>
    <s v="Сахар песок фас.1кг:6"/>
    <n v="33.659999999999997"/>
    <d v="2012-06-13T00:00:00"/>
    <n v="78908"/>
    <x v="57"/>
    <n v="17352"/>
    <n v="82219"/>
    <n v="1"/>
  </r>
  <r>
    <x v="0"/>
    <x v="1"/>
    <s v="Сахар песок фас.1кг:6"/>
    <n v="33.659999999999997"/>
    <d v="2012-06-14T00:00:00"/>
    <n v="82219"/>
    <x v="58"/>
    <n v="15518"/>
    <n v="73467"/>
    <n v="3"/>
  </r>
  <r>
    <x v="0"/>
    <x v="1"/>
    <s v="Сахар песок фас.1кг:6"/>
    <n v="33.659999999999997"/>
    <d v="2012-06-15T00:00:00"/>
    <n v="73467"/>
    <x v="59"/>
    <n v="16750"/>
    <n v="76537"/>
    <n v="1"/>
  </r>
  <r>
    <x v="0"/>
    <x v="1"/>
    <s v="Сахар песок фас.1кг:6"/>
    <n v="33.659999999999997"/>
    <d v="2012-06-16T00:00:00"/>
    <n v="76537"/>
    <x v="60"/>
    <n v="17369"/>
    <n v="65830"/>
    <n v="2"/>
  </r>
  <r>
    <x v="0"/>
    <x v="1"/>
    <s v="Сахар песок фас.1кг:6"/>
    <n v="33.659999999999997"/>
    <d v="2012-06-17T00:00:00"/>
    <n v="65830"/>
    <x v="61"/>
    <n v="17431"/>
    <n v="79599"/>
    <n v="0"/>
  </r>
  <r>
    <x v="0"/>
    <x v="1"/>
    <s v="Сахар песок фас.1кг:6"/>
    <n v="33.659999999999997"/>
    <d v="2012-06-18T00:00:00"/>
    <n v="79599"/>
    <x v="62"/>
    <n v="19450"/>
    <n v="81033"/>
    <n v="2"/>
  </r>
  <r>
    <x v="0"/>
    <x v="1"/>
    <s v="Сахар песок фас.1кг:6"/>
    <n v="33.659999999999997"/>
    <d v="2012-06-19T00:00:00"/>
    <n v="81033"/>
    <x v="63"/>
    <n v="21045"/>
    <n v="82781"/>
    <n v="1"/>
  </r>
  <r>
    <x v="0"/>
    <x v="1"/>
    <s v="Сахар песок фас.1кг:6"/>
    <n v="33.659999999999997"/>
    <d v="2012-06-20T00:00:00"/>
    <n v="82781"/>
    <x v="64"/>
    <n v="20298"/>
    <n v="78586"/>
    <n v="0"/>
  </r>
  <r>
    <x v="0"/>
    <x v="1"/>
    <s v="Сахар песок фас.1кг:6"/>
    <n v="33.659999999999997"/>
    <d v="2012-06-21T00:00:00"/>
    <n v="78586"/>
    <x v="65"/>
    <n v="18581"/>
    <n v="62514"/>
    <n v="5"/>
  </r>
  <r>
    <x v="0"/>
    <x v="1"/>
    <s v="Сахар песок фас.1кг:6"/>
    <n v="33.659999999999997"/>
    <d v="2012-06-22T00:00:00"/>
    <n v="62514"/>
    <x v="66"/>
    <n v="16621"/>
    <n v="61689"/>
    <n v="3"/>
  </r>
  <r>
    <x v="0"/>
    <x v="1"/>
    <s v="Сахар песок фас.1кг:6"/>
    <n v="33.659999999999997"/>
    <d v="2012-06-23T00:00:00"/>
    <n v="61689"/>
    <x v="67"/>
    <n v="14971"/>
    <n v="53988"/>
    <n v="0"/>
  </r>
  <r>
    <x v="0"/>
    <x v="1"/>
    <s v="Сахар песок фас.1кг:6"/>
    <n v="33.659999999999997"/>
    <d v="2012-06-24T00:00:00"/>
    <n v="53988"/>
    <x v="68"/>
    <n v="14204"/>
    <n v="49265"/>
    <n v="1"/>
  </r>
  <r>
    <x v="0"/>
    <x v="1"/>
    <s v="Сахар песок фас.1кг:6"/>
    <n v="33.659999999999997"/>
    <d v="2012-06-25T00:00:00"/>
    <n v="49265"/>
    <x v="69"/>
    <n v="12852"/>
    <n v="43917"/>
    <n v="2"/>
  </r>
  <r>
    <x v="0"/>
    <x v="1"/>
    <s v="Сахар песок фас.1кг:6"/>
    <n v="33.659999999999997"/>
    <d v="2012-06-26T00:00:00"/>
    <n v="43917"/>
    <x v="70"/>
    <n v="10806"/>
    <n v="39323"/>
    <n v="0"/>
  </r>
  <r>
    <x v="0"/>
    <x v="1"/>
    <s v="Сахар песок фас.1кг:6"/>
    <n v="33.659999999999997"/>
    <d v="2012-06-27T00:00:00"/>
    <n v="39323"/>
    <x v="71"/>
    <n v="12122"/>
    <n v="47247"/>
    <n v="2"/>
  </r>
  <r>
    <x v="0"/>
    <x v="1"/>
    <s v="Сахар песок фас.1кг:6"/>
    <n v="33.659999999999997"/>
    <d v="2012-06-28T00:00:00"/>
    <n v="47247"/>
    <x v="72"/>
    <n v="13949"/>
    <n v="54104"/>
    <n v="2"/>
  </r>
  <r>
    <x v="0"/>
    <x v="1"/>
    <s v="Сахар песок фас.1кг:6"/>
    <n v="33.659999999999997"/>
    <d v="2012-06-29T00:00:00"/>
    <n v="54104"/>
    <x v="73"/>
    <n v="15954"/>
    <n v="57275"/>
    <n v="1"/>
  </r>
  <r>
    <x v="0"/>
    <x v="1"/>
    <s v="Сахар песок фас.1кг:6"/>
    <n v="33.659999999999997"/>
    <d v="2012-06-30T00:00:00"/>
    <n v="57275"/>
    <x v="74"/>
    <n v="16855"/>
    <n v="66616"/>
    <n v="9"/>
  </r>
  <r>
    <x v="0"/>
    <x v="1"/>
    <s v="Сахар песок фас.1кг:6"/>
    <n v="33.659999999999997"/>
    <d v="2012-07-01T00:00:00"/>
    <n v="66616"/>
    <x v="75"/>
    <n v="16998"/>
    <n v="72815"/>
    <n v="7"/>
  </r>
  <r>
    <x v="0"/>
    <x v="1"/>
    <s v="Сахар песок фас.1кг:6"/>
    <n v="33.659999999999997"/>
    <d v="2012-07-02T00:00:00"/>
    <n v="72815"/>
    <x v="76"/>
    <n v="16853"/>
    <n v="79702"/>
    <n v="2"/>
  </r>
  <r>
    <x v="0"/>
    <x v="1"/>
    <s v="Сахар песок фас.1кг:6"/>
    <n v="33.659999999999997"/>
    <d v="2012-07-03T00:00:00"/>
    <n v="79702"/>
    <x v="77"/>
    <n v="17098"/>
    <n v="86665"/>
    <n v="2"/>
  </r>
  <r>
    <x v="0"/>
    <x v="1"/>
    <s v="Сахар песок фас.1кг:6"/>
    <n v="33.659999999999997"/>
    <d v="2012-07-04T00:00:00"/>
    <n v="86665"/>
    <x v="78"/>
    <n v="16406"/>
    <n v="94042"/>
    <n v="1"/>
  </r>
  <r>
    <x v="0"/>
    <x v="1"/>
    <s v="Сахар песок фас.1кг:6"/>
    <n v="33.659999999999997"/>
    <d v="2012-07-05T00:00:00"/>
    <n v="94042"/>
    <x v="79"/>
    <n v="15999"/>
    <n v="99514"/>
    <n v="4"/>
  </r>
  <r>
    <x v="0"/>
    <x v="1"/>
    <s v="Сахар песок фас.1кг:6"/>
    <n v="33.659999999999997"/>
    <d v="2012-07-06T00:00:00"/>
    <n v="99514"/>
    <x v="80"/>
    <n v="15619"/>
    <n v="103263"/>
    <n v="0"/>
  </r>
  <r>
    <x v="0"/>
    <x v="1"/>
    <s v="Сахар песок фас.1кг:6"/>
    <n v="33.659999999999997"/>
    <d v="2012-07-07T00:00:00"/>
    <n v="103263"/>
    <x v="81"/>
    <n v="16165"/>
    <n v="103203"/>
    <n v="0"/>
  </r>
  <r>
    <x v="0"/>
    <x v="1"/>
    <s v="Сахар песок фас.1кг:6"/>
    <n v="33.659999999999997"/>
    <d v="2012-07-08T00:00:00"/>
    <n v="103203"/>
    <x v="82"/>
    <n v="14038"/>
    <n v="104689"/>
    <n v="1"/>
  </r>
  <r>
    <x v="0"/>
    <x v="1"/>
    <s v="Сахар песок фас.1кг:6"/>
    <n v="33.659999999999997"/>
    <d v="2012-07-09T00:00:00"/>
    <n v="104689"/>
    <x v="83"/>
    <n v="14775"/>
    <n v="102315"/>
    <n v="0"/>
  </r>
  <r>
    <x v="0"/>
    <x v="1"/>
    <s v="Сахар песок фас.1кг:6"/>
    <n v="33.659999999999997"/>
    <d v="2012-07-10T00:00:00"/>
    <n v="102315"/>
    <x v="84"/>
    <n v="14761"/>
    <n v="97673"/>
    <n v="4"/>
  </r>
  <r>
    <x v="0"/>
    <x v="1"/>
    <s v="Сахар песок фас.1кг:6"/>
    <n v="33.659999999999997"/>
    <d v="2012-07-11T00:00:00"/>
    <n v="97673"/>
    <x v="85"/>
    <n v="15166"/>
    <n v="91261"/>
    <n v="3"/>
  </r>
  <r>
    <x v="0"/>
    <x v="1"/>
    <s v="Сахар песок фас.1кг:6"/>
    <n v="33.659999999999997"/>
    <d v="2012-07-12T00:00:00"/>
    <n v="91261"/>
    <x v="86"/>
    <n v="13420"/>
    <n v="88488"/>
    <n v="0"/>
  </r>
  <r>
    <x v="0"/>
    <x v="1"/>
    <s v="Сахар песок фас.1кг:6"/>
    <n v="33.659999999999997"/>
    <d v="2012-07-13T00:00:00"/>
    <n v="88488"/>
    <x v="87"/>
    <n v="13323"/>
    <n v="85635"/>
    <n v="1"/>
  </r>
  <r>
    <x v="0"/>
    <x v="1"/>
    <s v="Сахар песок фас.1кг:6"/>
    <n v="33.659999999999997"/>
    <d v="2012-07-14T00:00:00"/>
    <n v="85635"/>
    <x v="88"/>
    <n v="13011"/>
    <n v="82956"/>
    <n v="0"/>
  </r>
  <r>
    <x v="0"/>
    <x v="1"/>
    <s v="Сахар песок фас.1кг:6"/>
    <n v="33.659999999999997"/>
    <d v="2012-07-15T00:00:00"/>
    <n v="82956"/>
    <x v="89"/>
    <n v="11428"/>
    <n v="80438"/>
    <n v="2"/>
  </r>
  <r>
    <x v="0"/>
    <x v="1"/>
    <s v="Сахар песок фас.1кг:6"/>
    <n v="33.659999999999997"/>
    <d v="2012-07-16T00:00:00"/>
    <n v="80438"/>
    <x v="90"/>
    <n v="11667"/>
    <n v="77037"/>
    <n v="0"/>
  </r>
  <r>
    <x v="0"/>
    <x v="1"/>
    <s v="Сахар песок фас.1кг:6"/>
    <n v="33.659999999999997"/>
    <d v="2012-07-17T00:00:00"/>
    <n v="77037"/>
    <x v="91"/>
    <n v="11380"/>
    <n v="75544"/>
    <n v="1"/>
  </r>
  <r>
    <x v="0"/>
    <x v="2"/>
    <s v="Сахар песок фас.5кг :1"/>
    <n v="165.05"/>
    <d v="2012-06-01T00:00:00"/>
    <n v="4437"/>
    <x v="92"/>
    <n v="3208"/>
    <n v="5916"/>
    <n v="0"/>
  </r>
  <r>
    <x v="0"/>
    <x v="2"/>
    <s v="Сахар песок фас.5кг :1"/>
    <n v="165.05"/>
    <d v="2012-06-02T00:00:00"/>
    <n v="5916"/>
    <x v="93"/>
    <n v="4399"/>
    <n v="6444"/>
    <n v="0"/>
  </r>
  <r>
    <x v="0"/>
    <x v="2"/>
    <s v="Сахар песок фас.5кг :1"/>
    <n v="165.05"/>
    <d v="2012-06-03T00:00:00"/>
    <n v="6444"/>
    <x v="94"/>
    <n v="4792"/>
    <n v="9813"/>
    <n v="0"/>
  </r>
  <r>
    <x v="0"/>
    <x v="2"/>
    <s v="Сахар песок фас.5кг :1"/>
    <n v="165.05"/>
    <d v="2012-06-04T00:00:00"/>
    <n v="9813"/>
    <x v="95"/>
    <n v="3947"/>
    <n v="12056"/>
    <n v="0"/>
  </r>
  <r>
    <x v="0"/>
    <x v="2"/>
    <s v="Сахар песок фас.5кг :1"/>
    <n v="165.05"/>
    <d v="2012-06-05T00:00:00"/>
    <n v="12056"/>
    <x v="96"/>
    <n v="4721"/>
    <n v="13134"/>
    <n v="0"/>
  </r>
  <r>
    <x v="0"/>
    <x v="2"/>
    <s v="Сахар песок фас.5кг :1"/>
    <n v="165.05"/>
    <d v="2012-06-06T00:00:00"/>
    <n v="13134"/>
    <x v="97"/>
    <n v="4942"/>
    <n v="12537"/>
    <n v="1"/>
  </r>
  <r>
    <x v="0"/>
    <x v="2"/>
    <s v="Сахар песок фас.5кг :1"/>
    <n v="165.05"/>
    <d v="2012-06-07T00:00:00"/>
    <n v="12537"/>
    <x v="98"/>
    <n v="4686"/>
    <n v="16051"/>
    <n v="0"/>
  </r>
  <r>
    <x v="0"/>
    <x v="2"/>
    <s v="Сахар песок фас.5кг :1"/>
    <n v="165.05"/>
    <d v="2012-06-08T00:00:00"/>
    <n v="16051"/>
    <x v="99"/>
    <n v="5253"/>
    <n v="17686"/>
    <n v="0"/>
  </r>
  <r>
    <x v="0"/>
    <x v="2"/>
    <s v="Сахар песок фас.5кг :1"/>
    <n v="165.05"/>
    <d v="2012-06-09T00:00:00"/>
    <n v="17686"/>
    <x v="100"/>
    <n v="6052"/>
    <n v="15319"/>
    <n v="0"/>
  </r>
  <r>
    <x v="0"/>
    <x v="2"/>
    <s v="Сахар песок фас.5кг :1"/>
    <n v="165.05"/>
    <d v="2012-06-10T00:00:00"/>
    <n v="15319"/>
    <x v="101"/>
    <n v="5931"/>
    <n v="15040"/>
    <n v="0"/>
  </r>
  <r>
    <x v="0"/>
    <x v="2"/>
    <s v="Сахар песок фас.5кг :1"/>
    <n v="165.05"/>
    <d v="2012-06-11T00:00:00"/>
    <n v="15040"/>
    <x v="102"/>
    <n v="5568"/>
    <n v="14184"/>
    <n v="0"/>
  </r>
  <r>
    <x v="0"/>
    <x v="2"/>
    <s v="Сахар песок фас.5кг :1"/>
    <n v="165.05"/>
    <d v="2012-06-12T00:00:00"/>
    <n v="14184"/>
    <x v="103"/>
    <n v="4664"/>
    <n v="12432"/>
    <n v="0"/>
  </r>
  <r>
    <x v="0"/>
    <x v="2"/>
    <s v="Сахар песок фас.5кг :1"/>
    <n v="165.05"/>
    <d v="2012-06-13T00:00:00"/>
    <n v="12432"/>
    <x v="104"/>
    <n v="4252"/>
    <n v="16289"/>
    <n v="1"/>
  </r>
  <r>
    <x v="0"/>
    <x v="2"/>
    <s v="Сахар песок фас.5кг :1"/>
    <n v="165.05"/>
    <d v="2012-06-14T00:00:00"/>
    <n v="16289"/>
    <x v="105"/>
    <n v="4055"/>
    <n v="17994"/>
    <n v="0"/>
  </r>
  <r>
    <x v="0"/>
    <x v="2"/>
    <s v="Сахар песок фас.5кг :1"/>
    <n v="165.05"/>
    <d v="2012-06-15T00:00:00"/>
    <n v="17994"/>
    <x v="106"/>
    <n v="4461"/>
    <n v="18472"/>
    <n v="0"/>
  </r>
  <r>
    <x v="0"/>
    <x v="2"/>
    <s v="Сахар песок фас.5кг :1"/>
    <n v="165.05"/>
    <d v="2012-06-16T00:00:00"/>
    <n v="18472"/>
    <x v="107"/>
    <n v="5370"/>
    <n v="16959"/>
    <n v="0"/>
  </r>
  <r>
    <x v="0"/>
    <x v="2"/>
    <s v="Сахар песок фас.5кг :1"/>
    <n v="165.05"/>
    <d v="2012-06-17T00:00:00"/>
    <n v="16959"/>
    <x v="108"/>
    <n v="5583"/>
    <n v="15283"/>
    <n v="0"/>
  </r>
  <r>
    <x v="0"/>
    <x v="2"/>
    <s v="Сахар песок фас.5кг :1"/>
    <n v="165.05"/>
    <d v="2012-06-18T00:00:00"/>
    <n v="15283"/>
    <x v="109"/>
    <n v="4975"/>
    <n v="15834"/>
    <n v="0"/>
  </r>
  <r>
    <x v="0"/>
    <x v="2"/>
    <s v="Сахар песок фас.5кг :1"/>
    <n v="165.05"/>
    <d v="2012-06-19T00:00:00"/>
    <n v="15834"/>
    <x v="110"/>
    <n v="5006"/>
    <n v="17040"/>
    <n v="0"/>
  </r>
  <r>
    <x v="0"/>
    <x v="2"/>
    <s v="Сахар песок фас.5кг :1"/>
    <n v="165.05"/>
    <d v="2012-06-20T00:00:00"/>
    <n v="17040"/>
    <x v="111"/>
    <n v="4626"/>
    <n v="18382"/>
    <n v="0"/>
  </r>
  <r>
    <x v="0"/>
    <x v="2"/>
    <s v="Сахар песок фас.5кг :1"/>
    <n v="165.05"/>
    <d v="2012-06-21T00:00:00"/>
    <n v="18382"/>
    <x v="112"/>
    <n v="4095"/>
    <n v="20075"/>
    <n v="0"/>
  </r>
  <r>
    <x v="0"/>
    <x v="2"/>
    <s v="Сахар песок фас.5кг :1"/>
    <n v="165.05"/>
    <d v="2012-06-22T00:00:00"/>
    <n v="20075"/>
    <x v="113"/>
    <n v="4203"/>
    <n v="22621"/>
    <n v="1"/>
  </r>
  <r>
    <x v="0"/>
    <x v="2"/>
    <s v="Сахар песок фас.5кг :1"/>
    <n v="165.05"/>
    <d v="2012-06-23T00:00:00"/>
    <n v="22621"/>
    <x v="114"/>
    <n v="4762"/>
    <n v="22636"/>
    <n v="0"/>
  </r>
  <r>
    <x v="0"/>
    <x v="2"/>
    <s v="Сахар песок фас.5кг :1"/>
    <n v="165.05"/>
    <d v="2012-06-24T00:00:00"/>
    <n v="22636"/>
    <x v="115"/>
    <n v="4648"/>
    <n v="22151"/>
    <n v="0"/>
  </r>
  <r>
    <x v="0"/>
    <x v="2"/>
    <s v="Сахар песок фас.5кг :1"/>
    <n v="165.05"/>
    <d v="2012-06-25T00:00:00"/>
    <n v="22151"/>
    <x v="116"/>
    <n v="4188"/>
    <n v="22480"/>
    <n v="0"/>
  </r>
  <r>
    <x v="0"/>
    <x v="2"/>
    <s v="Сахар песок фас.5кг :1"/>
    <n v="165.05"/>
    <d v="2012-06-26T00:00:00"/>
    <n v="22480"/>
    <x v="117"/>
    <n v="4317"/>
    <n v="22395"/>
    <n v="0"/>
  </r>
  <r>
    <x v="0"/>
    <x v="2"/>
    <s v="Сахар песок фас.5кг :1"/>
    <n v="165.05"/>
    <d v="2012-06-27T00:00:00"/>
    <n v="22395"/>
    <x v="118"/>
    <n v="4595"/>
    <n v="20798"/>
    <n v="0"/>
  </r>
  <r>
    <x v="0"/>
    <x v="2"/>
    <s v="Сахар песок фас.5кг :1"/>
    <n v="165.05"/>
    <d v="2012-06-28T00:00:00"/>
    <n v="20798"/>
    <x v="119"/>
    <n v="4564"/>
    <n v="19759"/>
    <n v="2"/>
  </r>
  <r>
    <x v="0"/>
    <x v="2"/>
    <s v="Сахар песок фас.5кг :1"/>
    <n v="165.05"/>
    <d v="2012-06-29T00:00:00"/>
    <n v="19759"/>
    <x v="120"/>
    <n v="4745"/>
    <n v="19610"/>
    <n v="0"/>
  </r>
  <r>
    <x v="0"/>
    <x v="2"/>
    <s v="Сахар песок фас.5кг :1"/>
    <n v="165.05"/>
    <d v="2012-06-30T00:00:00"/>
    <n v="19610"/>
    <x v="121"/>
    <n v="5713"/>
    <n v="18863"/>
    <n v="0"/>
  </r>
  <r>
    <x v="0"/>
    <x v="2"/>
    <s v="Сахар песок фас.5кг :1"/>
    <n v="165.05"/>
    <d v="2012-07-01T00:00:00"/>
    <n v="18863"/>
    <x v="122"/>
    <n v="5114"/>
    <n v="19307"/>
    <n v="0"/>
  </r>
  <r>
    <x v="0"/>
    <x v="2"/>
    <s v="Сахар песок фас.5кг :1"/>
    <n v="165.05"/>
    <d v="2012-07-02T00:00:00"/>
    <n v="19307"/>
    <x v="123"/>
    <n v="4609"/>
    <n v="20626"/>
    <n v="0"/>
  </r>
  <r>
    <x v="0"/>
    <x v="2"/>
    <s v="Сахар песок фас.5кг :1"/>
    <n v="165.05"/>
    <d v="2012-07-03T00:00:00"/>
    <n v="20626"/>
    <x v="124"/>
    <n v="4527"/>
    <n v="21392"/>
    <n v="0"/>
  </r>
  <r>
    <x v="0"/>
    <x v="2"/>
    <s v="Сахар песок фас.5кг :1"/>
    <n v="165.05"/>
    <d v="2012-07-04T00:00:00"/>
    <n v="21392"/>
    <x v="125"/>
    <n v="4501"/>
    <n v="21656"/>
    <n v="0"/>
  </r>
  <r>
    <x v="0"/>
    <x v="2"/>
    <s v="Сахар песок фас.5кг :1"/>
    <n v="165.05"/>
    <d v="2012-07-05T00:00:00"/>
    <n v="21656"/>
    <x v="126"/>
    <n v="4222"/>
    <n v="22238"/>
    <n v="0"/>
  </r>
  <r>
    <x v="0"/>
    <x v="2"/>
    <s v="Сахар песок фас.5кг :1"/>
    <n v="165.05"/>
    <d v="2012-07-06T00:00:00"/>
    <n v="22238"/>
    <x v="127"/>
    <n v="3833"/>
    <n v="22555"/>
    <n v="0"/>
  </r>
  <r>
    <x v="0"/>
    <x v="2"/>
    <s v="Сахар песок фас.5кг :1"/>
    <n v="165.05"/>
    <d v="2012-07-07T00:00:00"/>
    <n v="22555"/>
    <x v="128"/>
    <n v="4348"/>
    <n v="22410"/>
    <n v="0"/>
  </r>
  <r>
    <x v="0"/>
    <x v="2"/>
    <s v="Сахар песок фас.5кг :1"/>
    <n v="165.05"/>
    <d v="2012-07-08T00:00:00"/>
    <n v="22410"/>
    <x v="129"/>
    <n v="3873"/>
    <n v="22239"/>
    <n v="0"/>
  </r>
  <r>
    <x v="0"/>
    <x v="2"/>
    <s v="Сахар песок фас.5кг :1"/>
    <n v="165.05"/>
    <d v="2012-07-09T00:00:00"/>
    <n v="22239"/>
    <x v="130"/>
    <n v="3682"/>
    <n v="21228"/>
    <n v="0"/>
  </r>
  <r>
    <x v="0"/>
    <x v="2"/>
    <s v="Сахар песок фас.5кг :1"/>
    <n v="165.05"/>
    <d v="2012-07-10T00:00:00"/>
    <n v="21228"/>
    <x v="131"/>
    <n v="3281"/>
    <n v="20867"/>
    <n v="0"/>
  </r>
  <r>
    <x v="0"/>
    <x v="2"/>
    <s v="Сахар песок фас.5кг :1"/>
    <n v="165.05"/>
    <d v="2012-07-11T00:00:00"/>
    <n v="20867"/>
    <x v="132"/>
    <n v="3308"/>
    <n v="20089"/>
    <n v="0"/>
  </r>
  <r>
    <x v="0"/>
    <x v="2"/>
    <s v="Сахар песок фас.5кг :1"/>
    <n v="165.05"/>
    <d v="2012-07-12T00:00:00"/>
    <n v="20089"/>
    <x v="133"/>
    <n v="3087"/>
    <n v="19431"/>
    <n v="0"/>
  </r>
  <r>
    <x v="0"/>
    <x v="2"/>
    <s v="Сахар песок фас.5кг :1"/>
    <n v="165.05"/>
    <d v="2012-07-13T00:00:00"/>
    <n v="19431"/>
    <x v="134"/>
    <n v="3120"/>
    <n v="18533"/>
    <n v="0"/>
  </r>
  <r>
    <x v="0"/>
    <x v="2"/>
    <s v="Сахар песок фас.5кг :1"/>
    <n v="165.05"/>
    <d v="2012-07-14T00:00:00"/>
    <n v="18533"/>
    <x v="135"/>
    <n v="3230"/>
    <n v="17801"/>
    <n v="0"/>
  </r>
  <r>
    <x v="0"/>
    <x v="2"/>
    <s v="Сахар песок фас.5кг :1"/>
    <n v="165.05"/>
    <d v="2012-07-15T00:00:00"/>
    <n v="17801"/>
    <x v="136"/>
    <n v="2896"/>
    <n v="17355"/>
    <n v="0"/>
  </r>
  <r>
    <x v="0"/>
    <x v="2"/>
    <s v="Сахар песок фас.5кг :1"/>
    <n v="165.05"/>
    <d v="2012-07-16T00:00:00"/>
    <n v="17355"/>
    <x v="137"/>
    <n v="2442"/>
    <n v="17125"/>
    <n v="0"/>
  </r>
  <r>
    <x v="0"/>
    <x v="2"/>
    <s v="Сахар песок фас.5кг :1"/>
    <n v="165.05"/>
    <d v="2012-07-17T00:00:00"/>
    <n v="17125"/>
    <x v="138"/>
    <n v="2456"/>
    <n v="16759"/>
    <n v="0"/>
  </r>
  <r>
    <x v="1"/>
    <x v="1"/>
    <s v="Сахар песок фас.1кг:6"/>
    <n v="33.659999999999997"/>
    <d v="2012-06-01T00:00:00"/>
    <n v="68163"/>
    <x v="139"/>
    <n v="10997"/>
    <n v="68377"/>
    <n v="1"/>
  </r>
  <r>
    <x v="1"/>
    <x v="1"/>
    <s v="Сахар песок фас.1кг:6"/>
    <n v="33.659999999999997"/>
    <d v="2012-06-02T00:00:00"/>
    <n v="68377"/>
    <x v="140"/>
    <n v="11060"/>
    <n v="69262"/>
    <n v="0"/>
  </r>
  <r>
    <x v="1"/>
    <x v="1"/>
    <s v="Сахар песок фас.1кг:6"/>
    <n v="33.659999999999997"/>
    <d v="2012-06-03T00:00:00"/>
    <n v="69262"/>
    <x v="141"/>
    <n v="10957"/>
    <n v="71564"/>
    <n v="0"/>
  </r>
  <r>
    <x v="1"/>
    <x v="1"/>
    <s v="Сахар песок фас.1кг:6"/>
    <n v="33.659999999999997"/>
    <d v="2012-06-04T00:00:00"/>
    <n v="71564"/>
    <x v="142"/>
    <n v="11157"/>
    <n v="72489"/>
    <n v="0"/>
  </r>
  <r>
    <x v="1"/>
    <x v="1"/>
    <s v="Сахар песок фас.1кг:6"/>
    <n v="33.659999999999997"/>
    <d v="2012-06-05T00:00:00"/>
    <n v="72489"/>
    <x v="143"/>
    <n v="11076"/>
    <n v="72947"/>
    <n v="0"/>
  </r>
  <r>
    <x v="1"/>
    <x v="1"/>
    <s v="Сахар песок фас.1кг:6"/>
    <n v="33.659999999999997"/>
    <d v="2012-06-06T00:00:00"/>
    <n v="72947"/>
    <x v="144"/>
    <n v="11289"/>
    <n v="76030"/>
    <n v="0"/>
  </r>
  <r>
    <x v="1"/>
    <x v="1"/>
    <s v="Сахар песок фас.1кг:6"/>
    <n v="33.659999999999997"/>
    <d v="2012-06-07T00:00:00"/>
    <n v="76030"/>
    <x v="145"/>
    <n v="12219"/>
    <n v="77034"/>
    <n v="1"/>
  </r>
  <r>
    <x v="1"/>
    <x v="1"/>
    <s v="Сахар песок фас.1кг:6"/>
    <n v="33.659999999999997"/>
    <d v="2012-06-08T00:00:00"/>
    <n v="77034"/>
    <x v="146"/>
    <n v="13228"/>
    <n v="75797"/>
    <n v="0"/>
  </r>
  <r>
    <x v="1"/>
    <x v="1"/>
    <s v="Сахар песок фас.1кг:6"/>
    <n v="33.659999999999997"/>
    <d v="2012-06-09T00:00:00"/>
    <n v="75797"/>
    <x v="147"/>
    <n v="12075"/>
    <n v="77274"/>
    <n v="0"/>
  </r>
  <r>
    <x v="1"/>
    <x v="1"/>
    <s v="Сахар песок фас.1кг:6"/>
    <n v="33.659999999999997"/>
    <d v="2012-06-10T00:00:00"/>
    <n v="77274"/>
    <x v="148"/>
    <n v="10347"/>
    <n v="80104"/>
    <n v="0"/>
  </r>
  <r>
    <x v="1"/>
    <x v="1"/>
    <s v="Сахар песок фас.1кг:6"/>
    <n v="33.659999999999997"/>
    <d v="2012-06-11T00:00:00"/>
    <n v="80104"/>
    <x v="149"/>
    <n v="9538"/>
    <n v="80354"/>
    <n v="0"/>
  </r>
  <r>
    <x v="1"/>
    <x v="1"/>
    <s v="Сахар песок фас.1кг:6"/>
    <n v="33.659999999999997"/>
    <d v="2012-06-12T00:00:00"/>
    <n v="80354"/>
    <x v="150"/>
    <n v="8811"/>
    <n v="80834"/>
    <n v="0"/>
  </r>
  <r>
    <x v="1"/>
    <x v="1"/>
    <s v="Сахар песок фас.1кг:6"/>
    <n v="33.659999999999997"/>
    <d v="2012-06-13T00:00:00"/>
    <n v="80834"/>
    <x v="151"/>
    <n v="10275"/>
    <n v="80439"/>
    <n v="0"/>
  </r>
  <r>
    <x v="1"/>
    <x v="1"/>
    <s v="Сахар песок фас.1кг:6"/>
    <n v="33.659999999999997"/>
    <d v="2012-06-14T00:00:00"/>
    <n v="80439"/>
    <x v="152"/>
    <n v="10292"/>
    <n v="78441"/>
    <n v="0"/>
  </r>
  <r>
    <x v="1"/>
    <x v="1"/>
    <s v="Сахар песок фас.1кг:6"/>
    <n v="33.659999999999997"/>
    <d v="2012-06-15T00:00:00"/>
    <n v="78441"/>
    <x v="153"/>
    <n v="10745"/>
    <n v="77575"/>
    <n v="0"/>
  </r>
  <r>
    <x v="1"/>
    <x v="1"/>
    <s v="Сахар песок фас.1кг:6"/>
    <n v="33.659999999999997"/>
    <d v="2012-06-16T00:00:00"/>
    <n v="77575"/>
    <x v="154"/>
    <n v="9659"/>
    <n v="76896"/>
    <n v="0"/>
  </r>
  <r>
    <x v="1"/>
    <x v="1"/>
    <s v="Сахар песок фас.1кг:6"/>
    <n v="33.659999999999997"/>
    <d v="2012-06-17T00:00:00"/>
    <n v="76896"/>
    <x v="155"/>
    <n v="9522"/>
    <n v="75726"/>
    <n v="1"/>
  </r>
  <r>
    <x v="1"/>
    <x v="1"/>
    <s v="Сахар песок фас.1кг:6"/>
    <n v="33.659999999999997"/>
    <d v="2012-06-18T00:00:00"/>
    <n v="75726"/>
    <x v="156"/>
    <n v="10828"/>
    <n v="77222"/>
    <n v="0"/>
  </r>
  <r>
    <x v="1"/>
    <x v="1"/>
    <s v="Сахар песок фас.1кг:6"/>
    <n v="33.659999999999997"/>
    <d v="2012-06-19T00:00:00"/>
    <n v="77222"/>
    <x v="157"/>
    <n v="10728"/>
    <n v="76945"/>
    <n v="0"/>
  </r>
  <r>
    <x v="1"/>
    <x v="1"/>
    <s v="Сахар песок фас.1кг:6"/>
    <n v="33.659999999999997"/>
    <d v="2012-06-20T00:00:00"/>
    <n v="76945"/>
    <x v="158"/>
    <n v="11239"/>
    <n v="76031"/>
    <n v="1"/>
  </r>
  <r>
    <x v="1"/>
    <x v="1"/>
    <s v="Сахар песок фас.1кг:6"/>
    <n v="33.659999999999997"/>
    <d v="2012-06-21T00:00:00"/>
    <n v="76031"/>
    <x v="159"/>
    <n v="11449"/>
    <n v="76747"/>
    <n v="0"/>
  </r>
  <r>
    <x v="1"/>
    <x v="1"/>
    <s v="Сахар песок фас.1кг:6"/>
    <n v="33.659999999999997"/>
    <d v="2012-06-22T00:00:00"/>
    <n v="76747"/>
    <x v="160"/>
    <n v="12505"/>
    <n v="75325"/>
    <n v="0"/>
  </r>
  <r>
    <x v="1"/>
    <x v="1"/>
    <s v="Сахар песок фас.1кг:6"/>
    <n v="33.659999999999997"/>
    <d v="2012-06-23T00:00:00"/>
    <n v="75325"/>
    <x v="161"/>
    <n v="13236"/>
    <n v="73223"/>
    <n v="0"/>
  </r>
  <r>
    <x v="1"/>
    <x v="1"/>
    <s v="Сахар песок фас.1кг:6"/>
    <n v="33.659999999999997"/>
    <d v="2012-06-24T00:00:00"/>
    <n v="73223"/>
    <x v="162"/>
    <n v="14628"/>
    <n v="72180"/>
    <n v="0"/>
  </r>
  <r>
    <x v="1"/>
    <x v="1"/>
    <s v="Сахар песок фас.1кг:6"/>
    <n v="33.659999999999997"/>
    <d v="2012-06-25T00:00:00"/>
    <n v="72180"/>
    <x v="163"/>
    <n v="15511"/>
    <n v="71012"/>
    <n v="0"/>
  </r>
  <r>
    <x v="1"/>
    <x v="1"/>
    <s v="Сахар песок фас.1кг:6"/>
    <n v="33.659999999999997"/>
    <d v="2012-06-26T00:00:00"/>
    <n v="71012"/>
    <x v="164"/>
    <n v="14829"/>
    <n v="73963"/>
    <n v="0"/>
  </r>
  <r>
    <x v="1"/>
    <x v="1"/>
    <s v="Сахар песок фас.1кг:6"/>
    <n v="33.659999999999997"/>
    <d v="2012-06-27T00:00:00"/>
    <n v="73963"/>
    <x v="165"/>
    <n v="16322"/>
    <n v="78723"/>
    <n v="1"/>
  </r>
  <r>
    <x v="1"/>
    <x v="1"/>
    <s v="Сахар песок фас.1кг:6"/>
    <n v="33.659999999999997"/>
    <d v="2012-06-28T00:00:00"/>
    <n v="78723"/>
    <x v="166"/>
    <n v="17406"/>
    <n v="80582"/>
    <n v="0"/>
  </r>
  <r>
    <x v="1"/>
    <x v="1"/>
    <s v="Сахар песок фас.1кг:6"/>
    <n v="33.659999999999997"/>
    <d v="2012-06-29T00:00:00"/>
    <n v="80582"/>
    <x v="167"/>
    <n v="19856"/>
    <n v="83485"/>
    <n v="3"/>
  </r>
  <r>
    <x v="1"/>
    <x v="1"/>
    <s v="Сахар песок фас.1кг:6"/>
    <n v="33.659999999999997"/>
    <d v="2012-06-30T00:00:00"/>
    <n v="83485"/>
    <x v="168"/>
    <n v="20028"/>
    <n v="87048"/>
    <n v="3"/>
  </r>
  <r>
    <x v="1"/>
    <x v="1"/>
    <s v="Сахар песок фас.1кг:6"/>
    <n v="33.659999999999997"/>
    <d v="2012-07-01T00:00:00"/>
    <n v="87048"/>
    <x v="169"/>
    <n v="19414"/>
    <n v="93396"/>
    <n v="1"/>
  </r>
  <r>
    <x v="1"/>
    <x v="1"/>
    <s v="Сахар песок фас.1кг:6"/>
    <n v="33.659999999999997"/>
    <d v="2012-07-02T00:00:00"/>
    <n v="93396"/>
    <x v="170"/>
    <n v="20224"/>
    <n v="103191"/>
    <n v="1"/>
  </r>
  <r>
    <x v="1"/>
    <x v="1"/>
    <s v="Сахар песок фас.1кг:6"/>
    <n v="33.659999999999997"/>
    <d v="2012-07-03T00:00:00"/>
    <n v="103191"/>
    <x v="171"/>
    <n v="20648"/>
    <n v="105190"/>
    <n v="0"/>
  </r>
  <r>
    <x v="1"/>
    <x v="1"/>
    <s v="Сахар песок фас.1кг:6"/>
    <n v="33.659999999999997"/>
    <d v="2012-07-04T00:00:00"/>
    <n v="105190"/>
    <x v="172"/>
    <n v="21492"/>
    <n v="109247"/>
    <n v="0"/>
  </r>
  <r>
    <x v="1"/>
    <x v="1"/>
    <s v="Сахар песок фас.1кг:6"/>
    <n v="33.659999999999997"/>
    <d v="2012-07-05T00:00:00"/>
    <n v="109247"/>
    <x v="173"/>
    <n v="23787"/>
    <n v="117939"/>
    <n v="0"/>
  </r>
  <r>
    <x v="1"/>
    <x v="1"/>
    <s v="Сахар песок фас.1кг:6"/>
    <n v="33.659999999999997"/>
    <d v="2012-07-06T00:00:00"/>
    <n v="117939"/>
    <x v="174"/>
    <n v="21956"/>
    <n v="117251"/>
    <n v="0"/>
  </r>
  <r>
    <x v="1"/>
    <x v="1"/>
    <s v="Сахар песок фас.1кг:6"/>
    <n v="33.659999999999997"/>
    <d v="2012-07-07T00:00:00"/>
    <n v="117251"/>
    <x v="175"/>
    <n v="24310"/>
    <n v="120201"/>
    <n v="1"/>
  </r>
  <r>
    <x v="1"/>
    <x v="1"/>
    <s v="Сахар песок фас.1кг:6"/>
    <n v="33.659999999999997"/>
    <d v="2012-07-08T00:00:00"/>
    <n v="120201"/>
    <x v="176"/>
    <n v="26684"/>
    <n v="122478"/>
    <n v="0"/>
  </r>
  <r>
    <x v="1"/>
    <x v="1"/>
    <s v="Сахар песок фас.1кг:6"/>
    <n v="33.659999999999997"/>
    <d v="2012-07-09T00:00:00"/>
    <n v="122478"/>
    <x v="177"/>
    <n v="23221"/>
    <n v="135120"/>
    <n v="1"/>
  </r>
  <r>
    <x v="1"/>
    <x v="1"/>
    <s v="Сахар песок фас.1кг:6"/>
    <n v="33.659999999999997"/>
    <d v="2012-07-10T00:00:00"/>
    <n v="135120"/>
    <x v="178"/>
    <n v="25684"/>
    <n v="137974"/>
    <n v="0"/>
  </r>
  <r>
    <x v="1"/>
    <x v="1"/>
    <s v="Сахар песок фас.1кг:6"/>
    <n v="33.659999999999997"/>
    <d v="2012-07-11T00:00:00"/>
    <n v="137974"/>
    <x v="179"/>
    <n v="28369"/>
    <n v="143325"/>
    <n v="0"/>
  </r>
  <r>
    <x v="1"/>
    <x v="1"/>
    <s v="Сахар песок фас.1кг:6"/>
    <n v="33.659999999999997"/>
    <d v="2012-07-12T00:00:00"/>
    <n v="143325"/>
    <x v="180"/>
    <n v="27699"/>
    <n v="143220"/>
    <n v="0"/>
  </r>
  <r>
    <x v="1"/>
    <x v="1"/>
    <s v="Сахар песок фас.1кг:6"/>
    <n v="33.659999999999997"/>
    <d v="2012-07-13T00:00:00"/>
    <n v="143220"/>
    <x v="181"/>
    <n v="25807"/>
    <n v="156231"/>
    <n v="0"/>
  </r>
  <r>
    <x v="1"/>
    <x v="1"/>
    <s v="Сахар песок фас.1кг:6"/>
    <n v="33.659999999999997"/>
    <d v="2012-07-14T00:00:00"/>
    <n v="156231"/>
    <x v="182"/>
    <n v="21026"/>
    <n v="161728"/>
    <n v="0"/>
  </r>
  <r>
    <x v="1"/>
    <x v="1"/>
    <s v="Сахар песок фас.1кг:6"/>
    <n v="33.659999999999997"/>
    <d v="2012-07-15T00:00:00"/>
    <n v="161728"/>
    <x v="183"/>
    <n v="16940"/>
    <n v="164930"/>
    <n v="4"/>
  </r>
  <r>
    <x v="1"/>
    <x v="1"/>
    <s v="Сахар песок фас.1кг:6"/>
    <n v="33.659999999999997"/>
    <d v="2012-07-16T00:00:00"/>
    <n v="164930"/>
    <x v="184"/>
    <n v="16875"/>
    <n v="166228"/>
    <n v="1"/>
  </r>
  <r>
    <x v="1"/>
    <x v="1"/>
    <s v="Сахар песок фас.1кг:6"/>
    <n v="33.659999999999997"/>
    <d v="2012-07-17T00:00:00"/>
    <n v="166228"/>
    <x v="185"/>
    <n v="15376"/>
    <n v="177598"/>
    <n v="1"/>
  </r>
  <r>
    <x v="1"/>
    <x v="2"/>
    <s v="Сахар песок фас.5кг :1"/>
    <n v="165.05"/>
    <d v="2012-06-01T00:00:00"/>
    <n v="9078"/>
    <x v="186"/>
    <n v="2027"/>
    <n v="8701"/>
    <n v="0"/>
  </r>
  <r>
    <x v="1"/>
    <x v="2"/>
    <s v="Сахар песок фас.5кг :1"/>
    <n v="165.05"/>
    <d v="2012-06-02T00:00:00"/>
    <n v="8701"/>
    <x v="187"/>
    <n v="2444"/>
    <n v="8318"/>
    <n v="0"/>
  </r>
  <r>
    <x v="1"/>
    <x v="2"/>
    <s v="Сахар песок фас.5кг :1"/>
    <n v="165.05"/>
    <d v="2012-06-03T00:00:00"/>
    <n v="8318"/>
    <x v="188"/>
    <n v="2101"/>
    <n v="8990"/>
    <n v="0"/>
  </r>
  <r>
    <x v="1"/>
    <x v="2"/>
    <s v="Сахар песок фас.5кг :1"/>
    <n v="165.05"/>
    <d v="2012-06-04T00:00:00"/>
    <n v="8990"/>
    <x v="189"/>
    <n v="2175"/>
    <n v="9452"/>
    <n v="0"/>
  </r>
  <r>
    <x v="1"/>
    <x v="2"/>
    <s v="Сахар песок фас.5кг :1"/>
    <n v="165.05"/>
    <d v="2012-06-05T00:00:00"/>
    <n v="9452"/>
    <x v="190"/>
    <n v="2239"/>
    <n v="9482"/>
    <n v="0"/>
  </r>
  <r>
    <x v="1"/>
    <x v="2"/>
    <s v="Сахар песок фас.5кг :1"/>
    <n v="165.05"/>
    <d v="2012-06-06T00:00:00"/>
    <n v="9482"/>
    <x v="191"/>
    <n v="2333"/>
    <n v="10021"/>
    <n v="0"/>
  </r>
  <r>
    <x v="1"/>
    <x v="2"/>
    <s v="Сахар песок фас.5кг :1"/>
    <n v="165.05"/>
    <d v="2012-06-07T00:00:00"/>
    <n v="10021"/>
    <x v="192"/>
    <n v="2544"/>
    <n v="10161"/>
    <n v="0"/>
  </r>
  <r>
    <x v="1"/>
    <x v="2"/>
    <s v="Сахар песок фас.5кг :1"/>
    <n v="165.05"/>
    <d v="2012-06-08T00:00:00"/>
    <n v="10161"/>
    <x v="193"/>
    <n v="2480"/>
    <n v="10326"/>
    <n v="0"/>
  </r>
  <r>
    <x v="1"/>
    <x v="2"/>
    <s v="Сахар песок фас.5кг :1"/>
    <n v="165.05"/>
    <d v="2012-06-09T00:00:00"/>
    <n v="10326"/>
    <x v="194"/>
    <n v="3026"/>
    <n v="10482"/>
    <n v="0"/>
  </r>
  <r>
    <x v="1"/>
    <x v="2"/>
    <s v="Сахар песок фас.5кг :1"/>
    <n v="165.05"/>
    <d v="2012-06-10T00:00:00"/>
    <n v="10482"/>
    <x v="195"/>
    <n v="2725"/>
    <n v="10024"/>
    <n v="0"/>
  </r>
  <r>
    <x v="1"/>
    <x v="2"/>
    <s v="Сахар песок фас.5кг :1"/>
    <n v="165.05"/>
    <d v="2012-06-11T00:00:00"/>
    <n v="10024"/>
    <x v="196"/>
    <n v="2226"/>
    <n v="10270"/>
    <n v="0"/>
  </r>
  <r>
    <x v="1"/>
    <x v="2"/>
    <s v="Сахар песок фас.5кг :1"/>
    <n v="165.05"/>
    <d v="2012-06-12T00:00:00"/>
    <n v="10270"/>
    <x v="197"/>
    <n v="1944"/>
    <n v="10708"/>
    <n v="0"/>
  </r>
  <r>
    <x v="1"/>
    <x v="2"/>
    <s v="Сахар песок фас.5кг :1"/>
    <n v="165.05"/>
    <d v="2012-06-13T00:00:00"/>
    <n v="10708"/>
    <x v="198"/>
    <n v="2012"/>
    <n v="10761"/>
    <n v="0"/>
  </r>
  <r>
    <x v="1"/>
    <x v="2"/>
    <s v="Сахар песок фас.5кг :1"/>
    <n v="165.05"/>
    <d v="2012-06-14T00:00:00"/>
    <n v="10761"/>
    <x v="199"/>
    <n v="2133"/>
    <n v="10607"/>
    <n v="0"/>
  </r>
  <r>
    <x v="1"/>
    <x v="2"/>
    <s v="Сахар песок фас.5кг :1"/>
    <n v="165.05"/>
    <d v="2012-06-15T00:00:00"/>
    <n v="10607"/>
    <x v="200"/>
    <n v="2313"/>
    <n v="10355"/>
    <n v="0"/>
  </r>
  <r>
    <x v="1"/>
    <x v="2"/>
    <s v="Сахар песок фас.5кг :1"/>
    <n v="165.05"/>
    <d v="2012-06-16T00:00:00"/>
    <n v="10355"/>
    <x v="201"/>
    <n v="2672"/>
    <n v="9682"/>
    <n v="0"/>
  </r>
  <r>
    <x v="1"/>
    <x v="2"/>
    <s v="Сахар песок фас.5кг :1"/>
    <n v="165.05"/>
    <d v="2012-06-17T00:00:00"/>
    <n v="9682"/>
    <x v="202"/>
    <n v="2341"/>
    <n v="9630"/>
    <n v="0"/>
  </r>
  <r>
    <x v="1"/>
    <x v="2"/>
    <s v="Сахар песок фас.5кг :1"/>
    <n v="165.05"/>
    <d v="2012-06-18T00:00:00"/>
    <n v="9630"/>
    <x v="203"/>
    <n v="2309"/>
    <n v="10376"/>
    <n v="0"/>
  </r>
  <r>
    <x v="1"/>
    <x v="2"/>
    <s v="Сахар песок фас.5кг :1"/>
    <n v="165.05"/>
    <d v="2012-06-19T00:00:00"/>
    <n v="10376"/>
    <x v="204"/>
    <n v="2448"/>
    <n v="10903"/>
    <n v="0"/>
  </r>
  <r>
    <x v="1"/>
    <x v="2"/>
    <s v="Сахар песок фас.5кг :1"/>
    <n v="165.05"/>
    <d v="2012-06-20T00:00:00"/>
    <n v="10903"/>
    <x v="205"/>
    <n v="2612"/>
    <n v="10826"/>
    <n v="0"/>
  </r>
  <r>
    <x v="1"/>
    <x v="2"/>
    <s v="Сахар песок фас.5кг :1"/>
    <n v="165.05"/>
    <d v="2012-06-21T00:00:00"/>
    <n v="10826"/>
    <x v="206"/>
    <n v="2803"/>
    <n v="10677"/>
    <n v="0"/>
  </r>
  <r>
    <x v="1"/>
    <x v="2"/>
    <s v="Сахар песок фас.5кг :1"/>
    <n v="165.05"/>
    <d v="2012-06-22T00:00:00"/>
    <n v="10677"/>
    <x v="207"/>
    <n v="3197"/>
    <n v="10629"/>
    <n v="1"/>
  </r>
  <r>
    <x v="1"/>
    <x v="2"/>
    <s v="Сахар песок фас.5кг :1"/>
    <n v="165.05"/>
    <d v="2012-06-23T00:00:00"/>
    <n v="10629"/>
    <x v="208"/>
    <n v="3192"/>
    <n v="10554"/>
    <n v="0"/>
  </r>
  <r>
    <x v="1"/>
    <x v="2"/>
    <s v="Сахар песок фас.5кг :1"/>
    <n v="165.05"/>
    <d v="2012-06-24T00:00:00"/>
    <n v="10554"/>
    <x v="209"/>
    <n v="3437"/>
    <n v="11428"/>
    <n v="0"/>
  </r>
  <r>
    <x v="1"/>
    <x v="2"/>
    <s v="Сахар песок фас.5кг :1"/>
    <n v="165.05"/>
    <d v="2012-06-25T00:00:00"/>
    <n v="11428"/>
    <x v="210"/>
    <n v="2958"/>
    <n v="12201"/>
    <n v="0"/>
  </r>
  <r>
    <x v="1"/>
    <x v="2"/>
    <s v="Сахар песок фас.5кг :1"/>
    <n v="165.05"/>
    <d v="2012-06-26T00:00:00"/>
    <n v="12201"/>
    <x v="211"/>
    <n v="3196"/>
    <n v="12935"/>
    <n v="0"/>
  </r>
  <r>
    <x v="1"/>
    <x v="2"/>
    <s v="Сахар песок фас.5кг :1"/>
    <n v="165.05"/>
    <d v="2012-06-27T00:00:00"/>
    <n v="12935"/>
    <x v="212"/>
    <n v="3655"/>
    <n v="11912"/>
    <n v="0"/>
  </r>
  <r>
    <x v="1"/>
    <x v="2"/>
    <s v="Сахар песок фас.5кг :1"/>
    <n v="165.05"/>
    <d v="2012-06-28T00:00:00"/>
    <n v="11912"/>
    <x v="213"/>
    <n v="3443"/>
    <n v="8321"/>
    <n v="0"/>
  </r>
  <r>
    <x v="1"/>
    <x v="2"/>
    <s v="Сахар песок фас.5кг :1"/>
    <n v="165.05"/>
    <d v="2012-06-29T00:00:00"/>
    <n v="8321"/>
    <x v="214"/>
    <n v="3854"/>
    <n v="11176"/>
    <n v="1"/>
  </r>
  <r>
    <x v="1"/>
    <x v="2"/>
    <s v="Сахар песок фас.5кг :1"/>
    <n v="165.05"/>
    <d v="2012-06-30T00:00:00"/>
    <n v="11176"/>
    <x v="215"/>
    <n v="4921"/>
    <n v="12883"/>
    <n v="4"/>
  </r>
  <r>
    <x v="1"/>
    <x v="2"/>
    <s v="Сахар песок фас.5кг :1"/>
    <n v="165.05"/>
    <d v="2012-07-01T00:00:00"/>
    <n v="12883"/>
    <x v="216"/>
    <n v="4527"/>
    <n v="9403"/>
    <n v="0"/>
  </r>
  <r>
    <x v="1"/>
    <x v="2"/>
    <s v="Сахар песок фас.5кг :1"/>
    <n v="165.05"/>
    <d v="2012-07-02T00:00:00"/>
    <n v="9403"/>
    <x v="217"/>
    <n v="3714"/>
    <n v="12486"/>
    <n v="0"/>
  </r>
  <r>
    <x v="1"/>
    <x v="2"/>
    <s v="Сахар песок фас.5кг :1"/>
    <n v="165.05"/>
    <d v="2012-07-03T00:00:00"/>
    <n v="12486"/>
    <x v="218"/>
    <n v="4179"/>
    <n v="10941"/>
    <n v="0"/>
  </r>
  <r>
    <x v="1"/>
    <x v="2"/>
    <s v="Сахар песок фас.5кг :1"/>
    <n v="165.05"/>
    <d v="2012-07-04T00:00:00"/>
    <n v="10941"/>
    <x v="219"/>
    <n v="4245"/>
    <n v="13787"/>
    <n v="0"/>
  </r>
  <r>
    <x v="1"/>
    <x v="2"/>
    <s v="Сахар песок фас.5кг :1"/>
    <n v="165.05"/>
    <d v="2012-07-05T00:00:00"/>
    <n v="13787"/>
    <x v="220"/>
    <n v="4595"/>
    <n v="12482"/>
    <n v="0"/>
  </r>
  <r>
    <x v="1"/>
    <x v="2"/>
    <s v="Сахар песок фас.5кг :1"/>
    <n v="165.05"/>
    <d v="2012-07-06T00:00:00"/>
    <n v="12482"/>
    <x v="221"/>
    <n v="5401"/>
    <n v="10389"/>
    <n v="0"/>
  </r>
  <r>
    <x v="1"/>
    <x v="2"/>
    <s v="Сахар песок фас.5кг :1"/>
    <n v="165.05"/>
    <d v="2012-07-07T00:00:00"/>
    <n v="10389"/>
    <x v="0"/>
    <n v="5293"/>
    <n v="5017"/>
    <n v="2"/>
  </r>
  <r>
    <x v="1"/>
    <x v="2"/>
    <s v="Сахар песок фас.5кг :1"/>
    <n v="165.05"/>
    <d v="2012-07-08T00:00:00"/>
    <n v="5017"/>
    <x v="222"/>
    <n v="3713"/>
    <n v="7878"/>
    <n v="0"/>
  </r>
  <r>
    <x v="1"/>
    <x v="2"/>
    <s v="Сахар песок фас.5кг :1"/>
    <n v="165.05"/>
    <d v="2012-07-09T00:00:00"/>
    <n v="7878"/>
    <x v="223"/>
    <n v="4477"/>
    <n v="6583"/>
    <n v="0"/>
  </r>
  <r>
    <x v="1"/>
    <x v="2"/>
    <s v="Сахар песок фас.5кг :1"/>
    <n v="165.05"/>
    <d v="2012-07-10T00:00:00"/>
    <n v="6583"/>
    <x v="224"/>
    <n v="4147"/>
    <n v="5669"/>
    <n v="0"/>
  </r>
  <r>
    <x v="1"/>
    <x v="2"/>
    <s v="Сахар песок фас.5кг :1"/>
    <n v="165.05"/>
    <d v="2012-07-11T00:00:00"/>
    <n v="5669"/>
    <x v="32"/>
    <n v="3420"/>
    <n v="2214"/>
    <n v="0"/>
  </r>
  <r>
    <x v="1"/>
    <x v="2"/>
    <s v="Сахар песок фас.5кг :1"/>
    <n v="165.05"/>
    <d v="2012-07-12T00:00:00"/>
    <n v="2214"/>
    <x v="225"/>
    <n v="3019"/>
    <n v="15955"/>
    <n v="0"/>
  </r>
  <r>
    <x v="1"/>
    <x v="2"/>
    <s v="Сахар песок фас.5кг :1"/>
    <n v="165.05"/>
    <d v="2012-07-13T00:00:00"/>
    <n v="15955"/>
    <x v="226"/>
    <n v="5179"/>
    <n v="17495"/>
    <n v="0"/>
  </r>
  <r>
    <x v="1"/>
    <x v="2"/>
    <s v="Сахар песок фас.5кг :1"/>
    <n v="165.05"/>
    <d v="2012-07-14T00:00:00"/>
    <n v="17495"/>
    <x v="227"/>
    <n v="6854"/>
    <n v="17610"/>
    <n v="0"/>
  </r>
  <r>
    <x v="1"/>
    <x v="2"/>
    <s v="Сахар песок фас.5кг :1"/>
    <n v="165.05"/>
    <d v="2012-07-15T00:00:00"/>
    <n v="17610"/>
    <x v="228"/>
    <n v="6074"/>
    <n v="17804"/>
    <n v="0"/>
  </r>
  <r>
    <x v="1"/>
    <x v="2"/>
    <s v="Сахар песок фас.5кг :1"/>
    <n v="165.05"/>
    <d v="2012-07-16T00:00:00"/>
    <n v="17804"/>
    <x v="229"/>
    <n v="5562"/>
    <n v="21613"/>
    <n v="0"/>
  </r>
  <r>
    <x v="1"/>
    <x v="2"/>
    <s v="Сахар песок фас.5кг :1"/>
    <n v="165.05"/>
    <d v="2012-07-17T00:00:00"/>
    <n v="21613"/>
    <x v="230"/>
    <n v="5462"/>
    <n v="22782"/>
    <n v="0"/>
  </r>
  <r>
    <x v="2"/>
    <x v="0"/>
    <s v="Сахар песок фас. 10кг:1"/>
    <n v="317.08"/>
    <d v="2012-06-01T00:00:00"/>
    <n v="6"/>
    <x v="0"/>
    <n v="0"/>
    <n v="6"/>
    <n v="0"/>
  </r>
  <r>
    <x v="2"/>
    <x v="0"/>
    <s v="Сахар песок фас. 10кг:1"/>
    <n v="317.08"/>
    <d v="2012-06-02T00:00:00"/>
    <n v="6"/>
    <x v="0"/>
    <n v="2"/>
    <n v="6"/>
    <n v="0"/>
  </r>
  <r>
    <x v="2"/>
    <x v="0"/>
    <s v="Сахар песок фас. 10кг:1"/>
    <n v="317.08"/>
    <d v="2012-06-03T00:00:00"/>
    <n v="6"/>
    <x v="231"/>
    <n v="228"/>
    <n v="2950"/>
    <n v="0"/>
  </r>
  <r>
    <x v="2"/>
    <x v="0"/>
    <s v="Сахар песок фас. 10кг:1"/>
    <n v="317.08"/>
    <d v="2012-06-04T00:00:00"/>
    <n v="2950"/>
    <x v="232"/>
    <n v="988"/>
    <n v="4137"/>
    <n v="0"/>
  </r>
  <r>
    <x v="2"/>
    <x v="0"/>
    <s v="Сахар песок фас. 10кг:1"/>
    <n v="317.08"/>
    <d v="2012-06-05T00:00:00"/>
    <n v="4137"/>
    <x v="233"/>
    <n v="1371"/>
    <n v="3248"/>
    <n v="0"/>
  </r>
  <r>
    <x v="2"/>
    <x v="0"/>
    <s v="Сахар песок фас. 10кг:1"/>
    <n v="317.08"/>
    <d v="2012-06-06T00:00:00"/>
    <n v="3248"/>
    <x v="234"/>
    <n v="1294"/>
    <n v="3079"/>
    <n v="0"/>
  </r>
  <r>
    <x v="2"/>
    <x v="0"/>
    <s v="Сахар песок фас. 10кг:1"/>
    <n v="317.08"/>
    <d v="2012-06-07T00:00:00"/>
    <n v="3079"/>
    <x v="235"/>
    <n v="1389"/>
    <n v="3387"/>
    <n v="0"/>
  </r>
  <r>
    <x v="2"/>
    <x v="0"/>
    <s v="Сахар песок фас. 10кг:1"/>
    <n v="317.08"/>
    <d v="2012-06-08T00:00:00"/>
    <n v="3387"/>
    <x v="236"/>
    <n v="1364"/>
    <n v="3160"/>
    <n v="0"/>
  </r>
  <r>
    <x v="2"/>
    <x v="0"/>
    <s v="Сахар песок фас. 10кг:1"/>
    <n v="317.08"/>
    <d v="2012-06-09T00:00:00"/>
    <n v="3160"/>
    <x v="0"/>
    <n v="1278"/>
    <n v="1887"/>
    <n v="1"/>
  </r>
  <r>
    <x v="2"/>
    <x v="0"/>
    <s v="Сахар песок фас. 10кг:1"/>
    <n v="317.08"/>
    <d v="2012-06-10T00:00:00"/>
    <n v="1887"/>
    <x v="237"/>
    <n v="1013"/>
    <n v="2869"/>
    <n v="0"/>
  </r>
  <r>
    <x v="2"/>
    <x v="0"/>
    <s v="Сахар песок фас. 10кг:1"/>
    <n v="317.08"/>
    <d v="2012-06-11T00:00:00"/>
    <n v="2869"/>
    <x v="238"/>
    <n v="1362"/>
    <n v="3504"/>
    <n v="0"/>
  </r>
  <r>
    <x v="2"/>
    <x v="0"/>
    <s v="Сахар песок фас. 10кг:1"/>
    <n v="317.08"/>
    <d v="2012-06-12T00:00:00"/>
    <n v="3504"/>
    <x v="0"/>
    <n v="1280"/>
    <n v="2214"/>
    <n v="0"/>
  </r>
  <r>
    <x v="2"/>
    <x v="0"/>
    <s v="Сахар песок фас. 10кг:1"/>
    <n v="317.08"/>
    <d v="2012-06-13T00:00:00"/>
    <n v="2214"/>
    <x v="239"/>
    <n v="721"/>
    <n v="1492"/>
    <n v="0"/>
  </r>
  <r>
    <x v="2"/>
    <x v="0"/>
    <s v="Сахар песок фас. 10кг:1"/>
    <n v="317.08"/>
    <d v="2012-06-14T00:00:00"/>
    <n v="1492"/>
    <x v="240"/>
    <n v="827"/>
    <n v="4130"/>
    <n v="0"/>
  </r>
  <r>
    <x v="2"/>
    <x v="0"/>
    <s v="Сахар песок фас. 10кг:1"/>
    <n v="317.08"/>
    <d v="2012-06-15T00:00:00"/>
    <n v="4130"/>
    <x v="241"/>
    <n v="1207"/>
    <n v="4861"/>
    <n v="0"/>
  </r>
  <r>
    <x v="2"/>
    <x v="0"/>
    <s v="Сахар песок фас. 10кг:1"/>
    <n v="317.08"/>
    <d v="2012-06-16T00:00:00"/>
    <n v="4861"/>
    <x v="242"/>
    <n v="1682"/>
    <n v="4218"/>
    <n v="0"/>
  </r>
  <r>
    <x v="2"/>
    <x v="0"/>
    <s v="Сахар песок фас. 10кг:1"/>
    <n v="317.08"/>
    <d v="2012-06-17T00:00:00"/>
    <n v="4218"/>
    <x v="243"/>
    <n v="1079"/>
    <n v="4010"/>
    <n v="0"/>
  </r>
  <r>
    <x v="2"/>
    <x v="0"/>
    <s v="Сахар песок фас. 10кг:1"/>
    <n v="317.08"/>
    <d v="2012-06-18T00:00:00"/>
    <n v="4010"/>
    <x v="244"/>
    <n v="876"/>
    <n v="4858"/>
    <n v="0"/>
  </r>
  <r>
    <x v="2"/>
    <x v="0"/>
    <s v="Сахар песок фас. 10кг:1"/>
    <n v="317.08"/>
    <d v="2012-06-19T00:00:00"/>
    <n v="4858"/>
    <x v="245"/>
    <n v="1027"/>
    <n v="5579"/>
    <n v="0"/>
  </r>
  <r>
    <x v="2"/>
    <x v="0"/>
    <s v="Сахар песок фас. 10кг:1"/>
    <n v="317.08"/>
    <d v="2012-06-20T00:00:00"/>
    <n v="5579"/>
    <x v="246"/>
    <n v="1052"/>
    <n v="5991"/>
    <n v="0"/>
  </r>
  <r>
    <x v="2"/>
    <x v="0"/>
    <s v="Сахар песок фас. 10кг:1"/>
    <n v="317.08"/>
    <d v="2012-06-21T00:00:00"/>
    <n v="5991"/>
    <x v="247"/>
    <n v="919"/>
    <n v="6655"/>
    <n v="0"/>
  </r>
  <r>
    <x v="2"/>
    <x v="0"/>
    <s v="Сахар песок фас. 10кг:1"/>
    <n v="317.08"/>
    <d v="2012-06-22T00:00:00"/>
    <n v="6655"/>
    <x v="248"/>
    <n v="926"/>
    <n v="7060"/>
    <n v="0"/>
  </r>
  <r>
    <x v="2"/>
    <x v="0"/>
    <s v="Сахар песок фас. 10кг:1"/>
    <n v="317.08"/>
    <d v="2012-06-23T00:00:00"/>
    <n v="7060"/>
    <x v="249"/>
    <n v="1012"/>
    <n v="6966"/>
    <n v="0"/>
  </r>
  <r>
    <x v="2"/>
    <x v="0"/>
    <s v="Сахар песок фас. 10кг:1"/>
    <n v="317.08"/>
    <d v="2012-06-24T00:00:00"/>
    <n v="6966"/>
    <x v="250"/>
    <n v="1081"/>
    <n v="6494"/>
    <n v="0"/>
  </r>
  <r>
    <x v="2"/>
    <x v="0"/>
    <s v="Сахар песок фас. 10кг:1"/>
    <n v="317.08"/>
    <d v="2012-06-25T00:00:00"/>
    <n v="6494"/>
    <x v="251"/>
    <n v="969"/>
    <n v="6408"/>
    <n v="0"/>
  </r>
  <r>
    <x v="2"/>
    <x v="0"/>
    <s v="Сахар песок фас. 10кг:1"/>
    <n v="317.08"/>
    <d v="2012-06-26T00:00:00"/>
    <n v="6408"/>
    <x v="252"/>
    <n v="884"/>
    <n v="6398"/>
    <n v="0"/>
  </r>
  <r>
    <x v="2"/>
    <x v="0"/>
    <s v="Сахар песок фас. 10кг:1"/>
    <n v="317.08"/>
    <d v="2012-06-27T00:00:00"/>
    <n v="6398"/>
    <x v="253"/>
    <n v="967"/>
    <n v="6370"/>
    <n v="0"/>
  </r>
  <r>
    <x v="2"/>
    <x v="0"/>
    <s v="Сахар песок фас. 10кг:1"/>
    <n v="317.08"/>
    <d v="2012-06-28T00:00:00"/>
    <n v="6370"/>
    <x v="254"/>
    <n v="940"/>
    <n v="6168"/>
    <n v="0"/>
  </r>
  <r>
    <x v="2"/>
    <x v="0"/>
    <s v="Сахар песок фас. 10кг:1"/>
    <n v="317.08"/>
    <d v="2012-06-29T00:00:00"/>
    <n v="6168"/>
    <x v="255"/>
    <n v="1136"/>
    <n v="6085"/>
    <n v="0"/>
  </r>
  <r>
    <x v="2"/>
    <x v="0"/>
    <s v="Сахар песок фас. 10кг:1"/>
    <n v="317.08"/>
    <d v="2012-06-30T00:00:00"/>
    <n v="6085"/>
    <x v="256"/>
    <n v="1368"/>
    <n v="5660"/>
    <n v="0"/>
  </r>
  <r>
    <x v="2"/>
    <x v="0"/>
    <s v="Сахар песок фас. 10кг:1"/>
    <n v="317.08"/>
    <d v="2012-07-01T00:00:00"/>
    <n v="5660"/>
    <x v="257"/>
    <n v="1316"/>
    <n v="5368"/>
    <n v="0"/>
  </r>
  <r>
    <x v="2"/>
    <x v="0"/>
    <s v="Сахар песок фас. 10кг:1"/>
    <n v="317.08"/>
    <d v="2012-07-02T00:00:00"/>
    <n v="5368"/>
    <x v="258"/>
    <n v="1381"/>
    <n v="5385"/>
    <n v="0"/>
  </r>
  <r>
    <x v="2"/>
    <x v="0"/>
    <s v="Сахар песок фас. 10кг:1"/>
    <n v="317.08"/>
    <d v="2012-07-03T00:00:00"/>
    <n v="5385"/>
    <x v="259"/>
    <n v="1371"/>
    <n v="5659"/>
    <n v="0"/>
  </r>
  <r>
    <x v="2"/>
    <x v="0"/>
    <s v="Сахар песок фас. 10кг:1"/>
    <n v="317.08"/>
    <d v="2012-07-04T00:00:00"/>
    <n v="5659"/>
    <x v="260"/>
    <n v="1253"/>
    <n v="5994"/>
    <n v="0"/>
  </r>
  <r>
    <x v="2"/>
    <x v="0"/>
    <s v="Сахар песок фас. 10кг:1"/>
    <n v="317.08"/>
    <d v="2012-07-05T00:00:00"/>
    <n v="5994"/>
    <x v="261"/>
    <n v="1300"/>
    <n v="6466"/>
    <n v="0"/>
  </r>
  <r>
    <x v="2"/>
    <x v="0"/>
    <s v="Сахар песок фас. 10кг:1"/>
    <n v="317.08"/>
    <d v="2012-07-06T00:00:00"/>
    <n v="6466"/>
    <x v="262"/>
    <n v="1245"/>
    <n v="6515"/>
    <n v="0"/>
  </r>
  <r>
    <x v="2"/>
    <x v="0"/>
    <s v="Сахар песок фас. 10кг:1"/>
    <n v="317.08"/>
    <d v="2012-07-07T00:00:00"/>
    <n v="6515"/>
    <x v="263"/>
    <n v="1597"/>
    <n v="6522"/>
    <n v="0"/>
  </r>
  <r>
    <x v="2"/>
    <x v="0"/>
    <s v="Сахар песок фас. 10кг:1"/>
    <n v="317.08"/>
    <d v="2012-07-08T00:00:00"/>
    <n v="6522"/>
    <x v="264"/>
    <n v="1227"/>
    <n v="6496"/>
    <n v="0"/>
  </r>
  <r>
    <x v="2"/>
    <x v="0"/>
    <s v="Сахар песок фас. 10кг:1"/>
    <n v="317.08"/>
    <d v="2012-07-09T00:00:00"/>
    <n v="6496"/>
    <x v="265"/>
    <n v="953"/>
    <n v="7375"/>
    <n v="0"/>
  </r>
  <r>
    <x v="2"/>
    <x v="0"/>
    <s v="Сахар песок фас. 10кг:1"/>
    <n v="317.08"/>
    <d v="2012-07-10T00:00:00"/>
    <n v="7375"/>
    <x v="266"/>
    <n v="840"/>
    <n v="7899"/>
    <n v="0"/>
  </r>
  <r>
    <x v="2"/>
    <x v="0"/>
    <s v="Сахар песок фас. 10кг:1"/>
    <n v="317.08"/>
    <d v="2012-07-11T00:00:00"/>
    <n v="7899"/>
    <x v="267"/>
    <n v="869"/>
    <n v="7858"/>
    <n v="0"/>
  </r>
  <r>
    <x v="2"/>
    <x v="0"/>
    <s v="Сахар песок фас. 10кг:1"/>
    <n v="317.08"/>
    <d v="2012-07-12T00:00:00"/>
    <n v="7858"/>
    <x v="268"/>
    <n v="726"/>
    <n v="7557"/>
    <n v="0"/>
  </r>
  <r>
    <x v="2"/>
    <x v="0"/>
    <s v="Сахар песок фас. 10кг:1"/>
    <n v="317.08"/>
    <d v="2012-07-13T00:00:00"/>
    <n v="7557"/>
    <x v="269"/>
    <n v="685"/>
    <n v="7582"/>
    <n v="0"/>
  </r>
  <r>
    <x v="2"/>
    <x v="0"/>
    <s v="Сахар песок фас. 10кг:1"/>
    <n v="317.08"/>
    <d v="2012-07-14T00:00:00"/>
    <n v="7582"/>
    <x v="270"/>
    <n v="793"/>
    <n v="7277"/>
    <n v="0"/>
  </r>
  <r>
    <x v="2"/>
    <x v="0"/>
    <s v="Сахар песок фас. 10кг:1"/>
    <n v="317.08"/>
    <d v="2012-07-15T00:00:00"/>
    <n v="7277"/>
    <x v="271"/>
    <n v="616"/>
    <n v="7010"/>
    <n v="0"/>
  </r>
  <r>
    <x v="2"/>
    <x v="0"/>
    <s v="Сахар песок фас. 10кг:1"/>
    <n v="317.08"/>
    <d v="2012-07-16T00:00:00"/>
    <n v="7010"/>
    <x v="272"/>
    <n v="538"/>
    <n v="6815"/>
    <n v="0"/>
  </r>
  <r>
    <x v="2"/>
    <x v="0"/>
    <s v="Сахар песок фас. 10кг:1"/>
    <n v="317.08"/>
    <d v="2012-07-17T00:00:00"/>
    <n v="6815"/>
    <x v="14"/>
    <n v="427"/>
    <n v="6655"/>
    <n v="1"/>
  </r>
  <r>
    <x v="2"/>
    <x v="1"/>
    <s v="Сахар песок фас.1кг:6"/>
    <n v="33.659999999999997"/>
    <d v="2012-06-01T00:00:00"/>
    <n v="94631.000243999995"/>
    <x v="273"/>
    <n v="18840"/>
    <n v="96712.000243999995"/>
    <n v="0"/>
  </r>
  <r>
    <x v="2"/>
    <x v="1"/>
    <s v="Сахар песок фас.1кг:6"/>
    <n v="33.659999999999997"/>
    <d v="2012-06-02T00:00:00"/>
    <n v="96712.000243999995"/>
    <x v="274"/>
    <n v="19857"/>
    <n v="104267.000244"/>
    <n v="0"/>
  </r>
  <r>
    <x v="2"/>
    <x v="1"/>
    <s v="Сахар песок фас.1кг:6"/>
    <n v="33.659999999999997"/>
    <d v="2012-06-03T00:00:00"/>
    <n v="104267.000244"/>
    <x v="275"/>
    <n v="19549"/>
    <n v="111154.000244"/>
    <n v="1"/>
  </r>
  <r>
    <x v="2"/>
    <x v="1"/>
    <s v="Сахар песок фас.1кг:6"/>
    <n v="33.659999999999997"/>
    <d v="2012-06-04T00:00:00"/>
    <n v="111154.000244"/>
    <x v="276"/>
    <n v="21436"/>
    <n v="104807.000244"/>
    <n v="4"/>
  </r>
  <r>
    <x v="2"/>
    <x v="1"/>
    <s v="Сахар песок фас.1кг:6"/>
    <n v="33.659999999999997"/>
    <d v="2012-06-05T00:00:00"/>
    <n v="104807.000244"/>
    <x v="277"/>
    <n v="19701"/>
    <n v="85044.000243999995"/>
    <n v="2"/>
  </r>
  <r>
    <x v="2"/>
    <x v="1"/>
    <s v="Сахар песок фас.1кг:6"/>
    <n v="33.659999999999997"/>
    <d v="2012-06-06T00:00:00"/>
    <n v="85044.000243999995"/>
    <x v="278"/>
    <n v="19883"/>
    <n v="78433.000243999995"/>
    <n v="2"/>
  </r>
  <r>
    <x v="2"/>
    <x v="1"/>
    <s v="Сахар песок фас.1кг:6"/>
    <n v="33.659999999999997"/>
    <d v="2012-06-07T00:00:00"/>
    <n v="78433.000243999995"/>
    <x v="279"/>
    <n v="21326"/>
    <n v="110951.000244"/>
    <n v="15"/>
  </r>
  <r>
    <x v="2"/>
    <x v="1"/>
    <s v="Сахар песок фас.1кг:6"/>
    <n v="33.659999999999997"/>
    <d v="2012-06-08T00:00:00"/>
    <n v="110951.000244"/>
    <x v="280"/>
    <n v="30166"/>
    <n v="124304.000244"/>
    <n v="3"/>
  </r>
  <r>
    <x v="2"/>
    <x v="1"/>
    <s v="Сахар песок фас.1кг:6"/>
    <n v="33.659999999999997"/>
    <d v="2012-06-09T00:00:00"/>
    <n v="124304.000244"/>
    <x v="281"/>
    <n v="31116"/>
    <n v="111174.000244"/>
    <n v="2"/>
  </r>
  <r>
    <x v="2"/>
    <x v="1"/>
    <s v="Сахар песок фас.1кг:6"/>
    <n v="33.659999999999997"/>
    <d v="2012-06-10T00:00:00"/>
    <n v="111174.000244"/>
    <x v="282"/>
    <n v="29205"/>
    <n v="112092.000244"/>
    <n v="0"/>
  </r>
  <r>
    <x v="2"/>
    <x v="1"/>
    <s v="Сахар песок фас.1кг:6"/>
    <n v="33.659999999999997"/>
    <d v="2012-06-11T00:00:00"/>
    <n v="112092.000244"/>
    <x v="283"/>
    <n v="29228"/>
    <n v="106672.000244"/>
    <n v="2"/>
  </r>
  <r>
    <x v="2"/>
    <x v="1"/>
    <s v="Сахар песок фас.1кг:6"/>
    <n v="33.659999999999997"/>
    <d v="2012-06-12T00:00:00"/>
    <n v="106672.000244"/>
    <x v="284"/>
    <n v="28667"/>
    <n v="108795.000244"/>
    <n v="3"/>
  </r>
  <r>
    <x v="2"/>
    <x v="1"/>
    <s v="Сахар песок фас.1кг:6"/>
    <n v="33.659999999999997"/>
    <d v="2012-06-13T00:00:00"/>
    <n v="108795.000244"/>
    <x v="285"/>
    <n v="30230"/>
    <n v="105631.000244"/>
    <n v="2"/>
  </r>
  <r>
    <x v="2"/>
    <x v="1"/>
    <s v="Сахар песок фас.1кг:6"/>
    <n v="33.659999999999997"/>
    <d v="2012-06-14T00:00:00"/>
    <n v="105631.000244"/>
    <x v="286"/>
    <n v="26022"/>
    <n v="108464.000244"/>
    <n v="2"/>
  </r>
  <r>
    <x v="2"/>
    <x v="1"/>
    <s v="Сахар песок фас.1кг:6"/>
    <n v="33.659999999999997"/>
    <d v="2012-06-15T00:00:00"/>
    <n v="108464.000244"/>
    <x v="287"/>
    <n v="26469"/>
    <n v="109424.000244"/>
    <n v="0"/>
  </r>
  <r>
    <x v="2"/>
    <x v="1"/>
    <s v="Сахар песок фас.1кг:6"/>
    <n v="33.659999999999997"/>
    <d v="2012-06-16T00:00:00"/>
    <n v="109424.000244"/>
    <x v="286"/>
    <n v="23616"/>
    <n v="114748.000244"/>
    <n v="0"/>
  </r>
  <r>
    <x v="2"/>
    <x v="1"/>
    <s v="Сахар песок фас.1кг:6"/>
    <n v="33.659999999999997"/>
    <d v="2012-06-17T00:00:00"/>
    <n v="114748.000244"/>
    <x v="288"/>
    <n v="20855"/>
    <n v="118472.000244"/>
    <n v="2"/>
  </r>
  <r>
    <x v="2"/>
    <x v="1"/>
    <s v="Сахар песок фас.1кг:6"/>
    <n v="33.659999999999997"/>
    <d v="2012-06-18T00:00:00"/>
    <n v="118472.000244"/>
    <x v="289"/>
    <n v="20131"/>
    <n v="124589.000244"/>
    <n v="0"/>
  </r>
  <r>
    <x v="2"/>
    <x v="1"/>
    <s v="Сахар песок фас.1кг:6"/>
    <n v="33.659999999999997"/>
    <d v="2012-06-19T00:00:00"/>
    <n v="124589.000244"/>
    <x v="290"/>
    <n v="19545"/>
    <n v="131903.000244"/>
    <n v="0"/>
  </r>
  <r>
    <x v="2"/>
    <x v="1"/>
    <s v="Сахар песок фас.1кг:6"/>
    <n v="33.659999999999997"/>
    <d v="2012-06-20T00:00:00"/>
    <n v="131903.000244"/>
    <x v="291"/>
    <n v="19411"/>
    <n v="135890.000244"/>
    <n v="0"/>
  </r>
  <r>
    <x v="2"/>
    <x v="1"/>
    <s v="Сахар песок фас.1кг:6"/>
    <n v="33.659999999999997"/>
    <d v="2012-06-21T00:00:00"/>
    <n v="135890.000244"/>
    <x v="292"/>
    <n v="18449"/>
    <n v="136717.000244"/>
    <n v="0"/>
  </r>
  <r>
    <x v="2"/>
    <x v="1"/>
    <s v="Сахар песок фас.1кг:6"/>
    <n v="33.659999999999997"/>
    <d v="2012-06-22T00:00:00"/>
    <n v="136717.000244"/>
    <x v="293"/>
    <n v="19483"/>
    <n v="134774.000244"/>
    <n v="0"/>
  </r>
  <r>
    <x v="2"/>
    <x v="1"/>
    <s v="Сахар песок фас.1кг:6"/>
    <n v="33.659999999999997"/>
    <d v="2012-06-23T00:00:00"/>
    <n v="134774.000244"/>
    <x v="294"/>
    <n v="20419"/>
    <n v="132814.000244"/>
    <n v="1"/>
  </r>
  <r>
    <x v="2"/>
    <x v="1"/>
    <s v="Сахар песок фас.1кг:6"/>
    <n v="33.659999999999997"/>
    <d v="2012-06-24T00:00:00"/>
    <n v="132814.000244"/>
    <x v="295"/>
    <n v="20297"/>
    <n v="129772.000244"/>
    <n v="0"/>
  </r>
  <r>
    <x v="2"/>
    <x v="1"/>
    <s v="Сахар песок фас.1кг:6"/>
    <n v="33.659999999999997"/>
    <d v="2012-06-25T00:00:00"/>
    <n v="129772.000244"/>
    <x v="296"/>
    <n v="22060"/>
    <n v="128751.000244"/>
    <n v="4"/>
  </r>
  <r>
    <x v="2"/>
    <x v="1"/>
    <s v="Сахар песок фас.1кг:6"/>
    <n v="33.659999999999997"/>
    <d v="2012-06-26T00:00:00"/>
    <n v="128751.000244"/>
    <x v="297"/>
    <n v="20949"/>
    <n v="127462.000244"/>
    <n v="0"/>
  </r>
  <r>
    <x v="2"/>
    <x v="1"/>
    <s v="Сахар песок фас.1кг:6"/>
    <n v="33.659999999999997"/>
    <d v="2012-06-27T00:00:00"/>
    <n v="127462.000244"/>
    <x v="298"/>
    <n v="22175"/>
    <n v="127650.000244"/>
    <n v="0"/>
  </r>
  <r>
    <x v="2"/>
    <x v="1"/>
    <s v="Сахар песок фас.1кг:6"/>
    <n v="33.659999999999997"/>
    <d v="2012-06-28T00:00:00"/>
    <n v="127650.000244"/>
    <x v="299"/>
    <n v="21802"/>
    <n v="127687.000244"/>
    <n v="1"/>
  </r>
  <r>
    <x v="2"/>
    <x v="1"/>
    <s v="Сахар песок фас.1кг:6"/>
    <n v="33.659999999999997"/>
    <d v="2012-06-29T00:00:00"/>
    <n v="127687.000244"/>
    <x v="300"/>
    <n v="20860"/>
    <n v="131063.000244"/>
    <n v="1"/>
  </r>
  <r>
    <x v="2"/>
    <x v="1"/>
    <s v="Сахар песок фас.1кг:6"/>
    <n v="33.659999999999997"/>
    <d v="2012-06-30T00:00:00"/>
    <n v="131063.000244"/>
    <x v="301"/>
    <n v="23367"/>
    <n v="131975.000244"/>
    <n v="0"/>
  </r>
  <r>
    <x v="2"/>
    <x v="1"/>
    <s v="Сахар песок фас.1кг:6"/>
    <n v="33.659999999999997"/>
    <d v="2012-07-01T00:00:00"/>
    <n v="131975.000244"/>
    <x v="302"/>
    <n v="23822"/>
    <n v="128440.000244"/>
    <n v="0"/>
  </r>
  <r>
    <x v="2"/>
    <x v="1"/>
    <s v="Сахар песок фас.1кг:6"/>
    <n v="33.659999999999997"/>
    <d v="2012-07-02T00:00:00"/>
    <n v="128440.000244"/>
    <x v="303"/>
    <n v="25513"/>
    <n v="130230.000244"/>
    <n v="0"/>
  </r>
  <r>
    <x v="2"/>
    <x v="1"/>
    <s v="Сахар песок фас.1кг:6"/>
    <n v="33.659999999999997"/>
    <d v="2012-07-03T00:00:00"/>
    <n v="130230.000244"/>
    <x v="304"/>
    <n v="23888"/>
    <n v="139145.000244"/>
    <n v="0"/>
  </r>
  <r>
    <x v="2"/>
    <x v="1"/>
    <s v="Сахар песок фас.1кг:6"/>
    <n v="33.659999999999997"/>
    <d v="2012-07-04T00:00:00"/>
    <n v="139145.000244"/>
    <x v="305"/>
    <n v="23230"/>
    <n v="143854.000244"/>
    <n v="1"/>
  </r>
  <r>
    <x v="2"/>
    <x v="1"/>
    <s v="Сахар песок фас.1кг:6"/>
    <n v="33.659999999999997"/>
    <d v="2012-07-05T00:00:00"/>
    <n v="143854.000244"/>
    <x v="306"/>
    <n v="23952"/>
    <n v="147649.000244"/>
    <n v="0"/>
  </r>
  <r>
    <x v="2"/>
    <x v="1"/>
    <s v="Сахар песок фас.1кг:6"/>
    <n v="33.659999999999997"/>
    <d v="2012-07-06T00:00:00"/>
    <n v="147649.000244"/>
    <x v="307"/>
    <n v="24780"/>
    <n v="146340.000244"/>
    <n v="0"/>
  </r>
  <r>
    <x v="2"/>
    <x v="1"/>
    <s v="Сахар песок фас.1кг:6"/>
    <n v="33.659999999999997"/>
    <d v="2012-07-07T00:00:00"/>
    <n v="146340.000244"/>
    <x v="308"/>
    <n v="22662"/>
    <n v="148835.000244"/>
    <n v="2"/>
  </r>
  <r>
    <x v="2"/>
    <x v="1"/>
    <s v="Сахар песок фас.1кг:6"/>
    <n v="33.659999999999997"/>
    <d v="2012-07-08T00:00:00"/>
    <n v="148835.000244"/>
    <x v="309"/>
    <n v="21976"/>
    <n v="154430.000244"/>
    <n v="0"/>
  </r>
  <r>
    <x v="2"/>
    <x v="1"/>
    <s v="Сахар песок фас.1кг:6"/>
    <n v="33.659999999999997"/>
    <d v="2012-07-09T00:00:00"/>
    <n v="154430.000244"/>
    <x v="310"/>
    <n v="22724"/>
    <n v="155644.000244"/>
    <n v="1"/>
  </r>
  <r>
    <x v="2"/>
    <x v="1"/>
    <s v="Сахар песок фас.1кг:6"/>
    <n v="33.659999999999997"/>
    <d v="2012-07-10T00:00:00"/>
    <n v="155644.000244"/>
    <x v="311"/>
    <n v="21520"/>
    <n v="154764.000244"/>
    <n v="0"/>
  </r>
  <r>
    <x v="2"/>
    <x v="1"/>
    <s v="Сахар песок фас.1кг:6"/>
    <n v="33.659999999999997"/>
    <d v="2012-07-11T00:00:00"/>
    <n v="154764.000244"/>
    <x v="312"/>
    <n v="19878"/>
    <n v="141772.000244"/>
    <n v="0"/>
  </r>
  <r>
    <x v="2"/>
    <x v="1"/>
    <s v="Сахар песок фас.1кг:6"/>
    <n v="33.659999999999997"/>
    <d v="2012-07-12T00:00:00"/>
    <n v="141772.000244"/>
    <x v="313"/>
    <n v="18857"/>
    <n v="147267.000244"/>
    <n v="0"/>
  </r>
  <r>
    <x v="2"/>
    <x v="1"/>
    <s v="Сахар песок фас.1кг:6"/>
    <n v="33.659999999999997"/>
    <d v="2012-07-13T00:00:00"/>
    <n v="147267.000244"/>
    <x v="314"/>
    <n v="18013"/>
    <n v="154167.000244"/>
    <n v="0"/>
  </r>
  <r>
    <x v="2"/>
    <x v="1"/>
    <s v="Сахар песок фас.1кг:6"/>
    <n v="33.659999999999997"/>
    <d v="2012-07-14T00:00:00"/>
    <n v="154167.000244"/>
    <x v="315"/>
    <n v="16743"/>
    <n v="151611.000244"/>
    <n v="0"/>
  </r>
  <r>
    <x v="2"/>
    <x v="1"/>
    <s v="Сахар песок фас.1кг:6"/>
    <n v="33.659999999999997"/>
    <d v="2012-07-15T00:00:00"/>
    <n v="151611.000244"/>
    <x v="316"/>
    <n v="13643"/>
    <n v="149123.000244"/>
    <n v="2"/>
  </r>
  <r>
    <x v="2"/>
    <x v="1"/>
    <s v="Сахар песок фас.1кг:6"/>
    <n v="33.659999999999997"/>
    <d v="2012-07-16T00:00:00"/>
    <n v="149123.000244"/>
    <x v="317"/>
    <n v="14310"/>
    <n v="146553.000244"/>
    <n v="0"/>
  </r>
  <r>
    <x v="2"/>
    <x v="1"/>
    <s v="Сахар песок фас.1кг:6"/>
    <n v="33.659999999999997"/>
    <d v="2012-07-17T00:00:00"/>
    <n v="146553.000244"/>
    <x v="318"/>
    <n v="13140"/>
    <n v="139389.000244"/>
    <n v="0"/>
  </r>
  <r>
    <x v="2"/>
    <x v="2"/>
    <s v="Сахар песок фас.5кг :1"/>
    <n v="165.05"/>
    <d v="2012-06-01T00:00:00"/>
    <n v="12959"/>
    <x v="319"/>
    <n v="4270"/>
    <n v="14270"/>
    <n v="0"/>
  </r>
  <r>
    <x v="2"/>
    <x v="2"/>
    <s v="Сахар песок фас.5кг :1"/>
    <n v="165.05"/>
    <d v="2012-06-02T00:00:00"/>
    <n v="14270"/>
    <x v="320"/>
    <n v="5324"/>
    <n v="9787"/>
    <n v="1"/>
  </r>
  <r>
    <x v="2"/>
    <x v="2"/>
    <s v="Сахар песок фас.5кг :1"/>
    <n v="165.05"/>
    <d v="2012-06-03T00:00:00"/>
    <n v="9787"/>
    <x v="321"/>
    <n v="4106"/>
    <n v="11574"/>
    <n v="0"/>
  </r>
  <r>
    <x v="2"/>
    <x v="2"/>
    <s v="Сахар песок фас.5кг :1"/>
    <n v="165.05"/>
    <d v="2012-06-04T00:00:00"/>
    <n v="11574"/>
    <x v="322"/>
    <n v="2763"/>
    <n v="8783"/>
    <n v="0"/>
  </r>
  <r>
    <x v="2"/>
    <x v="2"/>
    <s v="Сахар песок фас.5кг :1"/>
    <n v="165.05"/>
    <d v="2012-06-05T00:00:00"/>
    <n v="8783"/>
    <x v="323"/>
    <n v="2677"/>
    <n v="11392"/>
    <n v="0"/>
  </r>
  <r>
    <x v="2"/>
    <x v="2"/>
    <s v="Сахар песок фас.5кг :1"/>
    <n v="165.05"/>
    <d v="2012-06-06T00:00:00"/>
    <n v="11392"/>
    <x v="0"/>
    <n v="3037"/>
    <n v="8359"/>
    <n v="0"/>
  </r>
  <r>
    <x v="2"/>
    <x v="2"/>
    <s v="Сахар песок фас.5кг :1"/>
    <n v="165.05"/>
    <d v="2012-06-07T00:00:00"/>
    <n v="8359"/>
    <x v="324"/>
    <n v="2848"/>
    <n v="7414"/>
    <n v="0"/>
  </r>
  <r>
    <x v="2"/>
    <x v="2"/>
    <s v="Сахар песок фас.5кг :1"/>
    <n v="165.05"/>
    <d v="2012-06-08T00:00:00"/>
    <n v="7414"/>
    <x v="0"/>
    <n v="2589"/>
    <n v="4789"/>
    <n v="1"/>
  </r>
  <r>
    <x v="2"/>
    <x v="2"/>
    <s v="Сахар песок фас.5кг :1"/>
    <n v="165.05"/>
    <d v="2012-06-09T00:00:00"/>
    <n v="4789"/>
    <x v="325"/>
    <n v="3449"/>
    <n v="11442"/>
    <n v="0"/>
  </r>
  <r>
    <x v="2"/>
    <x v="2"/>
    <s v="Сахар песок фас.5кг :1"/>
    <n v="165.05"/>
    <d v="2012-06-10T00:00:00"/>
    <n v="11442"/>
    <x v="208"/>
    <n v="4895"/>
    <n v="9753"/>
    <n v="0"/>
  </r>
  <r>
    <x v="2"/>
    <x v="2"/>
    <s v="Сахар песок фас.5кг :1"/>
    <n v="165.05"/>
    <d v="2012-06-11T00:00:00"/>
    <n v="9753"/>
    <x v="326"/>
    <n v="4596"/>
    <n v="8534"/>
    <n v="0"/>
  </r>
  <r>
    <x v="2"/>
    <x v="2"/>
    <s v="Сахар песок фас.5кг :1"/>
    <n v="165.05"/>
    <d v="2012-06-12T00:00:00"/>
    <n v="8534"/>
    <x v="327"/>
    <n v="3278"/>
    <n v="5230"/>
    <n v="0"/>
  </r>
  <r>
    <x v="2"/>
    <x v="2"/>
    <s v="Сахар песок фас.5кг :1"/>
    <n v="165.05"/>
    <d v="2012-06-13T00:00:00"/>
    <n v="5230"/>
    <x v="328"/>
    <n v="3289"/>
    <n v="11373"/>
    <n v="0"/>
  </r>
  <r>
    <x v="2"/>
    <x v="2"/>
    <s v="Сахар песок фас.5кг :1"/>
    <n v="165.05"/>
    <d v="2012-06-14T00:00:00"/>
    <n v="11373"/>
    <x v="329"/>
    <n v="3772"/>
    <n v="11394"/>
    <n v="0"/>
  </r>
  <r>
    <x v="2"/>
    <x v="2"/>
    <s v="Сахар песок фас.5кг :1"/>
    <n v="165.05"/>
    <d v="2012-06-15T00:00:00"/>
    <n v="11394"/>
    <x v="330"/>
    <n v="3902"/>
    <n v="14735"/>
    <n v="0"/>
  </r>
  <r>
    <x v="2"/>
    <x v="2"/>
    <s v="Сахар песок фас.5кг :1"/>
    <n v="165.05"/>
    <d v="2012-06-16T00:00:00"/>
    <n v="14735"/>
    <x v="331"/>
    <n v="4667"/>
    <n v="17089"/>
    <n v="0"/>
  </r>
  <r>
    <x v="2"/>
    <x v="2"/>
    <s v="Сахар песок фас.5кг :1"/>
    <n v="165.05"/>
    <d v="2012-06-17T00:00:00"/>
    <n v="17089"/>
    <x v="332"/>
    <n v="4646"/>
    <n v="17350"/>
    <n v="0"/>
  </r>
  <r>
    <x v="2"/>
    <x v="2"/>
    <s v="Сахар песок фас.5кг :1"/>
    <n v="165.05"/>
    <d v="2012-06-18T00:00:00"/>
    <n v="17350"/>
    <x v="333"/>
    <n v="4172"/>
    <n v="16507"/>
    <n v="1"/>
  </r>
  <r>
    <x v="2"/>
    <x v="2"/>
    <s v="Сахар песок фас.5кг :1"/>
    <n v="165.05"/>
    <d v="2012-06-19T00:00:00"/>
    <n v="16507"/>
    <x v="334"/>
    <n v="4064"/>
    <n v="18813"/>
    <n v="0"/>
  </r>
  <r>
    <x v="2"/>
    <x v="2"/>
    <s v="Сахар песок фас.5кг :1"/>
    <n v="165.05"/>
    <d v="2012-06-20T00:00:00"/>
    <n v="18813"/>
    <x v="335"/>
    <n v="3737"/>
    <n v="19673"/>
    <n v="0"/>
  </r>
  <r>
    <x v="2"/>
    <x v="2"/>
    <s v="Сахар песок фас.5кг :1"/>
    <n v="165.05"/>
    <d v="2012-06-21T00:00:00"/>
    <n v="19673"/>
    <x v="336"/>
    <n v="3433"/>
    <n v="20431"/>
    <n v="0"/>
  </r>
  <r>
    <x v="2"/>
    <x v="2"/>
    <s v="Сахар песок фас.5кг :1"/>
    <n v="165.05"/>
    <d v="2012-06-22T00:00:00"/>
    <n v="20431"/>
    <x v="337"/>
    <n v="3297"/>
    <n v="19984"/>
    <n v="0"/>
  </r>
  <r>
    <x v="2"/>
    <x v="2"/>
    <s v="Сахар песок фас.5кг :1"/>
    <n v="165.05"/>
    <d v="2012-06-23T00:00:00"/>
    <n v="19984"/>
    <x v="338"/>
    <n v="3559"/>
    <n v="20070"/>
    <n v="0"/>
  </r>
  <r>
    <x v="2"/>
    <x v="2"/>
    <s v="Сахар песок фас.5кг :1"/>
    <n v="165.05"/>
    <d v="2012-06-24T00:00:00"/>
    <n v="20070"/>
    <x v="339"/>
    <n v="3276"/>
    <n v="19743"/>
    <n v="0"/>
  </r>
  <r>
    <x v="2"/>
    <x v="2"/>
    <s v="Сахар песок фас.5кг :1"/>
    <n v="165.05"/>
    <d v="2012-06-25T00:00:00"/>
    <n v="19743"/>
    <x v="340"/>
    <n v="2962"/>
    <n v="19832"/>
    <n v="0"/>
  </r>
  <r>
    <x v="2"/>
    <x v="2"/>
    <s v="Сахар песок фас.5кг :1"/>
    <n v="165.05"/>
    <d v="2012-06-26T00:00:00"/>
    <n v="19832"/>
    <x v="341"/>
    <n v="3063"/>
    <n v="19888"/>
    <n v="0"/>
  </r>
  <r>
    <x v="2"/>
    <x v="2"/>
    <s v="Сахар песок фас.5кг :1"/>
    <n v="165.05"/>
    <d v="2012-06-27T00:00:00"/>
    <n v="19888"/>
    <x v="342"/>
    <n v="3145"/>
    <n v="19103"/>
    <n v="0"/>
  </r>
  <r>
    <x v="2"/>
    <x v="2"/>
    <s v="Сахар песок фас.5кг :1"/>
    <n v="165.05"/>
    <d v="2012-06-28T00:00:00"/>
    <n v="19103"/>
    <x v="343"/>
    <n v="3112"/>
    <n v="18087"/>
    <n v="0"/>
  </r>
  <r>
    <x v="2"/>
    <x v="2"/>
    <s v="Сахар песок фас.5кг :1"/>
    <n v="165.05"/>
    <d v="2012-06-29T00:00:00"/>
    <n v="18087"/>
    <x v="344"/>
    <n v="3411"/>
    <n v="17122"/>
    <n v="0"/>
  </r>
  <r>
    <x v="2"/>
    <x v="2"/>
    <s v="Сахар песок фас.5кг :1"/>
    <n v="165.05"/>
    <d v="2012-06-30T00:00:00"/>
    <n v="17122"/>
    <x v="345"/>
    <n v="4223"/>
    <n v="15412"/>
    <n v="2"/>
  </r>
  <r>
    <x v="2"/>
    <x v="2"/>
    <s v="Сахар песок фас.5кг :1"/>
    <n v="165.05"/>
    <d v="2012-07-01T00:00:00"/>
    <n v="15412"/>
    <x v="346"/>
    <n v="4492"/>
    <n v="14554"/>
    <n v="0"/>
  </r>
  <r>
    <x v="2"/>
    <x v="2"/>
    <s v="Сахар песок фас.5кг :1"/>
    <n v="165.05"/>
    <d v="2012-07-02T00:00:00"/>
    <n v="14554"/>
    <x v="347"/>
    <n v="4401"/>
    <n v="14585"/>
    <n v="0"/>
  </r>
  <r>
    <x v="2"/>
    <x v="2"/>
    <s v="Сахар песок фас.5кг :1"/>
    <n v="165.05"/>
    <d v="2012-07-03T00:00:00"/>
    <n v="14585"/>
    <x v="348"/>
    <n v="4000"/>
    <n v="15964"/>
    <n v="1"/>
  </r>
  <r>
    <x v="2"/>
    <x v="2"/>
    <s v="Сахар песок фас.5кг :1"/>
    <n v="165.05"/>
    <d v="2012-07-04T00:00:00"/>
    <n v="15964"/>
    <x v="349"/>
    <n v="3900"/>
    <n v="17600"/>
    <n v="0"/>
  </r>
  <r>
    <x v="2"/>
    <x v="2"/>
    <s v="Сахар песок фас.5кг :1"/>
    <n v="165.05"/>
    <d v="2012-07-05T00:00:00"/>
    <n v="17600"/>
    <x v="350"/>
    <n v="3686"/>
    <n v="18519"/>
    <n v="0"/>
  </r>
  <r>
    <x v="2"/>
    <x v="2"/>
    <s v="Сахар песок фас.5кг :1"/>
    <n v="165.05"/>
    <d v="2012-07-06T00:00:00"/>
    <n v="18519"/>
    <x v="351"/>
    <n v="3871"/>
    <n v="18316"/>
    <n v="0"/>
  </r>
  <r>
    <x v="2"/>
    <x v="2"/>
    <s v="Сахар песок фас.5кг :1"/>
    <n v="165.05"/>
    <d v="2012-07-07T00:00:00"/>
    <n v="18316"/>
    <x v="352"/>
    <n v="4276"/>
    <n v="18352"/>
    <n v="0"/>
  </r>
  <r>
    <x v="2"/>
    <x v="2"/>
    <s v="Сахар песок фас.5кг :1"/>
    <n v="165.05"/>
    <d v="2012-07-08T00:00:00"/>
    <n v="18352"/>
    <x v="353"/>
    <n v="3838"/>
    <n v="18635"/>
    <n v="0"/>
  </r>
  <r>
    <x v="2"/>
    <x v="2"/>
    <s v="Сахар песок фас.5кг :1"/>
    <n v="165.05"/>
    <d v="2012-07-09T00:00:00"/>
    <n v="18635"/>
    <x v="354"/>
    <n v="3479"/>
    <n v="19684"/>
    <n v="0"/>
  </r>
  <r>
    <x v="2"/>
    <x v="2"/>
    <s v="Сахар песок фас.5кг :1"/>
    <n v="165.05"/>
    <d v="2012-07-10T00:00:00"/>
    <n v="19684"/>
    <x v="355"/>
    <n v="3288"/>
    <n v="19960"/>
    <n v="0"/>
  </r>
  <r>
    <x v="2"/>
    <x v="2"/>
    <s v="Сахар песок фас.5кг :1"/>
    <n v="165.05"/>
    <d v="2012-07-11T00:00:00"/>
    <n v="19960"/>
    <x v="356"/>
    <n v="3133"/>
    <n v="19932"/>
    <n v="0"/>
  </r>
  <r>
    <x v="2"/>
    <x v="2"/>
    <s v="Сахар песок фас.5кг :1"/>
    <n v="165.05"/>
    <d v="2012-07-12T00:00:00"/>
    <n v="19932"/>
    <x v="357"/>
    <n v="2939"/>
    <n v="19447"/>
    <n v="0"/>
  </r>
  <r>
    <x v="2"/>
    <x v="2"/>
    <s v="Сахар песок фас.5кг :1"/>
    <n v="165.05"/>
    <d v="2012-07-13T00:00:00"/>
    <n v="19447"/>
    <x v="358"/>
    <n v="2828"/>
    <n v="19163"/>
    <n v="0"/>
  </r>
  <r>
    <x v="2"/>
    <x v="2"/>
    <s v="Сахар песок фас.5кг :1"/>
    <n v="165.05"/>
    <d v="2012-07-14T00:00:00"/>
    <n v="19163"/>
    <x v="359"/>
    <n v="2887"/>
    <n v="18706"/>
    <n v="1"/>
  </r>
  <r>
    <x v="2"/>
    <x v="2"/>
    <s v="Сахар песок фас.5кг :1"/>
    <n v="165.05"/>
    <d v="2012-07-15T00:00:00"/>
    <n v="18706"/>
    <x v="360"/>
    <n v="2399"/>
    <n v="18536"/>
    <n v="0"/>
  </r>
  <r>
    <x v="2"/>
    <x v="2"/>
    <s v="Сахар песок фас.5кг :1"/>
    <n v="165.05"/>
    <d v="2012-07-16T00:00:00"/>
    <n v="18536"/>
    <x v="361"/>
    <n v="2124"/>
    <n v="18596"/>
    <n v="0"/>
  </r>
  <r>
    <x v="2"/>
    <x v="2"/>
    <s v="Сахар песок фас.5кг :1"/>
    <n v="165.05"/>
    <d v="2012-07-17T00:00:00"/>
    <n v="18596"/>
    <x v="362"/>
    <n v="1916"/>
    <n v="18293"/>
    <n v="1"/>
  </r>
  <r>
    <x v="3"/>
    <x v="0"/>
    <s v="Сахар песок фас. 10кг:1"/>
    <n v="317.08"/>
    <d v="2012-06-01T00:00:00"/>
    <n v="228"/>
    <x v="363"/>
    <n v="27"/>
    <n v="212"/>
    <n v="0"/>
  </r>
  <r>
    <x v="3"/>
    <x v="0"/>
    <s v="Сахар песок фас. 10кг:1"/>
    <n v="317.08"/>
    <d v="2012-06-02T00:00:00"/>
    <n v="212"/>
    <x v="0"/>
    <n v="17"/>
    <n v="198"/>
    <n v="0"/>
  </r>
  <r>
    <x v="3"/>
    <x v="0"/>
    <s v="Сахар песок фас. 10кг:1"/>
    <n v="317.08"/>
    <d v="2012-06-03T00:00:00"/>
    <n v="198"/>
    <x v="364"/>
    <n v="67"/>
    <n v="3447"/>
    <n v="0"/>
  </r>
  <r>
    <x v="3"/>
    <x v="0"/>
    <s v="Сахар песок фас. 10кг:1"/>
    <n v="317.08"/>
    <d v="2012-06-04T00:00:00"/>
    <n v="3447"/>
    <x v="365"/>
    <n v="275"/>
    <n v="4659"/>
    <n v="0"/>
  </r>
  <r>
    <x v="3"/>
    <x v="0"/>
    <s v="Сахар песок фас. 10кг:1"/>
    <n v="317.08"/>
    <d v="2012-06-05T00:00:00"/>
    <n v="4659"/>
    <x v="366"/>
    <n v="397"/>
    <n v="4665"/>
    <n v="0"/>
  </r>
  <r>
    <x v="3"/>
    <x v="0"/>
    <s v="Сахар песок фас. 10кг:1"/>
    <n v="317.08"/>
    <d v="2012-06-06T00:00:00"/>
    <n v="4665"/>
    <x v="367"/>
    <n v="534"/>
    <n v="4446"/>
    <n v="0"/>
  </r>
  <r>
    <x v="3"/>
    <x v="0"/>
    <s v="Сахар песок фас. 10кг:1"/>
    <n v="317.08"/>
    <d v="2012-06-07T00:00:00"/>
    <n v="4446"/>
    <x v="368"/>
    <n v="560"/>
    <n v="4123"/>
    <n v="0"/>
  </r>
  <r>
    <x v="3"/>
    <x v="0"/>
    <s v="Сахар песок фас. 10кг:1"/>
    <n v="317.08"/>
    <d v="2012-06-08T00:00:00"/>
    <n v="4123"/>
    <x v="369"/>
    <n v="639"/>
    <n v="3903"/>
    <n v="0"/>
  </r>
  <r>
    <x v="3"/>
    <x v="0"/>
    <s v="Сахар песок фас. 10кг:1"/>
    <n v="317.08"/>
    <d v="2012-06-09T00:00:00"/>
    <n v="3903"/>
    <x v="370"/>
    <n v="637"/>
    <n v="3826"/>
    <n v="0"/>
  </r>
  <r>
    <x v="3"/>
    <x v="0"/>
    <s v="Сахар песок фас. 10кг:1"/>
    <n v="317.08"/>
    <d v="2012-06-10T00:00:00"/>
    <n v="3826"/>
    <x v="371"/>
    <n v="420"/>
    <n v="3687"/>
    <n v="0"/>
  </r>
  <r>
    <x v="3"/>
    <x v="0"/>
    <s v="Сахар песок фас. 10кг:1"/>
    <n v="317.08"/>
    <d v="2012-06-11T00:00:00"/>
    <n v="3687"/>
    <x v="372"/>
    <n v="334"/>
    <n v="3790"/>
    <n v="0"/>
  </r>
  <r>
    <x v="3"/>
    <x v="0"/>
    <s v="Сахар песок фас. 10кг:1"/>
    <n v="317.08"/>
    <d v="2012-06-12T00:00:00"/>
    <n v="3790"/>
    <x v="373"/>
    <n v="307"/>
    <n v="3759"/>
    <n v="0"/>
  </r>
  <r>
    <x v="3"/>
    <x v="0"/>
    <s v="Сахар песок фас. 10кг:1"/>
    <n v="317.08"/>
    <d v="2012-06-13T00:00:00"/>
    <n v="3759"/>
    <x v="374"/>
    <n v="356"/>
    <n v="3623"/>
    <n v="0"/>
  </r>
  <r>
    <x v="3"/>
    <x v="0"/>
    <s v="Сахар песок фас. 10кг:1"/>
    <n v="317.08"/>
    <d v="2012-06-14T00:00:00"/>
    <n v="3623"/>
    <x v="375"/>
    <n v="384"/>
    <n v="3449"/>
    <n v="0"/>
  </r>
  <r>
    <x v="3"/>
    <x v="0"/>
    <s v="Сахар песок фас. 10кг:1"/>
    <n v="317.08"/>
    <d v="2012-06-15T00:00:00"/>
    <n v="3449"/>
    <x v="376"/>
    <n v="332"/>
    <n v="3419"/>
    <n v="0"/>
  </r>
  <r>
    <x v="3"/>
    <x v="0"/>
    <s v="Сахар песок фас. 10кг:1"/>
    <n v="317.08"/>
    <d v="2012-06-16T00:00:00"/>
    <n v="3419"/>
    <x v="377"/>
    <n v="402"/>
    <n v="3318"/>
    <n v="0"/>
  </r>
  <r>
    <x v="3"/>
    <x v="0"/>
    <s v="Сахар песок фас. 10кг:1"/>
    <n v="317.08"/>
    <d v="2012-06-17T00:00:00"/>
    <n v="3318"/>
    <x v="378"/>
    <n v="337"/>
    <n v="3252"/>
    <n v="0"/>
  </r>
  <r>
    <x v="3"/>
    <x v="0"/>
    <s v="Сахар песок фас. 10кг:1"/>
    <n v="317.08"/>
    <d v="2012-06-18T00:00:00"/>
    <n v="3252"/>
    <x v="42"/>
    <n v="378"/>
    <n v="3153"/>
    <n v="0"/>
  </r>
  <r>
    <x v="3"/>
    <x v="0"/>
    <s v="Сахар песок фас. 10кг:1"/>
    <n v="317.08"/>
    <d v="2012-06-19T00:00:00"/>
    <n v="3153"/>
    <x v="379"/>
    <n v="363"/>
    <n v="3205"/>
    <n v="0"/>
  </r>
  <r>
    <x v="3"/>
    <x v="0"/>
    <s v="Сахар песок фас. 10кг:1"/>
    <n v="317.08"/>
    <d v="2012-06-20T00:00:00"/>
    <n v="3205"/>
    <x v="380"/>
    <n v="368"/>
    <n v="3242"/>
    <n v="0"/>
  </r>
  <r>
    <x v="3"/>
    <x v="0"/>
    <s v="Сахар песок фас. 10кг:1"/>
    <n v="317.08"/>
    <d v="2012-06-21T00:00:00"/>
    <n v="3242"/>
    <x v="381"/>
    <n v="408"/>
    <n v="3329"/>
    <n v="0"/>
  </r>
  <r>
    <x v="3"/>
    <x v="0"/>
    <s v="Сахар песок фас. 10кг:1"/>
    <n v="317.08"/>
    <d v="2012-06-22T00:00:00"/>
    <n v="3329"/>
    <x v="382"/>
    <n v="488"/>
    <n v="3189"/>
    <n v="0"/>
  </r>
  <r>
    <x v="3"/>
    <x v="0"/>
    <s v="Сахар песок фас. 10кг:1"/>
    <n v="317.08"/>
    <d v="2012-06-23T00:00:00"/>
    <n v="3189"/>
    <x v="383"/>
    <n v="429"/>
    <n v="2968"/>
    <n v="0"/>
  </r>
  <r>
    <x v="3"/>
    <x v="0"/>
    <s v="Сахар песок фас. 10кг:1"/>
    <n v="317.08"/>
    <d v="2012-06-24T00:00:00"/>
    <n v="2968"/>
    <x v="384"/>
    <n v="442"/>
    <n v="2831"/>
    <n v="0"/>
  </r>
  <r>
    <x v="3"/>
    <x v="0"/>
    <s v="Сахар песок фас. 10кг:1"/>
    <n v="317.08"/>
    <d v="2012-06-25T00:00:00"/>
    <n v="2831"/>
    <x v="385"/>
    <n v="423"/>
    <n v="2947"/>
    <n v="0"/>
  </r>
  <r>
    <x v="3"/>
    <x v="0"/>
    <s v="Сахар песок фас. 10кг:1"/>
    <n v="317.08"/>
    <d v="2012-06-26T00:00:00"/>
    <n v="2947"/>
    <x v="386"/>
    <n v="456"/>
    <n v="3089"/>
    <n v="0"/>
  </r>
  <r>
    <x v="3"/>
    <x v="0"/>
    <s v="Сахар песок фас. 10кг:1"/>
    <n v="317.08"/>
    <d v="2012-06-27T00:00:00"/>
    <n v="3089"/>
    <x v="387"/>
    <n v="490"/>
    <n v="3170"/>
    <n v="0"/>
  </r>
  <r>
    <x v="3"/>
    <x v="0"/>
    <s v="Сахар песок фас. 10кг:1"/>
    <n v="317.08"/>
    <d v="2012-06-28T00:00:00"/>
    <n v="3170"/>
    <x v="388"/>
    <n v="593"/>
    <n v="3085"/>
    <n v="0"/>
  </r>
  <r>
    <x v="3"/>
    <x v="0"/>
    <s v="Сахар песок фас. 10кг:1"/>
    <n v="317.08"/>
    <d v="2012-06-29T00:00:00"/>
    <n v="3085"/>
    <x v="389"/>
    <n v="638"/>
    <n v="2890"/>
    <n v="0"/>
  </r>
  <r>
    <x v="3"/>
    <x v="0"/>
    <s v="Сахар песок фас. 10кг:1"/>
    <n v="317.08"/>
    <d v="2012-06-30T00:00:00"/>
    <n v="2890"/>
    <x v="390"/>
    <n v="493"/>
    <n v="2748"/>
    <n v="0"/>
  </r>
  <r>
    <x v="3"/>
    <x v="0"/>
    <s v="Сахар песок фас. 10кг:1"/>
    <n v="317.08"/>
    <d v="2012-07-01T00:00:00"/>
    <n v="2748"/>
    <x v="391"/>
    <n v="402"/>
    <n v="3159"/>
    <n v="0"/>
  </r>
  <r>
    <x v="3"/>
    <x v="0"/>
    <s v="Сахар песок фас. 10кг:1"/>
    <n v="317.08"/>
    <d v="2012-07-02T00:00:00"/>
    <n v="3159"/>
    <x v="392"/>
    <n v="498"/>
    <n v="3767"/>
    <n v="0"/>
  </r>
  <r>
    <x v="3"/>
    <x v="0"/>
    <s v="Сахар песок фас. 10кг:1"/>
    <n v="317.08"/>
    <d v="2012-07-03T00:00:00"/>
    <n v="3767"/>
    <x v="393"/>
    <n v="568"/>
    <n v="3794"/>
    <n v="0"/>
  </r>
  <r>
    <x v="3"/>
    <x v="0"/>
    <s v="Сахар песок фас. 10кг:1"/>
    <n v="317.08"/>
    <d v="2012-07-04T00:00:00"/>
    <n v="3794"/>
    <x v="394"/>
    <n v="628"/>
    <n v="3572"/>
    <n v="0"/>
  </r>
  <r>
    <x v="3"/>
    <x v="0"/>
    <s v="Сахар песок фас. 10кг:1"/>
    <n v="317.08"/>
    <d v="2012-07-05T00:00:00"/>
    <n v="3572"/>
    <x v="395"/>
    <n v="645"/>
    <n v="3622"/>
    <n v="0"/>
  </r>
  <r>
    <x v="3"/>
    <x v="0"/>
    <s v="Сахар песок фас. 10кг:1"/>
    <n v="317.08"/>
    <d v="2012-07-06T00:00:00"/>
    <n v="3622"/>
    <x v="396"/>
    <n v="756"/>
    <n v="3639"/>
    <n v="0"/>
  </r>
  <r>
    <x v="3"/>
    <x v="0"/>
    <s v="Сахар песок фас. 10кг:1"/>
    <n v="317.08"/>
    <d v="2012-07-07T00:00:00"/>
    <n v="3639"/>
    <x v="397"/>
    <n v="792"/>
    <n v="3561"/>
    <n v="0"/>
  </r>
  <r>
    <x v="3"/>
    <x v="0"/>
    <s v="Сахар песок фас. 10кг:1"/>
    <n v="317.08"/>
    <d v="2012-07-08T00:00:00"/>
    <n v="3561"/>
    <x v="398"/>
    <n v="544"/>
    <n v="3948"/>
    <n v="0"/>
  </r>
  <r>
    <x v="3"/>
    <x v="0"/>
    <s v="Сахар песок фас. 10кг:1"/>
    <n v="317.08"/>
    <d v="2012-07-09T00:00:00"/>
    <n v="3948"/>
    <x v="399"/>
    <n v="676"/>
    <n v="4521"/>
    <n v="0"/>
  </r>
  <r>
    <x v="3"/>
    <x v="0"/>
    <s v="Сахар песок фас. 10кг:1"/>
    <n v="317.08"/>
    <d v="2012-07-10T00:00:00"/>
    <n v="4521"/>
    <x v="400"/>
    <n v="776"/>
    <n v="4139"/>
    <n v="0"/>
  </r>
  <r>
    <x v="3"/>
    <x v="0"/>
    <s v="Сахар песок фас. 10кг:1"/>
    <n v="317.08"/>
    <d v="2012-07-11T00:00:00"/>
    <n v="4139"/>
    <x v="401"/>
    <n v="801"/>
    <n v="3893"/>
    <n v="0"/>
  </r>
  <r>
    <x v="3"/>
    <x v="0"/>
    <s v="Сахар песок фас. 10кг:1"/>
    <n v="317.08"/>
    <d v="2012-07-12T00:00:00"/>
    <n v="3893"/>
    <x v="402"/>
    <n v="809"/>
    <n v="3949"/>
    <n v="0"/>
  </r>
  <r>
    <x v="3"/>
    <x v="0"/>
    <s v="Сахар песок фас. 10кг:1"/>
    <n v="317.08"/>
    <d v="2012-07-13T00:00:00"/>
    <n v="3949"/>
    <x v="403"/>
    <n v="987"/>
    <n v="4081"/>
    <n v="0"/>
  </r>
  <r>
    <x v="3"/>
    <x v="0"/>
    <s v="Сахар песок фас. 10кг:1"/>
    <n v="317.08"/>
    <d v="2012-07-14T00:00:00"/>
    <n v="4081"/>
    <x v="404"/>
    <n v="936"/>
    <n v="4115"/>
    <n v="0"/>
  </r>
  <r>
    <x v="3"/>
    <x v="0"/>
    <s v="Сахар песок фас. 10кг:1"/>
    <n v="317.08"/>
    <d v="2012-07-15T00:00:00"/>
    <n v="4115"/>
    <x v="405"/>
    <n v="791"/>
    <n v="4484"/>
    <n v="0"/>
  </r>
  <r>
    <x v="3"/>
    <x v="0"/>
    <s v="Сахар песок фас. 10кг:1"/>
    <n v="317.08"/>
    <d v="2012-07-16T00:00:00"/>
    <n v="4484"/>
    <x v="406"/>
    <n v="930"/>
    <n v="4676"/>
    <n v="0"/>
  </r>
  <r>
    <x v="3"/>
    <x v="0"/>
    <s v="Сахар песок фас. 10кг:1"/>
    <n v="317.08"/>
    <d v="2012-07-17T00:00:00"/>
    <n v="4676"/>
    <x v="407"/>
    <n v="914"/>
    <n v="4712"/>
    <n v="0"/>
  </r>
  <r>
    <x v="3"/>
    <x v="1"/>
    <s v="Сахар песок фас.1кг:6"/>
    <n v="33.659999999999997"/>
    <d v="2012-06-01T00:00:00"/>
    <n v="84748"/>
    <x v="408"/>
    <n v="14707"/>
    <n v="85646"/>
    <n v="2"/>
  </r>
  <r>
    <x v="3"/>
    <x v="1"/>
    <s v="Сахар песок фас.1кг:6"/>
    <n v="33.659999999999997"/>
    <d v="2012-06-02T00:00:00"/>
    <n v="85646"/>
    <x v="409"/>
    <n v="13775"/>
    <n v="87221"/>
    <n v="0"/>
  </r>
  <r>
    <x v="3"/>
    <x v="1"/>
    <s v="Сахар песок фас.1кг:6"/>
    <n v="33.659999999999997"/>
    <d v="2012-06-03T00:00:00"/>
    <n v="87221"/>
    <x v="410"/>
    <n v="13239"/>
    <n v="92844"/>
    <n v="0"/>
  </r>
  <r>
    <x v="3"/>
    <x v="1"/>
    <s v="Сахар песок фас.1кг:6"/>
    <n v="33.659999999999997"/>
    <d v="2012-06-04T00:00:00"/>
    <n v="92844"/>
    <x v="411"/>
    <n v="14630"/>
    <n v="92265"/>
    <n v="1"/>
  </r>
  <r>
    <x v="3"/>
    <x v="1"/>
    <s v="Сахар песок фас.1кг:6"/>
    <n v="33.659999999999997"/>
    <d v="2012-06-05T00:00:00"/>
    <n v="92265"/>
    <x v="412"/>
    <n v="14442"/>
    <n v="93340"/>
    <n v="0"/>
  </r>
  <r>
    <x v="3"/>
    <x v="1"/>
    <s v="Сахар песок фас.1кг:6"/>
    <n v="33.659999999999997"/>
    <d v="2012-06-06T00:00:00"/>
    <n v="93340"/>
    <x v="413"/>
    <n v="14539"/>
    <n v="97058"/>
    <n v="0"/>
  </r>
  <r>
    <x v="3"/>
    <x v="1"/>
    <s v="Сахар песок фас.1кг:6"/>
    <n v="33.659999999999997"/>
    <d v="2012-06-07T00:00:00"/>
    <n v="97058"/>
    <x v="414"/>
    <n v="13958"/>
    <n v="102320"/>
    <n v="0"/>
  </r>
  <r>
    <x v="3"/>
    <x v="1"/>
    <s v="Сахар песок фас.1кг:6"/>
    <n v="33.659999999999997"/>
    <d v="2012-06-08T00:00:00"/>
    <n v="102320"/>
    <x v="415"/>
    <n v="17162"/>
    <n v="99111"/>
    <n v="0"/>
  </r>
  <r>
    <x v="3"/>
    <x v="1"/>
    <s v="Сахар песок фас.1кг:6"/>
    <n v="33.659999999999997"/>
    <d v="2012-06-09T00:00:00"/>
    <n v="99111"/>
    <x v="416"/>
    <n v="14047"/>
    <n v="97976"/>
    <n v="0"/>
  </r>
  <r>
    <x v="3"/>
    <x v="1"/>
    <s v="Сахар песок фас.1кг:6"/>
    <n v="33.659999999999997"/>
    <d v="2012-06-10T00:00:00"/>
    <n v="97976"/>
    <x v="417"/>
    <n v="11759"/>
    <n v="101312"/>
    <n v="3"/>
  </r>
  <r>
    <x v="3"/>
    <x v="1"/>
    <s v="Сахар песок фас.1кг:6"/>
    <n v="33.659999999999997"/>
    <d v="2012-06-11T00:00:00"/>
    <n v="101312"/>
    <x v="418"/>
    <n v="10781"/>
    <n v="103144"/>
    <n v="0"/>
  </r>
  <r>
    <x v="3"/>
    <x v="1"/>
    <s v="Сахар песок фас.1кг:6"/>
    <n v="33.659999999999997"/>
    <d v="2012-06-12T00:00:00"/>
    <n v="103144"/>
    <x v="419"/>
    <n v="10666"/>
    <n v="102594"/>
    <n v="0"/>
  </r>
  <r>
    <x v="3"/>
    <x v="1"/>
    <s v="Сахар песок фас.1кг:6"/>
    <n v="33.659999999999997"/>
    <d v="2012-06-13T00:00:00"/>
    <n v="102594"/>
    <x v="420"/>
    <n v="11276"/>
    <n v="102281"/>
    <n v="0"/>
  </r>
  <r>
    <x v="3"/>
    <x v="1"/>
    <s v="Сахар песок фас.1кг:6"/>
    <n v="33.659999999999997"/>
    <d v="2012-06-14T00:00:00"/>
    <n v="102281"/>
    <x v="421"/>
    <n v="10830"/>
    <n v="101145"/>
    <n v="0"/>
  </r>
  <r>
    <x v="3"/>
    <x v="1"/>
    <s v="Сахар песок фас.1кг:6"/>
    <n v="33.659999999999997"/>
    <d v="2012-06-15T00:00:00"/>
    <n v="101145"/>
    <x v="422"/>
    <n v="11514"/>
    <n v="101264"/>
    <n v="1"/>
  </r>
  <r>
    <x v="3"/>
    <x v="1"/>
    <s v="Сахар песок фас.1кг:6"/>
    <n v="33.659999999999997"/>
    <d v="2012-06-16T00:00:00"/>
    <n v="101264"/>
    <x v="423"/>
    <n v="10642"/>
    <n v="100832"/>
    <n v="0"/>
  </r>
  <r>
    <x v="3"/>
    <x v="1"/>
    <s v="Сахар песок фас.1кг:6"/>
    <n v="33.659999999999997"/>
    <d v="2012-06-17T00:00:00"/>
    <n v="100832"/>
    <x v="424"/>
    <n v="10531"/>
    <n v="100700"/>
    <n v="0"/>
  </r>
  <r>
    <x v="3"/>
    <x v="1"/>
    <s v="Сахар песок фас.1кг:6"/>
    <n v="33.659999999999997"/>
    <d v="2012-06-18T00:00:00"/>
    <n v="100700"/>
    <x v="425"/>
    <n v="11600"/>
    <n v="100861"/>
    <n v="0"/>
  </r>
  <r>
    <x v="3"/>
    <x v="1"/>
    <s v="Сахар песок фас.1кг:6"/>
    <n v="33.659999999999997"/>
    <d v="2012-06-19T00:00:00"/>
    <n v="100861"/>
    <x v="426"/>
    <n v="12174"/>
    <n v="96841"/>
    <n v="0"/>
  </r>
  <r>
    <x v="3"/>
    <x v="1"/>
    <s v="Сахар песок фас.1кг:6"/>
    <n v="33.659999999999997"/>
    <d v="2012-06-20T00:00:00"/>
    <n v="96841"/>
    <x v="427"/>
    <n v="12743"/>
    <n v="92722"/>
    <n v="0"/>
  </r>
  <r>
    <x v="3"/>
    <x v="1"/>
    <s v="Сахар песок фас.1кг:6"/>
    <n v="33.659999999999997"/>
    <d v="2012-06-21T00:00:00"/>
    <n v="92722"/>
    <x v="428"/>
    <n v="11905"/>
    <n v="90610"/>
    <n v="0"/>
  </r>
  <r>
    <x v="3"/>
    <x v="1"/>
    <s v="Сахар песок фас.1кг:6"/>
    <n v="33.659999999999997"/>
    <d v="2012-06-22T00:00:00"/>
    <n v="90610"/>
    <x v="429"/>
    <n v="12396"/>
    <n v="82389"/>
    <n v="0"/>
  </r>
  <r>
    <x v="3"/>
    <x v="1"/>
    <s v="Сахар песок фас.1кг:6"/>
    <n v="33.659999999999997"/>
    <d v="2012-06-23T00:00:00"/>
    <n v="82389"/>
    <x v="430"/>
    <n v="11080"/>
    <n v="73565"/>
    <n v="0"/>
  </r>
  <r>
    <x v="3"/>
    <x v="1"/>
    <s v="Сахар песок фас.1кг:6"/>
    <n v="33.659999999999997"/>
    <d v="2012-06-24T00:00:00"/>
    <n v="73565"/>
    <x v="431"/>
    <n v="12370"/>
    <n v="64290"/>
    <n v="0"/>
  </r>
  <r>
    <x v="3"/>
    <x v="1"/>
    <s v="Сахар песок фас.1кг:6"/>
    <n v="33.659999999999997"/>
    <d v="2012-06-25T00:00:00"/>
    <n v="64290"/>
    <x v="432"/>
    <n v="11963"/>
    <n v="61760"/>
    <n v="0"/>
  </r>
  <r>
    <x v="3"/>
    <x v="1"/>
    <s v="Сахар песок фас.1кг:6"/>
    <n v="33.659999999999997"/>
    <d v="2012-06-26T00:00:00"/>
    <n v="61760"/>
    <x v="433"/>
    <n v="12742"/>
    <n v="64690"/>
    <n v="0"/>
  </r>
  <r>
    <x v="3"/>
    <x v="1"/>
    <s v="Сахар песок фас.1кг:6"/>
    <n v="33.659999999999997"/>
    <d v="2012-06-27T00:00:00"/>
    <n v="64690"/>
    <x v="434"/>
    <n v="12839"/>
    <n v="66919"/>
    <n v="0"/>
  </r>
  <r>
    <x v="3"/>
    <x v="1"/>
    <s v="Сахар песок фас.1кг:6"/>
    <n v="33.659999999999997"/>
    <d v="2012-06-28T00:00:00"/>
    <n v="66919"/>
    <x v="435"/>
    <n v="13232"/>
    <n v="72525"/>
    <n v="0"/>
  </r>
  <r>
    <x v="3"/>
    <x v="1"/>
    <s v="Сахар песок фас.1кг:6"/>
    <n v="33.659999999999997"/>
    <d v="2012-06-29T00:00:00"/>
    <n v="72525"/>
    <x v="436"/>
    <n v="15400"/>
    <n v="74013"/>
    <n v="0"/>
  </r>
  <r>
    <x v="3"/>
    <x v="1"/>
    <s v="Сахар песок фас.1кг:6"/>
    <n v="33.659999999999997"/>
    <d v="2012-06-30T00:00:00"/>
    <n v="74013"/>
    <x v="437"/>
    <n v="14995"/>
    <n v="78411"/>
    <n v="0"/>
  </r>
  <r>
    <x v="3"/>
    <x v="1"/>
    <s v="Сахар песок фас.1кг:6"/>
    <n v="33.659999999999997"/>
    <d v="2012-07-01T00:00:00"/>
    <n v="78411"/>
    <x v="438"/>
    <n v="15887"/>
    <n v="79452"/>
    <n v="0"/>
  </r>
  <r>
    <x v="3"/>
    <x v="1"/>
    <s v="Сахар песок фас.1кг:6"/>
    <n v="33.659999999999997"/>
    <d v="2012-07-02T00:00:00"/>
    <n v="79452"/>
    <x v="439"/>
    <n v="17383"/>
    <n v="80033"/>
    <n v="0"/>
  </r>
  <r>
    <x v="3"/>
    <x v="1"/>
    <s v="Сахар песок фас.1кг:6"/>
    <n v="33.659999999999997"/>
    <d v="2012-07-03T00:00:00"/>
    <n v="80033"/>
    <x v="440"/>
    <n v="17298"/>
    <n v="83786"/>
    <n v="1"/>
  </r>
  <r>
    <x v="3"/>
    <x v="1"/>
    <s v="Сахар песок фас.1кг:6"/>
    <n v="33.659999999999997"/>
    <d v="2012-07-04T00:00:00"/>
    <n v="83786"/>
    <x v="441"/>
    <n v="18545"/>
    <n v="84899"/>
    <n v="0"/>
  </r>
  <r>
    <x v="3"/>
    <x v="1"/>
    <s v="Сахар песок фас.1кг:6"/>
    <n v="33.659999999999997"/>
    <d v="2012-07-05T00:00:00"/>
    <n v="84899"/>
    <x v="442"/>
    <n v="19911"/>
    <n v="89201"/>
    <n v="1"/>
  </r>
  <r>
    <x v="3"/>
    <x v="1"/>
    <s v="Сахар песок фас.1кг:6"/>
    <n v="33.659999999999997"/>
    <d v="2012-07-06T00:00:00"/>
    <n v="89201"/>
    <x v="443"/>
    <n v="17900"/>
    <n v="95409"/>
    <n v="0"/>
  </r>
  <r>
    <x v="3"/>
    <x v="1"/>
    <s v="Сахар песок фас.1кг:6"/>
    <n v="33.659999999999997"/>
    <d v="2012-07-07T00:00:00"/>
    <n v="95409"/>
    <x v="444"/>
    <n v="15776"/>
    <n v="110038"/>
    <n v="0"/>
  </r>
  <r>
    <x v="3"/>
    <x v="1"/>
    <s v="Сахар песок фас.1кг:6"/>
    <n v="33.659999999999997"/>
    <d v="2012-07-08T00:00:00"/>
    <n v="110038"/>
    <x v="445"/>
    <n v="16332"/>
    <n v="104177"/>
    <n v="0"/>
  </r>
  <r>
    <x v="3"/>
    <x v="1"/>
    <s v="Сахар песок фас.1кг:6"/>
    <n v="33.659999999999997"/>
    <d v="2012-07-09T00:00:00"/>
    <n v="104177"/>
    <x v="446"/>
    <n v="18731"/>
    <n v="107043"/>
    <n v="0"/>
  </r>
  <r>
    <x v="3"/>
    <x v="1"/>
    <s v="Сахар песок фас.1кг:6"/>
    <n v="33.659999999999997"/>
    <d v="2012-07-10T00:00:00"/>
    <n v="107043"/>
    <x v="447"/>
    <n v="18715"/>
    <n v="110943"/>
    <n v="0"/>
  </r>
  <r>
    <x v="3"/>
    <x v="1"/>
    <s v="Сахар песок фас.1кг:6"/>
    <n v="33.659999999999997"/>
    <d v="2012-07-11T00:00:00"/>
    <n v="110943"/>
    <x v="448"/>
    <n v="20028"/>
    <n v="112205"/>
    <n v="1"/>
  </r>
  <r>
    <x v="3"/>
    <x v="1"/>
    <s v="Сахар песок фас.1кг:6"/>
    <n v="33.659999999999997"/>
    <d v="2012-07-12T00:00:00"/>
    <n v="112205"/>
    <x v="449"/>
    <n v="20350"/>
    <n v="112663"/>
    <n v="0"/>
  </r>
  <r>
    <x v="3"/>
    <x v="1"/>
    <s v="Сахар песок фас.1кг:6"/>
    <n v="33.659999999999997"/>
    <d v="2012-07-13T00:00:00"/>
    <n v="112663"/>
    <x v="450"/>
    <n v="20891"/>
    <n v="114963"/>
    <n v="0"/>
  </r>
  <r>
    <x v="3"/>
    <x v="1"/>
    <s v="Сахар песок фас.1кг:6"/>
    <n v="33.659999999999997"/>
    <d v="2012-07-14T00:00:00"/>
    <n v="114963"/>
    <x v="451"/>
    <n v="16839"/>
    <n v="117409"/>
    <n v="0"/>
  </r>
  <r>
    <x v="3"/>
    <x v="1"/>
    <s v="Сахар песок фас.1кг:6"/>
    <n v="33.659999999999997"/>
    <d v="2012-07-15T00:00:00"/>
    <n v="117409"/>
    <x v="452"/>
    <n v="11677"/>
    <n v="113498"/>
    <n v="0"/>
  </r>
  <r>
    <x v="3"/>
    <x v="1"/>
    <s v="Сахар песок фас.1кг:6"/>
    <n v="33.659999999999997"/>
    <d v="2012-07-16T00:00:00"/>
    <n v="113498"/>
    <x v="453"/>
    <n v="11967"/>
    <n v="125597"/>
    <n v="0"/>
  </r>
  <r>
    <x v="3"/>
    <x v="1"/>
    <s v="Сахар песок фас.1кг:6"/>
    <n v="33.659999999999997"/>
    <d v="2012-07-17T00:00:00"/>
    <n v="125597"/>
    <x v="454"/>
    <n v="11670"/>
    <n v="113903"/>
    <n v="0"/>
  </r>
  <r>
    <x v="3"/>
    <x v="2"/>
    <s v="Сахар песок фас.5кг :1"/>
    <n v="165.05"/>
    <d v="2012-06-01T00:00:00"/>
    <n v="10508"/>
    <x v="455"/>
    <n v="1883"/>
    <n v="10061"/>
    <n v="0"/>
  </r>
  <r>
    <x v="3"/>
    <x v="2"/>
    <s v="Сахар песок фас.5кг :1"/>
    <n v="165.05"/>
    <d v="2012-06-02T00:00:00"/>
    <n v="10061"/>
    <x v="456"/>
    <n v="2038"/>
    <n v="9581"/>
    <n v="0"/>
  </r>
  <r>
    <x v="3"/>
    <x v="2"/>
    <s v="Сахар песок фас.5кг :1"/>
    <n v="165.05"/>
    <d v="2012-06-03T00:00:00"/>
    <n v="9581"/>
    <x v="457"/>
    <n v="1710"/>
    <n v="9952"/>
    <n v="0"/>
  </r>
  <r>
    <x v="3"/>
    <x v="2"/>
    <s v="Сахар песок фас.5кг :1"/>
    <n v="165.05"/>
    <d v="2012-06-04T00:00:00"/>
    <n v="9952"/>
    <x v="458"/>
    <n v="1706"/>
    <n v="10512"/>
    <n v="1"/>
  </r>
  <r>
    <x v="3"/>
    <x v="2"/>
    <s v="Сахар песок фас.5кг :1"/>
    <n v="165.05"/>
    <d v="2012-06-05T00:00:00"/>
    <n v="10512"/>
    <x v="459"/>
    <n v="1631"/>
    <n v="10413"/>
    <n v="0"/>
  </r>
  <r>
    <x v="3"/>
    <x v="2"/>
    <s v="Сахар песок фас.5кг :1"/>
    <n v="165.05"/>
    <d v="2012-06-06T00:00:00"/>
    <n v="10413"/>
    <x v="460"/>
    <n v="1625"/>
    <n v="10525"/>
    <n v="0"/>
  </r>
  <r>
    <x v="3"/>
    <x v="2"/>
    <s v="Сахар песок фас.5кг :1"/>
    <n v="165.05"/>
    <d v="2012-06-07T00:00:00"/>
    <n v="10525"/>
    <x v="461"/>
    <n v="1673"/>
    <n v="10676"/>
    <n v="0"/>
  </r>
  <r>
    <x v="3"/>
    <x v="2"/>
    <s v="Сахар песок фас.5кг :1"/>
    <n v="165.05"/>
    <d v="2012-06-08T00:00:00"/>
    <n v="10676"/>
    <x v="462"/>
    <n v="1930"/>
    <n v="10083"/>
    <n v="0"/>
  </r>
  <r>
    <x v="3"/>
    <x v="2"/>
    <s v="Сахар песок фас.5кг :1"/>
    <n v="165.05"/>
    <d v="2012-06-09T00:00:00"/>
    <n v="10083"/>
    <x v="463"/>
    <n v="2045"/>
    <n v="9473"/>
    <n v="0"/>
  </r>
  <r>
    <x v="3"/>
    <x v="2"/>
    <s v="Сахар песок фас.5кг :1"/>
    <n v="165.05"/>
    <d v="2012-06-10T00:00:00"/>
    <n v="9473"/>
    <x v="464"/>
    <n v="1639"/>
    <n v="9527"/>
    <n v="0"/>
  </r>
  <r>
    <x v="3"/>
    <x v="2"/>
    <s v="Сахар песок фас.5кг :1"/>
    <n v="165.05"/>
    <d v="2012-06-11T00:00:00"/>
    <n v="9527"/>
    <x v="465"/>
    <n v="1425"/>
    <n v="9796"/>
    <n v="0"/>
  </r>
  <r>
    <x v="3"/>
    <x v="2"/>
    <s v="Сахар песок фас.5кг :1"/>
    <n v="165.05"/>
    <d v="2012-06-12T00:00:00"/>
    <n v="9796"/>
    <x v="462"/>
    <n v="1291"/>
    <n v="9831"/>
    <n v="0"/>
  </r>
  <r>
    <x v="3"/>
    <x v="2"/>
    <s v="Сахар песок фас.5кг :1"/>
    <n v="165.05"/>
    <d v="2012-06-13T00:00:00"/>
    <n v="9831"/>
    <x v="466"/>
    <n v="1356"/>
    <n v="9994"/>
    <n v="0"/>
  </r>
  <r>
    <x v="3"/>
    <x v="2"/>
    <s v="Сахар песок фас.5кг :1"/>
    <n v="165.05"/>
    <d v="2012-06-14T00:00:00"/>
    <n v="9994"/>
    <x v="467"/>
    <n v="1503"/>
    <n v="9837"/>
    <n v="1"/>
  </r>
  <r>
    <x v="3"/>
    <x v="2"/>
    <s v="Сахар песок фас.5кг :1"/>
    <n v="165.05"/>
    <d v="2012-06-15T00:00:00"/>
    <n v="9837"/>
    <x v="468"/>
    <n v="1814"/>
    <n v="9472"/>
    <n v="0"/>
  </r>
  <r>
    <x v="3"/>
    <x v="2"/>
    <s v="Сахар песок фас.5кг :1"/>
    <n v="165.05"/>
    <d v="2012-06-16T00:00:00"/>
    <n v="9472"/>
    <x v="469"/>
    <n v="1638"/>
    <n v="9313"/>
    <n v="0"/>
  </r>
  <r>
    <x v="3"/>
    <x v="2"/>
    <s v="Сахар песок фас.5кг :1"/>
    <n v="165.05"/>
    <d v="2012-06-17T00:00:00"/>
    <n v="9313"/>
    <x v="247"/>
    <n v="1397"/>
    <n v="9487"/>
    <n v="0"/>
  </r>
  <r>
    <x v="3"/>
    <x v="2"/>
    <s v="Сахар песок фас.5кг :1"/>
    <n v="165.05"/>
    <d v="2012-06-18T00:00:00"/>
    <n v="9487"/>
    <x v="470"/>
    <n v="1667"/>
    <n v="9522"/>
    <n v="0"/>
  </r>
  <r>
    <x v="3"/>
    <x v="2"/>
    <s v="Сахар песок фас.5кг :1"/>
    <n v="165.05"/>
    <d v="2012-06-19T00:00:00"/>
    <n v="9522"/>
    <x v="471"/>
    <n v="1698"/>
    <n v="9094"/>
    <n v="0"/>
  </r>
  <r>
    <x v="3"/>
    <x v="2"/>
    <s v="Сахар песок фас.5кг :1"/>
    <n v="165.05"/>
    <d v="2012-06-20T00:00:00"/>
    <n v="9094"/>
    <x v="472"/>
    <n v="1741"/>
    <n v="8736"/>
    <n v="0"/>
  </r>
  <r>
    <x v="3"/>
    <x v="2"/>
    <s v="Сахар песок фас.5кг :1"/>
    <n v="165.05"/>
    <d v="2012-06-21T00:00:00"/>
    <n v="8736"/>
    <x v="473"/>
    <n v="1587"/>
    <n v="8942"/>
    <n v="0"/>
  </r>
  <r>
    <x v="3"/>
    <x v="2"/>
    <s v="Сахар песок фас.5кг :1"/>
    <n v="165.05"/>
    <d v="2012-06-22T00:00:00"/>
    <n v="8942"/>
    <x v="395"/>
    <n v="1858"/>
    <n v="7779"/>
    <n v="0"/>
  </r>
  <r>
    <x v="3"/>
    <x v="2"/>
    <s v="Сахар песок фас.5кг :1"/>
    <n v="165.05"/>
    <d v="2012-06-23T00:00:00"/>
    <n v="7779"/>
    <x v="474"/>
    <n v="1675"/>
    <n v="6714"/>
    <n v="0"/>
  </r>
  <r>
    <x v="3"/>
    <x v="2"/>
    <s v="Сахар песок фас.5кг :1"/>
    <n v="165.05"/>
    <d v="2012-06-24T00:00:00"/>
    <n v="6714"/>
    <x v="475"/>
    <n v="1466"/>
    <n v="6559"/>
    <n v="0"/>
  </r>
  <r>
    <x v="3"/>
    <x v="2"/>
    <s v="Сахар песок фас.5кг :1"/>
    <n v="165.05"/>
    <d v="2012-06-25T00:00:00"/>
    <n v="6559"/>
    <x v="476"/>
    <n v="1560"/>
    <n v="6892"/>
    <n v="0"/>
  </r>
  <r>
    <x v="3"/>
    <x v="2"/>
    <s v="Сахар песок фас.5кг :1"/>
    <n v="165.05"/>
    <d v="2012-06-26T00:00:00"/>
    <n v="6892"/>
    <x v="477"/>
    <n v="1705"/>
    <n v="6821"/>
    <n v="0"/>
  </r>
  <r>
    <x v="3"/>
    <x v="2"/>
    <s v="Сахар песок фас.5кг :1"/>
    <n v="165.05"/>
    <d v="2012-06-27T00:00:00"/>
    <n v="6821"/>
    <x v="478"/>
    <n v="1754"/>
    <n v="7072"/>
    <n v="0"/>
  </r>
  <r>
    <x v="3"/>
    <x v="2"/>
    <s v="Сахар песок фас.5кг :1"/>
    <n v="165.05"/>
    <d v="2012-06-28T00:00:00"/>
    <n v="7072"/>
    <x v="479"/>
    <n v="1942"/>
    <n v="7294"/>
    <n v="0"/>
  </r>
  <r>
    <x v="3"/>
    <x v="2"/>
    <s v="Сахар песок фас.5кг :1"/>
    <n v="165.05"/>
    <d v="2012-06-29T00:00:00"/>
    <n v="7294"/>
    <x v="260"/>
    <n v="2030"/>
    <n v="6851"/>
    <n v="0"/>
  </r>
  <r>
    <x v="3"/>
    <x v="2"/>
    <s v="Сахар песок фас.5кг :1"/>
    <n v="165.05"/>
    <d v="2012-06-30T00:00:00"/>
    <n v="6851"/>
    <x v="480"/>
    <n v="1824"/>
    <n v="6939"/>
    <n v="0"/>
  </r>
  <r>
    <x v="3"/>
    <x v="2"/>
    <s v="Сахар песок фас.5кг :1"/>
    <n v="165.05"/>
    <d v="2012-07-01T00:00:00"/>
    <n v="6939"/>
    <x v="481"/>
    <n v="1536"/>
    <n v="9005"/>
    <n v="0"/>
  </r>
  <r>
    <x v="3"/>
    <x v="2"/>
    <s v="Сахар песок фас.5кг :1"/>
    <n v="165.05"/>
    <d v="2012-07-02T00:00:00"/>
    <n v="9005"/>
    <x v="482"/>
    <n v="1978"/>
    <n v="9521"/>
    <n v="0"/>
  </r>
  <r>
    <x v="3"/>
    <x v="2"/>
    <s v="Сахар песок фас.5кг :1"/>
    <n v="165.05"/>
    <d v="2012-07-03T00:00:00"/>
    <n v="9521"/>
    <x v="483"/>
    <n v="2027"/>
    <n v="7860"/>
    <n v="0"/>
  </r>
  <r>
    <x v="3"/>
    <x v="2"/>
    <s v="Сахар песок фас.5кг :1"/>
    <n v="165.05"/>
    <d v="2012-07-04T00:00:00"/>
    <n v="7860"/>
    <x v="484"/>
    <n v="2210"/>
    <n v="7835"/>
    <n v="0"/>
  </r>
  <r>
    <x v="3"/>
    <x v="2"/>
    <s v="Сахар песок фас.5кг :1"/>
    <n v="165.05"/>
    <d v="2012-07-05T00:00:00"/>
    <n v="7835"/>
    <x v="485"/>
    <n v="2296"/>
    <n v="8769"/>
    <n v="0"/>
  </r>
  <r>
    <x v="3"/>
    <x v="2"/>
    <s v="Сахар песок фас.5кг :1"/>
    <n v="165.05"/>
    <d v="2012-07-06T00:00:00"/>
    <n v="8769"/>
    <x v="486"/>
    <n v="2746"/>
    <n v="8613"/>
    <n v="0"/>
  </r>
  <r>
    <x v="3"/>
    <x v="2"/>
    <s v="Сахар песок фас.5кг :1"/>
    <n v="165.05"/>
    <d v="2012-07-07T00:00:00"/>
    <n v="8613"/>
    <x v="487"/>
    <n v="2473"/>
    <n v="9115"/>
    <n v="0"/>
  </r>
  <r>
    <x v="3"/>
    <x v="2"/>
    <s v="Сахар песок фас.5кг :1"/>
    <n v="165.05"/>
    <d v="2012-07-08T00:00:00"/>
    <n v="9115"/>
    <x v="488"/>
    <n v="2033"/>
    <n v="10017"/>
    <n v="0"/>
  </r>
  <r>
    <x v="3"/>
    <x v="2"/>
    <s v="Сахар песок фас.5кг :1"/>
    <n v="165.05"/>
    <d v="2012-07-09T00:00:00"/>
    <n v="10017"/>
    <x v="333"/>
    <n v="2394"/>
    <n v="10967"/>
    <n v="0"/>
  </r>
  <r>
    <x v="3"/>
    <x v="2"/>
    <s v="Сахар песок фас.5кг :1"/>
    <n v="165.05"/>
    <d v="2012-07-10T00:00:00"/>
    <n v="10967"/>
    <x v="489"/>
    <n v="2401"/>
    <n v="10968"/>
    <n v="0"/>
  </r>
  <r>
    <x v="3"/>
    <x v="2"/>
    <s v="Сахар песок фас.5кг :1"/>
    <n v="165.05"/>
    <d v="2012-07-11T00:00:00"/>
    <n v="10968"/>
    <x v="490"/>
    <n v="2580"/>
    <n v="10849"/>
    <n v="0"/>
  </r>
  <r>
    <x v="3"/>
    <x v="2"/>
    <s v="Сахар песок фас.5кг :1"/>
    <n v="165.05"/>
    <d v="2012-07-12T00:00:00"/>
    <n v="10849"/>
    <x v="491"/>
    <n v="2637"/>
    <n v="10932"/>
    <n v="0"/>
  </r>
  <r>
    <x v="3"/>
    <x v="2"/>
    <s v="Сахар песок фас.5кг :1"/>
    <n v="165.05"/>
    <d v="2012-07-13T00:00:00"/>
    <n v="10932"/>
    <x v="492"/>
    <n v="3076"/>
    <n v="10851"/>
    <n v="0"/>
  </r>
  <r>
    <x v="3"/>
    <x v="2"/>
    <s v="Сахар песок фас.5кг :1"/>
    <n v="165.05"/>
    <d v="2012-07-14T00:00:00"/>
    <n v="10851"/>
    <x v="493"/>
    <n v="3134"/>
    <n v="10632"/>
    <n v="0"/>
  </r>
  <r>
    <x v="3"/>
    <x v="2"/>
    <s v="Сахар песок фас.5кг :1"/>
    <n v="165.05"/>
    <d v="2012-07-15T00:00:00"/>
    <n v="10632"/>
    <x v="494"/>
    <n v="3564"/>
    <n v="10895"/>
    <n v="0"/>
  </r>
  <r>
    <x v="3"/>
    <x v="2"/>
    <s v="Сахар песок фас.5кг :1"/>
    <n v="165.05"/>
    <d v="2012-07-16T00:00:00"/>
    <n v="10895"/>
    <x v="495"/>
    <n v="3626"/>
    <n v="8499"/>
    <n v="0"/>
  </r>
  <r>
    <x v="3"/>
    <x v="2"/>
    <s v="Сахар песок фас.5кг :1"/>
    <n v="165.05"/>
    <d v="2012-07-17T00:00:00"/>
    <n v="8499"/>
    <x v="496"/>
    <n v="3460"/>
    <n v="5401"/>
    <n v="0"/>
  </r>
  <r>
    <x v="4"/>
    <x v="0"/>
    <s v="Сахар песок фас. 10кг:1"/>
    <n v="317.08"/>
    <d v="2012-06-01T00:00:00"/>
    <n v="3903"/>
    <x v="401"/>
    <n v="610"/>
    <n v="3841"/>
    <n v="0"/>
  </r>
  <r>
    <x v="4"/>
    <x v="0"/>
    <s v="Сахар песок фас. 10кг:1"/>
    <n v="317.08"/>
    <d v="2012-06-02T00:00:00"/>
    <n v="3841"/>
    <x v="497"/>
    <n v="603"/>
    <n v="3918"/>
    <n v="0"/>
  </r>
  <r>
    <x v="4"/>
    <x v="0"/>
    <s v="Сахар песок фас. 10кг:1"/>
    <n v="317.08"/>
    <d v="2012-06-03T00:00:00"/>
    <n v="3918"/>
    <x v="498"/>
    <n v="632"/>
    <n v="3759"/>
    <n v="0"/>
  </r>
  <r>
    <x v="4"/>
    <x v="0"/>
    <s v="Сахар песок фас. 10кг:1"/>
    <n v="317.08"/>
    <d v="2012-06-04T00:00:00"/>
    <n v="3759"/>
    <x v="498"/>
    <n v="771"/>
    <n v="3445"/>
    <n v="0"/>
  </r>
  <r>
    <x v="4"/>
    <x v="0"/>
    <s v="Сахар песок фас. 10кг:1"/>
    <n v="317.08"/>
    <d v="2012-06-05T00:00:00"/>
    <n v="3445"/>
    <x v="499"/>
    <n v="878"/>
    <n v="3120"/>
    <n v="0"/>
  </r>
  <r>
    <x v="4"/>
    <x v="0"/>
    <s v="Сахар песок фас. 10кг:1"/>
    <n v="317.08"/>
    <d v="2012-06-06T00:00:00"/>
    <n v="3120"/>
    <x v="500"/>
    <n v="743"/>
    <n v="2372"/>
    <n v="0"/>
  </r>
  <r>
    <x v="4"/>
    <x v="0"/>
    <s v="Сахар песок фас. 10кг:1"/>
    <n v="317.08"/>
    <d v="2012-06-07T00:00:00"/>
    <n v="2372"/>
    <x v="501"/>
    <n v="610"/>
    <n v="1790"/>
    <n v="0"/>
  </r>
  <r>
    <x v="4"/>
    <x v="0"/>
    <s v="Сахар песок фас. 10кг:1"/>
    <n v="317.08"/>
    <d v="2012-06-08T00:00:00"/>
    <n v="1790"/>
    <x v="502"/>
    <n v="515"/>
    <n v="3198"/>
    <n v="0"/>
  </r>
  <r>
    <x v="4"/>
    <x v="0"/>
    <s v="Сахар песок фас. 10кг:1"/>
    <n v="317.08"/>
    <d v="2012-06-09T00:00:00"/>
    <n v="3198"/>
    <x v="503"/>
    <n v="585"/>
    <n v="3140"/>
    <n v="0"/>
  </r>
  <r>
    <x v="4"/>
    <x v="0"/>
    <s v="Сахар песок фас. 10кг:1"/>
    <n v="317.08"/>
    <d v="2012-06-10T00:00:00"/>
    <n v="3140"/>
    <x v="504"/>
    <n v="412"/>
    <n v="3412"/>
    <n v="0"/>
  </r>
  <r>
    <x v="4"/>
    <x v="0"/>
    <s v="Сахар песок фас. 10кг:1"/>
    <n v="317.08"/>
    <d v="2012-06-11T00:00:00"/>
    <n v="3412"/>
    <x v="505"/>
    <n v="385"/>
    <n v="4205"/>
    <n v="0"/>
  </r>
  <r>
    <x v="4"/>
    <x v="0"/>
    <s v="Сахар песок фас. 10кг:1"/>
    <n v="317.08"/>
    <d v="2012-06-12T00:00:00"/>
    <n v="4205"/>
    <x v="506"/>
    <n v="481"/>
    <n v="4306"/>
    <n v="0"/>
  </r>
  <r>
    <x v="4"/>
    <x v="0"/>
    <s v="Сахар песок фас. 10кг:1"/>
    <n v="317.08"/>
    <d v="2012-06-13T00:00:00"/>
    <n v="4306"/>
    <x v="507"/>
    <n v="504"/>
    <n v="4182"/>
    <n v="0"/>
  </r>
  <r>
    <x v="4"/>
    <x v="0"/>
    <s v="Сахар песок фас. 10кг:1"/>
    <n v="317.08"/>
    <d v="2012-06-14T00:00:00"/>
    <n v="4182"/>
    <x v="508"/>
    <n v="559"/>
    <n v="4113"/>
    <n v="0"/>
  </r>
  <r>
    <x v="4"/>
    <x v="0"/>
    <s v="Сахар песок фас. 10кг:1"/>
    <n v="317.08"/>
    <d v="2012-06-15T00:00:00"/>
    <n v="4113"/>
    <x v="509"/>
    <n v="701"/>
    <n v="3914"/>
    <n v="0"/>
  </r>
  <r>
    <x v="4"/>
    <x v="0"/>
    <s v="Сахар песок фас. 10кг:1"/>
    <n v="317.08"/>
    <d v="2012-06-16T00:00:00"/>
    <n v="3914"/>
    <x v="510"/>
    <n v="708"/>
    <n v="3738"/>
    <n v="0"/>
  </r>
  <r>
    <x v="4"/>
    <x v="0"/>
    <s v="Сахар песок фас. 10кг:1"/>
    <n v="317.08"/>
    <d v="2012-06-17T00:00:00"/>
    <n v="3738"/>
    <x v="511"/>
    <n v="810"/>
    <n v="3533"/>
    <n v="0"/>
  </r>
  <r>
    <x v="4"/>
    <x v="0"/>
    <s v="Сахар песок фас. 10кг:1"/>
    <n v="317.08"/>
    <d v="2012-06-18T00:00:00"/>
    <n v="3533"/>
    <x v="512"/>
    <n v="814"/>
    <n v="3522"/>
    <n v="0"/>
  </r>
  <r>
    <x v="4"/>
    <x v="0"/>
    <s v="Сахар песок фас. 10кг:1"/>
    <n v="317.08"/>
    <d v="2012-06-19T00:00:00"/>
    <n v="3522"/>
    <x v="513"/>
    <n v="816"/>
    <n v="3621"/>
    <n v="0"/>
  </r>
  <r>
    <x v="4"/>
    <x v="0"/>
    <s v="Сахар песок фас. 10кг:1"/>
    <n v="317.08"/>
    <d v="2012-06-20T00:00:00"/>
    <n v="3621"/>
    <x v="514"/>
    <n v="916"/>
    <n v="3877"/>
    <n v="0"/>
  </r>
  <r>
    <x v="4"/>
    <x v="0"/>
    <s v="Сахар песок фас. 10кг:1"/>
    <n v="317.08"/>
    <d v="2012-06-21T00:00:00"/>
    <n v="3877"/>
    <x v="515"/>
    <n v="1039"/>
    <n v="3704"/>
    <n v="0"/>
  </r>
  <r>
    <x v="4"/>
    <x v="0"/>
    <s v="Сахар песок фас. 10кг:1"/>
    <n v="317.08"/>
    <d v="2012-06-22T00:00:00"/>
    <n v="3704"/>
    <x v="516"/>
    <n v="1086"/>
    <n v="3473"/>
    <n v="0"/>
  </r>
  <r>
    <x v="4"/>
    <x v="0"/>
    <s v="Сахар песок фас. 10кг:1"/>
    <n v="317.08"/>
    <d v="2012-06-23T00:00:00"/>
    <n v="3473"/>
    <x v="517"/>
    <n v="1065"/>
    <n v="3266"/>
    <n v="0"/>
  </r>
  <r>
    <x v="4"/>
    <x v="0"/>
    <s v="Сахар песок фас. 10кг:1"/>
    <n v="317.08"/>
    <d v="2012-06-24T00:00:00"/>
    <n v="3266"/>
    <x v="518"/>
    <n v="1120"/>
    <n v="3560"/>
    <n v="0"/>
  </r>
  <r>
    <x v="4"/>
    <x v="0"/>
    <s v="Сахар песок фас. 10кг:1"/>
    <n v="317.08"/>
    <d v="2012-06-25T00:00:00"/>
    <n v="3560"/>
    <x v="519"/>
    <n v="1062"/>
    <n v="3571"/>
    <n v="0"/>
  </r>
  <r>
    <x v="4"/>
    <x v="0"/>
    <s v="Сахар песок фас. 10кг:1"/>
    <n v="317.08"/>
    <d v="2012-06-26T00:00:00"/>
    <n v="3571"/>
    <x v="520"/>
    <n v="1010"/>
    <n v="3538"/>
    <n v="0"/>
  </r>
  <r>
    <x v="4"/>
    <x v="0"/>
    <s v="Сахар песок фас. 10кг:1"/>
    <n v="317.08"/>
    <d v="2012-06-27T00:00:00"/>
    <n v="3538"/>
    <x v="407"/>
    <n v="934"/>
    <n v="3550"/>
    <n v="0"/>
  </r>
  <r>
    <x v="4"/>
    <x v="0"/>
    <s v="Сахар песок фас. 10кг:1"/>
    <n v="317.08"/>
    <d v="2012-06-28T00:00:00"/>
    <n v="3550"/>
    <x v="521"/>
    <n v="999"/>
    <n v="3844"/>
    <n v="0"/>
  </r>
  <r>
    <x v="4"/>
    <x v="0"/>
    <s v="Сахар песок фас. 10кг:1"/>
    <n v="317.08"/>
    <d v="2012-06-29T00:00:00"/>
    <n v="3844"/>
    <x v="522"/>
    <n v="1113"/>
    <n v="3880"/>
    <n v="0"/>
  </r>
  <r>
    <x v="4"/>
    <x v="0"/>
    <s v="Сахар песок фас. 10кг:1"/>
    <n v="317.08"/>
    <d v="2012-06-30T00:00:00"/>
    <n v="3880"/>
    <x v="523"/>
    <n v="1345"/>
    <n v="3263"/>
    <n v="0"/>
  </r>
  <r>
    <x v="4"/>
    <x v="0"/>
    <s v="Сахар песок фас. 10кг:1"/>
    <n v="317.08"/>
    <d v="2012-07-01T00:00:00"/>
    <n v="3263"/>
    <x v="524"/>
    <n v="1463"/>
    <n v="2911"/>
    <n v="0"/>
  </r>
  <r>
    <x v="4"/>
    <x v="0"/>
    <s v="Сахар песок фас. 10кг:1"/>
    <n v="317.08"/>
    <d v="2012-07-02T00:00:00"/>
    <n v="2911"/>
    <x v="525"/>
    <n v="1089"/>
    <n v="2000"/>
    <n v="0"/>
  </r>
  <r>
    <x v="4"/>
    <x v="0"/>
    <s v="Сахар песок фас. 10кг:1"/>
    <n v="317.08"/>
    <d v="2012-07-03T00:00:00"/>
    <n v="2000"/>
    <x v="526"/>
    <n v="893"/>
    <n v="1838"/>
    <n v="0"/>
  </r>
  <r>
    <x v="4"/>
    <x v="0"/>
    <s v="Сахар песок фас. 10кг:1"/>
    <n v="317.08"/>
    <d v="2012-07-04T00:00:00"/>
    <n v="1838"/>
    <x v="527"/>
    <n v="720"/>
    <n v="1106"/>
    <n v="0"/>
  </r>
  <r>
    <x v="4"/>
    <x v="0"/>
    <s v="Сахар песок фас. 10кг:1"/>
    <n v="317.08"/>
    <d v="2012-07-05T00:00:00"/>
    <n v="1106"/>
    <x v="528"/>
    <n v="497"/>
    <n v="1078"/>
    <n v="0"/>
  </r>
  <r>
    <x v="4"/>
    <x v="0"/>
    <s v="Сахар песок фас. 10кг:1"/>
    <n v="317.08"/>
    <d v="2012-07-06T00:00:00"/>
    <n v="1078"/>
    <x v="529"/>
    <n v="720"/>
    <n v="2554"/>
    <n v="0"/>
  </r>
  <r>
    <x v="4"/>
    <x v="0"/>
    <s v="Сахар песок фас. 10кг:1"/>
    <n v="317.08"/>
    <d v="2012-07-07T00:00:00"/>
    <n v="2554"/>
    <x v="530"/>
    <n v="1020"/>
    <n v="2083"/>
    <n v="1"/>
  </r>
  <r>
    <x v="4"/>
    <x v="0"/>
    <s v="Сахар песок фас. 10кг:1"/>
    <n v="317.08"/>
    <d v="2012-07-08T00:00:00"/>
    <n v="2083"/>
    <x v="531"/>
    <n v="1095"/>
    <n v="1616"/>
    <n v="0"/>
  </r>
  <r>
    <x v="4"/>
    <x v="0"/>
    <s v="Сахар песок фас. 10кг:1"/>
    <n v="317.08"/>
    <d v="2012-07-09T00:00:00"/>
    <n v="1616"/>
    <x v="532"/>
    <n v="619"/>
    <n v="1382"/>
    <n v="0"/>
  </r>
  <r>
    <x v="4"/>
    <x v="0"/>
    <s v="Сахар песок фас. 10кг:1"/>
    <n v="317.08"/>
    <d v="2012-07-10T00:00:00"/>
    <n v="1382"/>
    <x v="533"/>
    <n v="398"/>
    <n v="1220"/>
    <n v="0"/>
  </r>
  <r>
    <x v="4"/>
    <x v="0"/>
    <s v="Сахар песок фас. 10кг:1"/>
    <n v="317.08"/>
    <d v="2012-07-11T00:00:00"/>
    <n v="1220"/>
    <x v="534"/>
    <n v="361"/>
    <n v="949"/>
    <n v="0"/>
  </r>
  <r>
    <x v="4"/>
    <x v="0"/>
    <s v="Сахар песок фас. 10кг:1"/>
    <n v="317.08"/>
    <d v="2012-07-12T00:00:00"/>
    <n v="949"/>
    <x v="32"/>
    <n v="234"/>
    <n v="718"/>
    <n v="0"/>
  </r>
  <r>
    <x v="4"/>
    <x v="0"/>
    <s v="Сахар песок фас. 10кг:1"/>
    <n v="317.08"/>
    <d v="2012-07-13T00:00:00"/>
    <n v="718"/>
    <x v="535"/>
    <n v="190"/>
    <n v="1061"/>
    <n v="0"/>
  </r>
  <r>
    <x v="4"/>
    <x v="0"/>
    <s v="Сахар песок фас. 10кг:1"/>
    <n v="317.08"/>
    <d v="2012-07-14T00:00:00"/>
    <n v="1061"/>
    <x v="536"/>
    <n v="275"/>
    <n v="1117"/>
    <n v="0"/>
  </r>
  <r>
    <x v="4"/>
    <x v="0"/>
    <s v="Сахар песок фас. 10кг:1"/>
    <n v="317.08"/>
    <d v="2012-07-15T00:00:00"/>
    <n v="1117"/>
    <x v="537"/>
    <n v="498"/>
    <n v="2248"/>
    <n v="0"/>
  </r>
  <r>
    <x v="4"/>
    <x v="0"/>
    <s v="Сахар песок фас. 10кг:1"/>
    <n v="317.08"/>
    <d v="2012-07-16T00:00:00"/>
    <n v="2248"/>
    <x v="223"/>
    <n v="1004"/>
    <n v="4493"/>
    <n v="0"/>
  </r>
  <r>
    <x v="4"/>
    <x v="0"/>
    <s v="Сахар песок фас. 10кг:1"/>
    <n v="317.08"/>
    <d v="2012-07-17T00:00:00"/>
    <n v="4493"/>
    <x v="538"/>
    <n v="922"/>
    <n v="5055"/>
    <n v="0"/>
  </r>
  <r>
    <x v="4"/>
    <x v="1"/>
    <s v="Сахар песок фас.1кг:6"/>
    <n v="33.659999999999997"/>
    <d v="2012-06-01T00:00:00"/>
    <n v="104376.99951199999"/>
    <x v="539"/>
    <n v="14587"/>
    <n v="99657.999511999995"/>
    <n v="0"/>
  </r>
  <r>
    <x v="4"/>
    <x v="1"/>
    <s v="Сахар песок фас.1кг:6"/>
    <n v="33.659999999999997"/>
    <d v="2012-06-02T00:00:00"/>
    <n v="99657.999511999995"/>
    <x v="539"/>
    <n v="12051"/>
    <n v="96923.999511999995"/>
    <n v="0"/>
  </r>
  <r>
    <x v="4"/>
    <x v="1"/>
    <s v="Сахар песок фас.1кг:6"/>
    <n v="33.659999999999997"/>
    <d v="2012-06-03T00:00:00"/>
    <n v="96923.999511999995"/>
    <x v="540"/>
    <n v="12511"/>
    <n v="94443.999511999995"/>
    <n v="0"/>
  </r>
  <r>
    <x v="4"/>
    <x v="1"/>
    <s v="Сахар песок фас.1кг:6"/>
    <n v="33.659999999999997"/>
    <d v="2012-06-04T00:00:00"/>
    <n v="94443.999511999995"/>
    <x v="541"/>
    <n v="15971"/>
    <n v="85129.999511999995"/>
    <n v="0"/>
  </r>
  <r>
    <x v="4"/>
    <x v="1"/>
    <s v="Сахар песок фас.1кг:6"/>
    <n v="33.659999999999997"/>
    <d v="2012-06-05T00:00:00"/>
    <n v="85129.999511999995"/>
    <x v="542"/>
    <n v="15743"/>
    <n v="83297.999511999995"/>
    <n v="0"/>
  </r>
  <r>
    <x v="4"/>
    <x v="1"/>
    <s v="Сахар песок фас.1кг:6"/>
    <n v="33.659999999999997"/>
    <d v="2012-06-06T00:00:00"/>
    <n v="83297.999511999995"/>
    <x v="543"/>
    <n v="15493"/>
    <n v="85954.999511999995"/>
    <n v="1"/>
  </r>
  <r>
    <x v="4"/>
    <x v="1"/>
    <s v="Сахар песок фас.1кг:6"/>
    <n v="33.659999999999997"/>
    <d v="2012-06-07T00:00:00"/>
    <n v="85954.999511999995"/>
    <x v="544"/>
    <n v="15813"/>
    <n v="91119.999511999995"/>
    <n v="0"/>
  </r>
  <r>
    <x v="4"/>
    <x v="1"/>
    <s v="Сахар песок фас.1кг:6"/>
    <n v="33.659999999999997"/>
    <d v="2012-06-08T00:00:00"/>
    <n v="91119.999511999995"/>
    <x v="545"/>
    <n v="15019"/>
    <n v="92378.999511999995"/>
    <n v="0"/>
  </r>
  <r>
    <x v="4"/>
    <x v="1"/>
    <s v="Сахар песок фас.1кг:6"/>
    <n v="33.659999999999997"/>
    <d v="2012-06-09T00:00:00"/>
    <n v="92378.999511999995"/>
    <x v="546"/>
    <n v="15508"/>
    <n v="93954.999511999995"/>
    <n v="0"/>
  </r>
  <r>
    <x v="4"/>
    <x v="1"/>
    <s v="Сахар песок фас.1кг:6"/>
    <n v="33.659999999999997"/>
    <d v="2012-06-10T00:00:00"/>
    <n v="93954.999511999995"/>
    <x v="547"/>
    <n v="10768"/>
    <n v="100377.99951199999"/>
    <n v="0"/>
  </r>
  <r>
    <x v="4"/>
    <x v="1"/>
    <s v="Сахар песок фас.1кг:6"/>
    <n v="33.659999999999997"/>
    <d v="2012-06-11T00:00:00"/>
    <n v="100377.99951199999"/>
    <x v="548"/>
    <n v="9379"/>
    <n v="104922.99951199999"/>
    <n v="0"/>
  </r>
  <r>
    <x v="4"/>
    <x v="1"/>
    <s v="Сахар песок фас.1кг:6"/>
    <n v="33.659999999999997"/>
    <d v="2012-06-12T00:00:00"/>
    <n v="104922.99951199999"/>
    <x v="549"/>
    <n v="9356"/>
    <n v="107477.99951199999"/>
    <n v="0"/>
  </r>
  <r>
    <x v="4"/>
    <x v="1"/>
    <s v="Сахар песок фас.1кг:6"/>
    <n v="33.659999999999997"/>
    <d v="2012-06-13T00:00:00"/>
    <n v="107477.99951199999"/>
    <x v="550"/>
    <n v="11502"/>
    <n v="104931.99951199999"/>
    <n v="0"/>
  </r>
  <r>
    <x v="4"/>
    <x v="1"/>
    <s v="Сахар песок фас.1кг:6"/>
    <n v="33.659999999999997"/>
    <d v="2012-06-14T00:00:00"/>
    <n v="104931.99951199999"/>
    <x v="551"/>
    <n v="11297"/>
    <n v="102729.99951199999"/>
    <n v="0"/>
  </r>
  <r>
    <x v="4"/>
    <x v="1"/>
    <s v="Сахар песок фас.1кг:6"/>
    <n v="33.659999999999997"/>
    <d v="2012-06-15T00:00:00"/>
    <n v="102729.99951199999"/>
    <x v="552"/>
    <n v="11928"/>
    <n v="98835.999511999995"/>
    <n v="0"/>
  </r>
  <r>
    <x v="4"/>
    <x v="1"/>
    <s v="Сахар песок фас.1кг:6"/>
    <n v="33.659999999999997"/>
    <d v="2012-06-16T00:00:00"/>
    <n v="98835.999511999995"/>
    <x v="553"/>
    <n v="13122"/>
    <n v="95102.999511999995"/>
    <n v="0"/>
  </r>
  <r>
    <x v="4"/>
    <x v="1"/>
    <s v="Сахар песок фас.1кг:6"/>
    <n v="33.659999999999997"/>
    <d v="2012-06-17T00:00:00"/>
    <n v="95102.999511999995"/>
    <x v="554"/>
    <n v="17980"/>
    <n v="89374.999511999995"/>
    <n v="0"/>
  </r>
  <r>
    <x v="4"/>
    <x v="1"/>
    <s v="Сахар песок фас.1кг:6"/>
    <n v="33.659999999999997"/>
    <d v="2012-06-18T00:00:00"/>
    <n v="89374.999511999995"/>
    <x v="555"/>
    <n v="21280"/>
    <n v="82986.999511999995"/>
    <n v="0"/>
  </r>
  <r>
    <x v="4"/>
    <x v="1"/>
    <s v="Сахар песок фас.1кг:6"/>
    <n v="33.659999999999997"/>
    <d v="2012-06-19T00:00:00"/>
    <n v="82986.999511999995"/>
    <x v="556"/>
    <n v="23144"/>
    <n v="78668.999511999995"/>
    <n v="0"/>
  </r>
  <r>
    <x v="4"/>
    <x v="1"/>
    <s v="Сахар песок фас.1кг:6"/>
    <n v="33.659999999999997"/>
    <d v="2012-06-20T00:00:00"/>
    <n v="78668.999511999995"/>
    <x v="557"/>
    <n v="24195"/>
    <n v="82779.999511999995"/>
    <n v="0"/>
  </r>
  <r>
    <x v="4"/>
    <x v="1"/>
    <s v="Сахар песок фас.1кг:6"/>
    <n v="33.659999999999997"/>
    <d v="2012-06-21T00:00:00"/>
    <n v="82779.999511999995"/>
    <x v="558"/>
    <n v="25990"/>
    <n v="76705.999511999995"/>
    <n v="0"/>
  </r>
  <r>
    <x v="4"/>
    <x v="1"/>
    <s v="Сахар песок фас.1кг:6"/>
    <n v="33.659999999999997"/>
    <d v="2012-06-22T00:00:00"/>
    <n v="76705.999511999995"/>
    <x v="559"/>
    <n v="23307"/>
    <n v="86391.999511999995"/>
    <n v="0"/>
  </r>
  <r>
    <x v="4"/>
    <x v="1"/>
    <s v="Сахар песок фас.1кг:6"/>
    <n v="33.659999999999997"/>
    <d v="2012-06-23T00:00:00"/>
    <n v="86391.999511999995"/>
    <x v="560"/>
    <n v="22272"/>
    <n v="82042.999511999995"/>
    <n v="0"/>
  </r>
  <r>
    <x v="4"/>
    <x v="1"/>
    <s v="Сахар песок фас.1кг:6"/>
    <n v="33.659999999999997"/>
    <d v="2012-06-24T00:00:00"/>
    <n v="82042.999511999995"/>
    <x v="561"/>
    <n v="25094"/>
    <n v="91109.999511999995"/>
    <n v="0"/>
  </r>
  <r>
    <x v="4"/>
    <x v="1"/>
    <s v="Сахар песок фас.1кг:6"/>
    <n v="33.659999999999997"/>
    <d v="2012-06-25T00:00:00"/>
    <n v="91109.999511999995"/>
    <x v="562"/>
    <n v="22599"/>
    <n v="87681.999511999995"/>
    <n v="0"/>
  </r>
  <r>
    <x v="4"/>
    <x v="1"/>
    <s v="Сахар песок фас.1кг:6"/>
    <n v="33.659999999999997"/>
    <d v="2012-06-26T00:00:00"/>
    <n v="87681.999511999995"/>
    <x v="563"/>
    <n v="18676"/>
    <n v="102790.99951199999"/>
    <n v="0"/>
  </r>
  <r>
    <x v="4"/>
    <x v="1"/>
    <s v="Сахар песок фас.1кг:6"/>
    <n v="33.659999999999997"/>
    <d v="2012-06-27T00:00:00"/>
    <n v="102790.99951199999"/>
    <x v="564"/>
    <n v="20264"/>
    <n v="121384.99951199999"/>
    <n v="0"/>
  </r>
  <r>
    <x v="4"/>
    <x v="1"/>
    <s v="Сахар песок фас.1кг:6"/>
    <n v="33.659999999999997"/>
    <d v="2012-06-28T00:00:00"/>
    <n v="121384.99951199999"/>
    <x v="565"/>
    <n v="21879"/>
    <n v="115135.99951199999"/>
    <n v="0"/>
  </r>
  <r>
    <x v="4"/>
    <x v="1"/>
    <s v="Сахар песок фас.1кг:6"/>
    <n v="33.659999999999997"/>
    <d v="2012-06-29T00:00:00"/>
    <n v="115135.99951199999"/>
    <x v="566"/>
    <n v="25235"/>
    <n v="100702.99951199999"/>
    <n v="0"/>
  </r>
  <r>
    <x v="4"/>
    <x v="1"/>
    <s v="Сахар песок фас.1кг:6"/>
    <n v="33.659999999999997"/>
    <d v="2012-06-30T00:00:00"/>
    <n v="100702.99951199999"/>
    <x v="567"/>
    <n v="30747"/>
    <n v="93798.999511999995"/>
    <n v="1"/>
  </r>
  <r>
    <x v="4"/>
    <x v="1"/>
    <s v="Сахар песок фас.1кг:6"/>
    <n v="33.659999999999997"/>
    <d v="2012-07-01T00:00:00"/>
    <n v="93798.999511999995"/>
    <x v="568"/>
    <n v="34046"/>
    <n v="85294.999511999995"/>
    <n v="0"/>
  </r>
  <r>
    <x v="4"/>
    <x v="1"/>
    <s v="Сахар песок фас.1кг:6"/>
    <n v="33.659999999999997"/>
    <d v="2012-07-02T00:00:00"/>
    <n v="85294.999511999995"/>
    <x v="569"/>
    <n v="32370"/>
    <n v="60483.999512000002"/>
    <n v="0"/>
  </r>
  <r>
    <x v="4"/>
    <x v="1"/>
    <s v="Сахар песок фас.1кг:6"/>
    <n v="33.659999999999997"/>
    <d v="2012-07-03T00:00:00"/>
    <n v="60483.999512000002"/>
    <x v="570"/>
    <n v="24651"/>
    <n v="43332.999512000002"/>
    <n v="0"/>
  </r>
  <r>
    <x v="4"/>
    <x v="1"/>
    <s v="Сахар песок фас.1кг:6"/>
    <n v="33.659999999999997"/>
    <d v="2012-07-04T00:00:00"/>
    <n v="43332.999512000002"/>
    <x v="571"/>
    <n v="21961"/>
    <n v="41097.999512000002"/>
    <n v="0"/>
  </r>
  <r>
    <x v="4"/>
    <x v="1"/>
    <s v="Сахар песок фас.1кг:6"/>
    <n v="33.659999999999997"/>
    <d v="2012-07-05T00:00:00"/>
    <n v="41097.999512000002"/>
    <x v="572"/>
    <n v="21554"/>
    <n v="29982.999511999999"/>
    <n v="0"/>
  </r>
  <r>
    <x v="4"/>
    <x v="1"/>
    <s v="Сахар песок фас.1кг:6"/>
    <n v="33.659999999999997"/>
    <d v="2012-07-06T00:00:00"/>
    <n v="29982.999511999999"/>
    <x v="573"/>
    <n v="15530"/>
    <n v="43982.999512000002"/>
    <n v="1"/>
  </r>
  <r>
    <x v="4"/>
    <x v="1"/>
    <s v="Сахар песок фас.1кг:6"/>
    <n v="33.659999999999997"/>
    <d v="2012-07-07T00:00:00"/>
    <n v="43982.999512000002"/>
    <x v="574"/>
    <n v="19658"/>
    <n v="67567.999511999995"/>
    <n v="0"/>
  </r>
  <r>
    <x v="4"/>
    <x v="1"/>
    <s v="Сахар песок фас.1кг:6"/>
    <n v="33.659999999999997"/>
    <d v="2012-07-08T00:00:00"/>
    <n v="67567.999511999995"/>
    <x v="575"/>
    <n v="31836"/>
    <n v="125583.99951199999"/>
    <n v="0"/>
  </r>
  <r>
    <x v="4"/>
    <x v="1"/>
    <s v="Сахар песок фас.1кг:6"/>
    <n v="33.659999999999997"/>
    <d v="2012-07-09T00:00:00"/>
    <n v="125583.99951199999"/>
    <x v="576"/>
    <n v="35308"/>
    <n v="150430.99951200001"/>
    <n v="0"/>
  </r>
  <r>
    <x v="4"/>
    <x v="1"/>
    <s v="Сахар песок фас.1кг:6"/>
    <n v="33.659999999999997"/>
    <d v="2012-07-10T00:00:00"/>
    <n v="150430.99951200001"/>
    <x v="577"/>
    <n v="37423"/>
    <n v="149502.99951200001"/>
    <n v="0"/>
  </r>
  <r>
    <x v="4"/>
    <x v="1"/>
    <s v="Сахар песок фас.1кг:6"/>
    <n v="33.659999999999997"/>
    <d v="2012-07-11T00:00:00"/>
    <n v="149502.99951200001"/>
    <x v="578"/>
    <n v="40665"/>
    <n v="159805.99951200001"/>
    <n v="1"/>
  </r>
  <r>
    <x v="4"/>
    <x v="1"/>
    <s v="Сахар песок фас.1кг:6"/>
    <n v="33.659999999999997"/>
    <d v="2012-07-12T00:00:00"/>
    <n v="159805.99951200001"/>
    <x v="579"/>
    <n v="40539"/>
    <n v="171679.99951200001"/>
    <n v="4"/>
  </r>
  <r>
    <x v="4"/>
    <x v="1"/>
    <s v="Сахар песок фас.1кг:6"/>
    <n v="33.659999999999997"/>
    <d v="2012-07-13T00:00:00"/>
    <n v="171679.99951200001"/>
    <x v="580"/>
    <n v="36772"/>
    <n v="192383.99951200001"/>
    <n v="0"/>
  </r>
  <r>
    <x v="4"/>
    <x v="1"/>
    <s v="Сахар песок фас.1кг:6"/>
    <n v="33.659999999999997"/>
    <d v="2012-07-14T00:00:00"/>
    <n v="192383.99951200001"/>
    <x v="581"/>
    <n v="31886"/>
    <n v="215577.99951200001"/>
    <n v="1"/>
  </r>
  <r>
    <x v="4"/>
    <x v="1"/>
    <s v="Сахар песок фас.1кг:6"/>
    <n v="33.659999999999997"/>
    <d v="2012-07-15T00:00:00"/>
    <n v="215577.99951200001"/>
    <x v="582"/>
    <n v="28218"/>
    <n v="221860.99951200001"/>
    <n v="1"/>
  </r>
  <r>
    <x v="4"/>
    <x v="1"/>
    <s v="Сахар песок фас.1кг:6"/>
    <n v="33.659999999999997"/>
    <d v="2012-07-16T00:00:00"/>
    <n v="221860.99951200001"/>
    <x v="583"/>
    <n v="26241"/>
    <n v="236993.99951200001"/>
    <n v="0"/>
  </r>
  <r>
    <x v="4"/>
    <x v="1"/>
    <s v="Сахар песок фас.1кг:6"/>
    <n v="33.659999999999997"/>
    <d v="2012-07-17T00:00:00"/>
    <n v="236993.99951200001"/>
    <x v="584"/>
    <n v="17540"/>
    <n v="230995.99951200001"/>
    <n v="1"/>
  </r>
  <r>
    <x v="4"/>
    <x v="2"/>
    <s v="Сахар песок фас.5кг :1"/>
    <n v="165.05"/>
    <d v="2012-06-01T00:00:00"/>
    <n v="8118"/>
    <x v="585"/>
    <n v="1002"/>
    <n v="7844"/>
    <n v="0"/>
  </r>
  <r>
    <x v="4"/>
    <x v="2"/>
    <s v="Сахар песок фас.5кг :1"/>
    <n v="165.05"/>
    <d v="2012-06-02T00:00:00"/>
    <n v="7844"/>
    <x v="586"/>
    <n v="900"/>
    <n v="7729"/>
    <n v="0"/>
  </r>
  <r>
    <x v="4"/>
    <x v="2"/>
    <s v="Сахар песок фас.5кг :1"/>
    <n v="165.05"/>
    <d v="2012-06-03T00:00:00"/>
    <n v="7729"/>
    <x v="252"/>
    <n v="1013"/>
    <n v="7574"/>
    <n v="0"/>
  </r>
  <r>
    <x v="4"/>
    <x v="2"/>
    <s v="Сахар песок фас.5кг :1"/>
    <n v="165.05"/>
    <d v="2012-06-04T00:00:00"/>
    <n v="7574"/>
    <x v="587"/>
    <n v="1205"/>
    <n v="6737"/>
    <n v="0"/>
  </r>
  <r>
    <x v="4"/>
    <x v="2"/>
    <s v="Сахар песок фас.5кг :1"/>
    <n v="165.05"/>
    <d v="2012-06-05T00:00:00"/>
    <n v="6737"/>
    <x v="234"/>
    <n v="1177"/>
    <n v="6643"/>
    <n v="0"/>
  </r>
  <r>
    <x v="4"/>
    <x v="2"/>
    <s v="Сахар песок фас.5кг :1"/>
    <n v="165.05"/>
    <d v="2012-06-06T00:00:00"/>
    <n v="6643"/>
    <x v="588"/>
    <n v="1379"/>
    <n v="6584"/>
    <n v="0"/>
  </r>
  <r>
    <x v="4"/>
    <x v="2"/>
    <s v="Сахар песок фас.5кг :1"/>
    <n v="165.05"/>
    <d v="2012-06-07T00:00:00"/>
    <n v="6584"/>
    <x v="589"/>
    <n v="1433"/>
    <n v="6473"/>
    <n v="0"/>
  </r>
  <r>
    <x v="4"/>
    <x v="2"/>
    <s v="Сахар песок фас.5кг :1"/>
    <n v="165.05"/>
    <d v="2012-06-08T00:00:00"/>
    <n v="6473"/>
    <x v="590"/>
    <n v="1731"/>
    <n v="5872"/>
    <n v="0"/>
  </r>
  <r>
    <x v="4"/>
    <x v="2"/>
    <s v="Сахар песок фас.5кг :1"/>
    <n v="165.05"/>
    <d v="2012-06-09T00:00:00"/>
    <n v="5872"/>
    <x v="591"/>
    <n v="1861"/>
    <n v="5939"/>
    <n v="0"/>
  </r>
  <r>
    <x v="4"/>
    <x v="2"/>
    <s v="Сахар песок фас.5кг :1"/>
    <n v="165.05"/>
    <d v="2012-06-10T00:00:00"/>
    <n v="5939"/>
    <x v="592"/>
    <n v="1190"/>
    <n v="6027"/>
    <n v="0"/>
  </r>
  <r>
    <x v="4"/>
    <x v="2"/>
    <s v="Сахар песок фас.5кг :1"/>
    <n v="165.05"/>
    <d v="2012-06-11T00:00:00"/>
    <n v="6027"/>
    <x v="593"/>
    <n v="942"/>
    <n v="6827"/>
    <n v="0"/>
  </r>
  <r>
    <x v="4"/>
    <x v="2"/>
    <s v="Сахар песок фас.5кг :1"/>
    <n v="165.05"/>
    <d v="2012-06-12T00:00:00"/>
    <n v="6827"/>
    <x v="594"/>
    <n v="927"/>
    <n v="7079"/>
    <n v="0"/>
  </r>
  <r>
    <x v="4"/>
    <x v="2"/>
    <s v="Сахар песок фас.5кг :1"/>
    <n v="165.05"/>
    <d v="2012-06-13T00:00:00"/>
    <n v="7079"/>
    <x v="405"/>
    <n v="958"/>
    <n v="7249"/>
    <n v="0"/>
  </r>
  <r>
    <x v="4"/>
    <x v="2"/>
    <s v="Сахар песок фас.5кг :1"/>
    <n v="165.05"/>
    <d v="2012-06-14T00:00:00"/>
    <n v="7249"/>
    <x v="595"/>
    <n v="1053"/>
    <n v="7182"/>
    <n v="0"/>
  </r>
  <r>
    <x v="4"/>
    <x v="2"/>
    <s v="Сахар песок фас.5кг :1"/>
    <n v="165.05"/>
    <d v="2012-06-15T00:00:00"/>
    <n v="7182"/>
    <x v="596"/>
    <n v="1247"/>
    <n v="6904"/>
    <n v="0"/>
  </r>
  <r>
    <x v="4"/>
    <x v="2"/>
    <s v="Сахар песок фас.5кг :1"/>
    <n v="165.05"/>
    <d v="2012-06-16T00:00:00"/>
    <n v="6904"/>
    <x v="597"/>
    <n v="1365"/>
    <n v="5641"/>
    <n v="0"/>
  </r>
  <r>
    <x v="4"/>
    <x v="2"/>
    <s v="Сахар песок фас.5кг :1"/>
    <n v="165.05"/>
    <d v="2012-06-17T00:00:00"/>
    <n v="5641"/>
    <x v="598"/>
    <n v="1207"/>
    <n v="5806"/>
    <n v="0"/>
  </r>
  <r>
    <x v="4"/>
    <x v="2"/>
    <s v="Сахар песок фас.5кг :1"/>
    <n v="165.05"/>
    <d v="2012-06-18T00:00:00"/>
    <n v="5806"/>
    <x v="599"/>
    <n v="1198"/>
    <n v="6222"/>
    <n v="0"/>
  </r>
  <r>
    <x v="4"/>
    <x v="2"/>
    <s v="Сахар песок фас.5кг :1"/>
    <n v="165.05"/>
    <d v="2012-06-19T00:00:00"/>
    <n v="6222"/>
    <x v="600"/>
    <n v="1282"/>
    <n v="6637"/>
    <n v="0"/>
  </r>
  <r>
    <x v="4"/>
    <x v="2"/>
    <s v="Сахар песок фас.5кг :1"/>
    <n v="165.05"/>
    <d v="2012-06-20T00:00:00"/>
    <n v="6637"/>
    <x v="399"/>
    <n v="1525"/>
    <n v="6370"/>
    <n v="0"/>
  </r>
  <r>
    <x v="4"/>
    <x v="2"/>
    <s v="Сахар песок фас.5кг :1"/>
    <n v="165.05"/>
    <d v="2012-06-21T00:00:00"/>
    <n v="6370"/>
    <x v="601"/>
    <n v="1413"/>
    <n v="6366"/>
    <n v="0"/>
  </r>
  <r>
    <x v="4"/>
    <x v="2"/>
    <s v="Сахар песок фас.5кг :1"/>
    <n v="165.05"/>
    <d v="2012-06-22T00:00:00"/>
    <n v="6366"/>
    <x v="602"/>
    <n v="1530"/>
    <n v="6374"/>
    <n v="0"/>
  </r>
  <r>
    <x v="4"/>
    <x v="2"/>
    <s v="Сахар песок фас.5кг :1"/>
    <n v="165.05"/>
    <d v="2012-06-23T00:00:00"/>
    <n v="6374"/>
    <x v="29"/>
    <n v="1450"/>
    <n v="5800"/>
    <n v="0"/>
  </r>
  <r>
    <x v="4"/>
    <x v="2"/>
    <s v="Сахар песок фас.5кг :1"/>
    <n v="165.05"/>
    <d v="2012-06-24T00:00:00"/>
    <n v="5800"/>
    <x v="603"/>
    <n v="1561"/>
    <n v="5666"/>
    <n v="0"/>
  </r>
  <r>
    <x v="4"/>
    <x v="2"/>
    <s v="Сахар песок фас.5кг :1"/>
    <n v="165.05"/>
    <d v="2012-06-25T00:00:00"/>
    <n v="5666"/>
    <x v="604"/>
    <n v="1572"/>
    <n v="5969"/>
    <n v="0"/>
  </r>
  <r>
    <x v="4"/>
    <x v="2"/>
    <s v="Сахар песок фас.5кг :1"/>
    <n v="165.05"/>
    <d v="2012-06-26T00:00:00"/>
    <n v="5969"/>
    <x v="605"/>
    <n v="1393"/>
    <n v="5685"/>
    <n v="0"/>
  </r>
  <r>
    <x v="4"/>
    <x v="2"/>
    <s v="Сахар песок фас.5кг :1"/>
    <n v="165.05"/>
    <d v="2012-06-27T00:00:00"/>
    <n v="5685"/>
    <x v="606"/>
    <n v="1374"/>
    <n v="5978"/>
    <n v="1"/>
  </r>
  <r>
    <x v="4"/>
    <x v="2"/>
    <s v="Сахар песок фас.5кг :1"/>
    <n v="165.05"/>
    <d v="2012-06-28T00:00:00"/>
    <n v="5978"/>
    <x v="607"/>
    <n v="1403"/>
    <n v="5684"/>
    <n v="0"/>
  </r>
  <r>
    <x v="4"/>
    <x v="2"/>
    <s v="Сахар песок фас.5кг :1"/>
    <n v="165.05"/>
    <d v="2012-06-29T00:00:00"/>
    <n v="5684"/>
    <x v="608"/>
    <n v="1549"/>
    <n v="5479"/>
    <n v="0"/>
  </r>
  <r>
    <x v="4"/>
    <x v="2"/>
    <s v="Сахар песок фас.5кг :1"/>
    <n v="165.05"/>
    <d v="2012-06-30T00:00:00"/>
    <n v="5479"/>
    <x v="609"/>
    <n v="1833"/>
    <n v="4831"/>
    <n v="0"/>
  </r>
  <r>
    <x v="4"/>
    <x v="2"/>
    <s v="Сахар песок фас.5кг :1"/>
    <n v="165.05"/>
    <d v="2012-07-01T00:00:00"/>
    <n v="4831"/>
    <x v="610"/>
    <n v="2170"/>
    <n v="4613"/>
    <n v="0"/>
  </r>
  <r>
    <x v="4"/>
    <x v="2"/>
    <s v="Сахар песок фас.5кг :1"/>
    <n v="165.05"/>
    <d v="2012-07-02T00:00:00"/>
    <n v="4613"/>
    <x v="611"/>
    <n v="1954"/>
    <n v="4057"/>
    <n v="0"/>
  </r>
  <r>
    <x v="4"/>
    <x v="2"/>
    <s v="Сахар песок фас.5кг :1"/>
    <n v="165.05"/>
    <d v="2012-07-03T00:00:00"/>
    <n v="4057"/>
    <x v="612"/>
    <n v="1369"/>
    <n v="4198"/>
    <n v="0"/>
  </r>
  <r>
    <x v="4"/>
    <x v="2"/>
    <s v="Сахар песок фас.5кг :1"/>
    <n v="165.05"/>
    <d v="2012-07-04T00:00:00"/>
    <n v="4198"/>
    <x v="613"/>
    <n v="1311"/>
    <n v="5163"/>
    <n v="0"/>
  </r>
  <r>
    <x v="4"/>
    <x v="2"/>
    <s v="Сахар песок фас.5кг :1"/>
    <n v="165.05"/>
    <d v="2012-07-05T00:00:00"/>
    <n v="5163"/>
    <x v="614"/>
    <n v="1998"/>
    <n v="5997"/>
    <n v="0"/>
  </r>
  <r>
    <x v="4"/>
    <x v="2"/>
    <s v="Сахар песок фас.5кг :1"/>
    <n v="165.05"/>
    <d v="2012-07-06T00:00:00"/>
    <n v="5997"/>
    <x v="615"/>
    <n v="2457"/>
    <n v="5676"/>
    <n v="0"/>
  </r>
  <r>
    <x v="4"/>
    <x v="2"/>
    <s v="Сахар песок фас.5кг :1"/>
    <n v="165.05"/>
    <d v="2012-07-07T00:00:00"/>
    <n v="5676"/>
    <x v="616"/>
    <n v="2183"/>
    <n v="7307"/>
    <n v="0"/>
  </r>
  <r>
    <x v="4"/>
    <x v="2"/>
    <s v="Сахар песок фас.5кг :1"/>
    <n v="165.05"/>
    <d v="2012-07-08T00:00:00"/>
    <n v="7307"/>
    <x v="617"/>
    <n v="2604"/>
    <n v="7645"/>
    <n v="0"/>
  </r>
  <r>
    <x v="4"/>
    <x v="2"/>
    <s v="Сахар песок фас.5кг :1"/>
    <n v="165.05"/>
    <d v="2012-07-09T00:00:00"/>
    <n v="7645"/>
    <x v="618"/>
    <n v="2391"/>
    <n v="5904"/>
    <n v="0"/>
  </r>
  <r>
    <x v="4"/>
    <x v="2"/>
    <s v="Сахар песок фас.5кг :1"/>
    <n v="165.05"/>
    <d v="2012-07-10T00:00:00"/>
    <n v="5904"/>
    <x v="619"/>
    <n v="1785"/>
    <n v="5681"/>
    <n v="0"/>
  </r>
  <r>
    <x v="4"/>
    <x v="2"/>
    <s v="Сахар песок фас.5кг :1"/>
    <n v="165.05"/>
    <d v="2012-07-11T00:00:00"/>
    <n v="5681"/>
    <x v="620"/>
    <n v="1542"/>
    <n v="4259"/>
    <n v="0"/>
  </r>
  <r>
    <x v="4"/>
    <x v="2"/>
    <s v="Сахар песок фас.5кг :1"/>
    <n v="165.05"/>
    <d v="2012-07-12T00:00:00"/>
    <n v="4259"/>
    <x v="621"/>
    <n v="1260"/>
    <n v="6191"/>
    <n v="0"/>
  </r>
  <r>
    <x v="4"/>
    <x v="2"/>
    <s v="Сахар песок фас.5кг :1"/>
    <n v="165.05"/>
    <d v="2012-07-13T00:00:00"/>
    <n v="6191"/>
    <x v="622"/>
    <n v="1260"/>
    <n v="8403"/>
    <n v="0"/>
  </r>
  <r>
    <x v="4"/>
    <x v="2"/>
    <s v="Сахар песок фас.5кг :1"/>
    <n v="165.05"/>
    <d v="2012-07-14T00:00:00"/>
    <n v="8403"/>
    <x v="623"/>
    <n v="1404"/>
    <n v="8795"/>
    <n v="0"/>
  </r>
  <r>
    <x v="4"/>
    <x v="2"/>
    <s v="Сахар песок фас.5кг :1"/>
    <n v="165.05"/>
    <d v="2012-07-15T00:00:00"/>
    <n v="8795"/>
    <x v="606"/>
    <n v="1679"/>
    <n v="8848"/>
    <n v="0"/>
  </r>
  <r>
    <x v="4"/>
    <x v="2"/>
    <s v="Сахар песок фас.5кг :1"/>
    <n v="165.05"/>
    <d v="2012-07-16T00:00:00"/>
    <n v="8848"/>
    <x v="624"/>
    <n v="1396"/>
    <n v="8702"/>
    <n v="0"/>
  </r>
  <r>
    <x v="4"/>
    <x v="2"/>
    <s v="Сахар песок фас.5кг :1"/>
    <n v="165.05"/>
    <d v="2012-07-17T00:00:00"/>
    <n v="8702"/>
    <x v="625"/>
    <n v="968"/>
    <n v="9486"/>
    <n v="6"/>
  </r>
  <r>
    <x v="5"/>
    <x v="0"/>
    <s v="Сахар песок фас. 10кг:1"/>
    <n v="317.08"/>
    <d v="2012-06-01T00:00:00"/>
    <n v="94"/>
    <x v="626"/>
    <n v="8"/>
    <n v="87"/>
    <n v="0"/>
  </r>
  <r>
    <x v="5"/>
    <x v="0"/>
    <s v="Сахар песок фас. 10кг:1"/>
    <n v="317.08"/>
    <d v="2012-06-02T00:00:00"/>
    <n v="87"/>
    <x v="0"/>
    <n v="8"/>
    <n v="79"/>
    <n v="0"/>
  </r>
  <r>
    <x v="5"/>
    <x v="0"/>
    <s v="Сахар песок фас. 10кг:1"/>
    <n v="317.08"/>
    <d v="2012-06-03T00:00:00"/>
    <n v="79"/>
    <x v="627"/>
    <n v="18"/>
    <n v="64"/>
    <n v="0"/>
  </r>
  <r>
    <x v="5"/>
    <x v="0"/>
    <s v="Сахар песок фас. 10кг:1"/>
    <n v="317.08"/>
    <d v="2012-06-04T00:00:00"/>
    <n v="64"/>
    <x v="626"/>
    <n v="13"/>
    <n v="52"/>
    <n v="0"/>
  </r>
  <r>
    <x v="5"/>
    <x v="0"/>
    <s v="Сахар песок фас. 10кг:1"/>
    <n v="317.08"/>
    <d v="2012-06-05T00:00:00"/>
    <n v="52"/>
    <x v="627"/>
    <n v="9"/>
    <n v="44"/>
    <n v="0"/>
  </r>
  <r>
    <x v="5"/>
    <x v="0"/>
    <s v="Сахар песок фас. 10кг:1"/>
    <n v="317.08"/>
    <d v="2012-06-06T00:00:00"/>
    <n v="44"/>
    <x v="628"/>
    <n v="12"/>
    <n v="70"/>
    <n v="0"/>
  </r>
  <r>
    <x v="5"/>
    <x v="0"/>
    <s v="Сахар песок фас. 10кг:1"/>
    <n v="317.08"/>
    <d v="2012-06-07T00:00:00"/>
    <n v="70"/>
    <x v="629"/>
    <n v="14"/>
    <n v="74"/>
    <n v="0"/>
  </r>
  <r>
    <x v="5"/>
    <x v="0"/>
    <s v="Сахар песок фас. 10кг:1"/>
    <n v="317.08"/>
    <d v="2012-06-08T00:00:00"/>
    <n v="74"/>
    <x v="630"/>
    <n v="20"/>
    <n v="98"/>
    <n v="0"/>
  </r>
  <r>
    <x v="5"/>
    <x v="0"/>
    <s v="Сахар песок фас. 10кг:1"/>
    <n v="317.08"/>
    <d v="2012-06-09T00:00:00"/>
    <n v="98"/>
    <x v="239"/>
    <n v="16"/>
    <n v="83"/>
    <n v="0"/>
  </r>
  <r>
    <x v="5"/>
    <x v="0"/>
    <s v="Сахар песок фас. 10кг:1"/>
    <n v="317.08"/>
    <d v="2012-06-10T00:00:00"/>
    <n v="83"/>
    <x v="631"/>
    <n v="19"/>
    <n v="79"/>
    <n v="0"/>
  </r>
  <r>
    <x v="5"/>
    <x v="0"/>
    <s v="Сахар песок фас. 10кг:1"/>
    <n v="317.08"/>
    <d v="2012-06-11T00:00:00"/>
    <n v="79"/>
    <x v="629"/>
    <n v="18"/>
    <n v="81"/>
    <n v="0"/>
  </r>
  <r>
    <x v="5"/>
    <x v="0"/>
    <s v="Сахар песок фас. 10кг:1"/>
    <n v="317.08"/>
    <d v="2012-06-12T00:00:00"/>
    <n v="81"/>
    <x v="363"/>
    <n v="5"/>
    <n v="88"/>
    <n v="0"/>
  </r>
  <r>
    <x v="5"/>
    <x v="0"/>
    <s v="Сахар песок фас. 10кг:1"/>
    <n v="317.08"/>
    <d v="2012-06-13T00:00:00"/>
    <n v="88"/>
    <x v="632"/>
    <n v="22"/>
    <n v="156"/>
    <n v="0"/>
  </r>
  <r>
    <x v="5"/>
    <x v="0"/>
    <s v="Сахар песок фас. 10кг:1"/>
    <n v="317.08"/>
    <d v="2012-06-14T00:00:00"/>
    <n v="156"/>
    <x v="633"/>
    <n v="17"/>
    <n v="153"/>
    <n v="0"/>
  </r>
  <r>
    <x v="5"/>
    <x v="0"/>
    <s v="Сахар песок фас. 10кг:1"/>
    <n v="317.08"/>
    <d v="2012-06-15T00:00:00"/>
    <n v="153"/>
    <x v="634"/>
    <n v="12"/>
    <n v="156"/>
    <n v="0"/>
  </r>
  <r>
    <x v="5"/>
    <x v="0"/>
    <s v="Сахар песок фас. 10кг:1"/>
    <n v="317.08"/>
    <d v="2012-06-16T00:00:00"/>
    <n v="156"/>
    <x v="635"/>
    <n v="17"/>
    <n v="150"/>
    <n v="0"/>
  </r>
  <r>
    <x v="5"/>
    <x v="0"/>
    <s v="Сахар песок фас. 10кг:1"/>
    <n v="317.08"/>
    <d v="2012-06-17T00:00:00"/>
    <n v="150"/>
    <x v="636"/>
    <n v="20"/>
    <n v="175"/>
    <n v="0"/>
  </r>
  <r>
    <x v="5"/>
    <x v="0"/>
    <s v="Сахар песок фас. 10кг:1"/>
    <n v="317.08"/>
    <d v="2012-06-18T00:00:00"/>
    <n v="175"/>
    <x v="637"/>
    <n v="25"/>
    <n v="135"/>
    <n v="0"/>
  </r>
  <r>
    <x v="5"/>
    <x v="0"/>
    <s v="Сахар песок фас. 10кг:1"/>
    <n v="317.08"/>
    <d v="2012-06-19T00:00:00"/>
    <n v="135"/>
    <x v="638"/>
    <n v="21"/>
    <n v="118"/>
    <n v="0"/>
  </r>
  <r>
    <x v="5"/>
    <x v="0"/>
    <s v="Сахар песок фас. 10кг:1"/>
    <n v="317.08"/>
    <d v="2012-06-20T00:00:00"/>
    <n v="118"/>
    <x v="639"/>
    <n v="20"/>
    <n v="152"/>
    <n v="0"/>
  </r>
  <r>
    <x v="5"/>
    <x v="0"/>
    <s v="Сахар песок фас. 10кг:1"/>
    <n v="317.08"/>
    <d v="2012-06-21T00:00:00"/>
    <n v="152"/>
    <x v="630"/>
    <n v="24"/>
    <n v="172"/>
    <n v="0"/>
  </r>
  <r>
    <x v="5"/>
    <x v="0"/>
    <s v="Сахар песок фас. 10кг:1"/>
    <n v="317.08"/>
    <d v="2012-06-22T00:00:00"/>
    <n v="172"/>
    <x v="629"/>
    <n v="18"/>
    <n v="172"/>
    <n v="0"/>
  </r>
  <r>
    <x v="5"/>
    <x v="0"/>
    <s v="Сахар песок фас. 10кг:1"/>
    <n v="317.08"/>
    <d v="2012-06-23T00:00:00"/>
    <n v="172"/>
    <x v="640"/>
    <n v="32"/>
    <n v="163"/>
    <n v="0"/>
  </r>
  <r>
    <x v="5"/>
    <x v="0"/>
    <s v="Сахар песок фас. 10кг:1"/>
    <n v="317.08"/>
    <d v="2012-06-24T00:00:00"/>
    <n v="163"/>
    <x v="638"/>
    <n v="20"/>
    <n v="148"/>
    <n v="0"/>
  </r>
  <r>
    <x v="5"/>
    <x v="0"/>
    <s v="Сахар песок фас. 10кг:1"/>
    <n v="317.08"/>
    <d v="2012-06-25T00:00:00"/>
    <n v="148"/>
    <x v="641"/>
    <n v="29"/>
    <n v="151"/>
    <n v="0"/>
  </r>
  <r>
    <x v="5"/>
    <x v="0"/>
    <s v="Сахар песок фас. 10кг:1"/>
    <n v="317.08"/>
    <d v="2012-06-26T00:00:00"/>
    <n v="151"/>
    <x v="642"/>
    <n v="31"/>
    <n v="140"/>
    <n v="0"/>
  </r>
  <r>
    <x v="5"/>
    <x v="0"/>
    <s v="Сахар песок фас. 10кг:1"/>
    <n v="317.08"/>
    <d v="2012-06-27T00:00:00"/>
    <n v="140"/>
    <x v="28"/>
    <n v="24"/>
    <n v="145"/>
    <n v="0"/>
  </r>
  <r>
    <x v="5"/>
    <x v="0"/>
    <s v="Сахар песок фас. 10кг:1"/>
    <n v="317.08"/>
    <d v="2012-06-28T00:00:00"/>
    <n v="145"/>
    <x v="643"/>
    <n v="20"/>
    <n v="142"/>
    <n v="0"/>
  </r>
  <r>
    <x v="5"/>
    <x v="0"/>
    <s v="Сахар песок фас. 10кг:1"/>
    <n v="317.08"/>
    <d v="2012-06-29T00:00:00"/>
    <n v="142"/>
    <x v="644"/>
    <n v="18"/>
    <n v="182"/>
    <n v="0"/>
  </r>
  <r>
    <x v="5"/>
    <x v="0"/>
    <s v="Сахар песок фас. 10кг:1"/>
    <n v="317.08"/>
    <d v="2012-06-30T00:00:00"/>
    <n v="182"/>
    <x v="645"/>
    <n v="33"/>
    <n v="166"/>
    <n v="0"/>
  </r>
  <r>
    <x v="5"/>
    <x v="0"/>
    <s v="Сахар песок фас. 10кг:1"/>
    <n v="317.08"/>
    <d v="2012-07-01T00:00:00"/>
    <n v="166"/>
    <x v="646"/>
    <n v="17"/>
    <n v="176"/>
    <n v="0"/>
  </r>
  <r>
    <x v="5"/>
    <x v="0"/>
    <s v="Сахар песок фас. 10кг:1"/>
    <n v="317.08"/>
    <d v="2012-07-02T00:00:00"/>
    <n v="176"/>
    <x v="363"/>
    <n v="29"/>
    <n v="157"/>
    <n v="0"/>
  </r>
  <r>
    <x v="5"/>
    <x v="0"/>
    <s v="Сахар песок фас. 10кг:1"/>
    <n v="317.08"/>
    <d v="2012-07-03T00:00:00"/>
    <n v="157"/>
    <x v="28"/>
    <n v="58"/>
    <n v="128"/>
    <n v="0"/>
  </r>
  <r>
    <x v="5"/>
    <x v="0"/>
    <s v="Сахар песок фас. 10кг:1"/>
    <n v="317.08"/>
    <d v="2012-07-04T00:00:00"/>
    <n v="128"/>
    <x v="647"/>
    <n v="32"/>
    <n v="207"/>
    <n v="0"/>
  </r>
  <r>
    <x v="5"/>
    <x v="0"/>
    <s v="Сахар песок фас. 10кг:1"/>
    <n v="317.08"/>
    <d v="2012-07-05T00:00:00"/>
    <n v="207"/>
    <x v="277"/>
    <n v="38"/>
    <n v="206"/>
    <n v="0"/>
  </r>
  <r>
    <x v="5"/>
    <x v="0"/>
    <s v="Сахар песок фас. 10кг:1"/>
    <n v="317.08"/>
    <d v="2012-07-06T00:00:00"/>
    <n v="206"/>
    <x v="639"/>
    <n v="25"/>
    <n v="235"/>
    <n v="0"/>
  </r>
  <r>
    <x v="5"/>
    <x v="0"/>
    <s v="Сахар песок фас. 10кг:1"/>
    <n v="317.08"/>
    <d v="2012-07-07T00:00:00"/>
    <n v="235"/>
    <x v="648"/>
    <n v="15"/>
    <n v="269"/>
    <n v="0"/>
  </r>
  <r>
    <x v="5"/>
    <x v="0"/>
    <s v="Сахар песок фас. 10кг:1"/>
    <n v="317.08"/>
    <d v="2012-07-08T00:00:00"/>
    <n v="269"/>
    <x v="363"/>
    <n v="33"/>
    <n v="244"/>
    <n v="0"/>
  </r>
  <r>
    <x v="5"/>
    <x v="0"/>
    <s v="Сахар песок фас. 10кг:1"/>
    <n v="317.08"/>
    <d v="2012-07-09T00:00:00"/>
    <n v="244"/>
    <x v="0"/>
    <n v="33"/>
    <n v="211"/>
    <n v="0"/>
  </r>
  <r>
    <x v="5"/>
    <x v="0"/>
    <s v="Сахар песок фас. 10кг:1"/>
    <n v="317.08"/>
    <d v="2012-07-10T00:00:00"/>
    <n v="211"/>
    <x v="649"/>
    <n v="19"/>
    <n v="240"/>
    <n v="0"/>
  </r>
  <r>
    <x v="5"/>
    <x v="0"/>
    <s v="Сахар песок фас. 10кг:1"/>
    <n v="317.08"/>
    <d v="2012-07-11T00:00:00"/>
    <n v="240"/>
    <x v="650"/>
    <n v="28"/>
    <n v="254"/>
    <n v="0"/>
  </r>
  <r>
    <x v="5"/>
    <x v="0"/>
    <s v="Сахар песок фас. 10кг:1"/>
    <n v="317.08"/>
    <d v="2012-07-12T00:00:00"/>
    <n v="254"/>
    <x v="651"/>
    <n v="35"/>
    <n v="199"/>
    <n v="0"/>
  </r>
  <r>
    <x v="5"/>
    <x v="0"/>
    <s v="Сахар песок фас. 10кг:1"/>
    <n v="317.08"/>
    <d v="2012-07-13T00:00:00"/>
    <n v="199"/>
    <x v="652"/>
    <n v="12"/>
    <n v="233"/>
    <n v="0"/>
  </r>
  <r>
    <x v="5"/>
    <x v="0"/>
    <s v="Сахар песок фас. 10кг:1"/>
    <n v="317.08"/>
    <d v="2012-07-14T00:00:00"/>
    <n v="233"/>
    <x v="0"/>
    <n v="25"/>
    <n v="204"/>
    <n v="0"/>
  </r>
  <r>
    <x v="5"/>
    <x v="0"/>
    <s v="Сахар песок фас. 10кг:1"/>
    <n v="317.08"/>
    <d v="2012-07-15T00:00:00"/>
    <n v="204"/>
    <x v="653"/>
    <n v="26"/>
    <n v="184"/>
    <n v="0"/>
  </r>
  <r>
    <x v="5"/>
    <x v="0"/>
    <s v="Сахар песок фас. 10кг:1"/>
    <n v="317.08"/>
    <d v="2012-07-16T00:00:00"/>
    <n v="184"/>
    <x v="654"/>
    <n v="24"/>
    <n v="183"/>
    <n v="0"/>
  </r>
  <r>
    <x v="5"/>
    <x v="0"/>
    <s v="Сахар песок фас. 10кг:1"/>
    <n v="317.08"/>
    <d v="2012-07-17T00:00:00"/>
    <n v="183"/>
    <x v="633"/>
    <n v="12"/>
    <n v="206"/>
    <n v="0"/>
  </r>
  <r>
    <x v="5"/>
    <x v="1"/>
    <s v="Сахар песок фас.1кг:6"/>
    <n v="33.659999999999997"/>
    <d v="2012-06-01T00:00:00"/>
    <n v="78311"/>
    <x v="655"/>
    <n v="14679"/>
    <n v="76222"/>
    <n v="1"/>
  </r>
  <r>
    <x v="5"/>
    <x v="1"/>
    <s v="Сахар песок фас.1кг:6"/>
    <n v="33.659999999999997"/>
    <d v="2012-06-02T00:00:00"/>
    <n v="76222"/>
    <x v="656"/>
    <n v="15458"/>
    <n v="77900"/>
    <n v="0"/>
  </r>
  <r>
    <x v="5"/>
    <x v="1"/>
    <s v="Сахар песок фас.1кг:6"/>
    <n v="33.659999999999997"/>
    <d v="2012-06-03T00:00:00"/>
    <n v="77900"/>
    <x v="657"/>
    <n v="15162"/>
    <n v="78757"/>
    <n v="0"/>
  </r>
  <r>
    <x v="5"/>
    <x v="1"/>
    <s v="Сахар песок фас.1кг:6"/>
    <n v="33.659999999999997"/>
    <d v="2012-06-04T00:00:00"/>
    <n v="78757"/>
    <x v="658"/>
    <n v="15148"/>
    <n v="87395"/>
    <n v="0"/>
  </r>
  <r>
    <x v="5"/>
    <x v="1"/>
    <s v="Сахар песок фас.1кг:6"/>
    <n v="33.659999999999997"/>
    <d v="2012-06-05T00:00:00"/>
    <n v="87395"/>
    <x v="659"/>
    <n v="14161"/>
    <n v="79685"/>
    <n v="0"/>
  </r>
  <r>
    <x v="5"/>
    <x v="1"/>
    <s v="Сахар песок фас.1кг:6"/>
    <n v="33.659999999999997"/>
    <d v="2012-06-06T00:00:00"/>
    <n v="79685"/>
    <x v="660"/>
    <n v="13433"/>
    <n v="82608"/>
    <n v="0"/>
  </r>
  <r>
    <x v="5"/>
    <x v="1"/>
    <s v="Сахар песок фас.1кг:6"/>
    <n v="33.659999999999997"/>
    <d v="2012-06-07T00:00:00"/>
    <n v="82608"/>
    <x v="661"/>
    <n v="12975"/>
    <n v="77088"/>
    <n v="0"/>
  </r>
  <r>
    <x v="5"/>
    <x v="1"/>
    <s v="Сахар песок фас.1кг:6"/>
    <n v="33.659999999999997"/>
    <d v="2012-06-08T00:00:00"/>
    <n v="77088"/>
    <x v="662"/>
    <n v="13553"/>
    <n v="87309"/>
    <n v="3"/>
  </r>
  <r>
    <x v="5"/>
    <x v="1"/>
    <s v="Сахар песок фас.1кг:6"/>
    <n v="33.659999999999997"/>
    <d v="2012-06-09T00:00:00"/>
    <n v="87309"/>
    <x v="663"/>
    <n v="13985"/>
    <n v="100880"/>
    <n v="0"/>
  </r>
  <r>
    <x v="5"/>
    <x v="1"/>
    <s v="Сахар песок фас.1кг:6"/>
    <n v="33.659999999999997"/>
    <d v="2012-06-10T00:00:00"/>
    <n v="100880"/>
    <x v="664"/>
    <n v="13554"/>
    <n v="100169"/>
    <n v="0"/>
  </r>
  <r>
    <x v="5"/>
    <x v="1"/>
    <s v="Сахар песок фас.1кг:6"/>
    <n v="33.659999999999997"/>
    <d v="2012-06-11T00:00:00"/>
    <n v="100169"/>
    <x v="665"/>
    <n v="13689"/>
    <n v="98078"/>
    <n v="0"/>
  </r>
  <r>
    <x v="5"/>
    <x v="1"/>
    <s v="Сахар песок фас.1кг:6"/>
    <n v="33.659999999999997"/>
    <d v="2012-06-12T00:00:00"/>
    <n v="98078"/>
    <x v="666"/>
    <n v="13270"/>
    <n v="96645"/>
    <n v="3"/>
  </r>
  <r>
    <x v="5"/>
    <x v="1"/>
    <s v="Сахар песок фас.1кг:6"/>
    <n v="33.659999999999997"/>
    <d v="2012-06-13T00:00:00"/>
    <n v="96645"/>
    <x v="667"/>
    <n v="13615"/>
    <n v="96472"/>
    <n v="0"/>
  </r>
  <r>
    <x v="5"/>
    <x v="1"/>
    <s v="Сахар песок фас.1кг:6"/>
    <n v="33.659999999999997"/>
    <d v="2012-06-14T00:00:00"/>
    <n v="96472"/>
    <x v="668"/>
    <n v="13126"/>
    <n v="96068"/>
    <n v="5"/>
  </r>
  <r>
    <x v="5"/>
    <x v="1"/>
    <s v="Сахар песок фас.1кг:6"/>
    <n v="33.659999999999997"/>
    <d v="2012-06-15T00:00:00"/>
    <n v="96068"/>
    <x v="669"/>
    <n v="13030"/>
    <n v="96483"/>
    <n v="0"/>
  </r>
  <r>
    <x v="5"/>
    <x v="1"/>
    <s v="Сахар песок фас.1кг:6"/>
    <n v="33.659999999999997"/>
    <d v="2012-06-16T00:00:00"/>
    <n v="96483"/>
    <x v="670"/>
    <n v="12697"/>
    <n v="95555"/>
    <n v="2"/>
  </r>
  <r>
    <x v="5"/>
    <x v="1"/>
    <s v="Сахар песок фас.1кг:6"/>
    <n v="33.659999999999997"/>
    <d v="2012-06-17T00:00:00"/>
    <n v="95555"/>
    <x v="671"/>
    <n v="13396"/>
    <n v="94261"/>
    <n v="0"/>
  </r>
  <r>
    <x v="5"/>
    <x v="1"/>
    <s v="Сахар песок фас.1кг:6"/>
    <n v="33.659999999999997"/>
    <d v="2012-06-18T00:00:00"/>
    <n v="94261"/>
    <x v="672"/>
    <n v="14042"/>
    <n v="93960"/>
    <n v="1"/>
  </r>
  <r>
    <x v="5"/>
    <x v="1"/>
    <s v="Сахар песок фас.1кг:6"/>
    <n v="33.659999999999997"/>
    <d v="2012-06-19T00:00:00"/>
    <n v="93960"/>
    <x v="673"/>
    <n v="13541"/>
    <n v="89931"/>
    <n v="1"/>
  </r>
  <r>
    <x v="5"/>
    <x v="1"/>
    <s v="Сахар песок фас.1кг:6"/>
    <n v="33.659999999999997"/>
    <d v="2012-06-20T00:00:00"/>
    <n v="89931"/>
    <x v="674"/>
    <n v="13627"/>
    <n v="89616"/>
    <n v="0"/>
  </r>
  <r>
    <x v="5"/>
    <x v="1"/>
    <s v="Сахар песок фас.1кг:6"/>
    <n v="33.659999999999997"/>
    <d v="2012-06-21T00:00:00"/>
    <n v="89616"/>
    <x v="675"/>
    <n v="14341"/>
    <n v="89597"/>
    <n v="0"/>
  </r>
  <r>
    <x v="5"/>
    <x v="1"/>
    <s v="Сахар песок фас.1кг:6"/>
    <n v="33.659999999999997"/>
    <d v="2012-06-22T00:00:00"/>
    <n v="89597"/>
    <x v="676"/>
    <n v="13931"/>
    <n v="87010"/>
    <n v="2"/>
  </r>
  <r>
    <x v="5"/>
    <x v="1"/>
    <s v="Сахар песок фас.1кг:6"/>
    <n v="33.659999999999997"/>
    <d v="2012-06-23T00:00:00"/>
    <n v="87010"/>
    <x v="677"/>
    <n v="14019"/>
    <n v="86860"/>
    <n v="0"/>
  </r>
  <r>
    <x v="5"/>
    <x v="1"/>
    <s v="Сахар песок фас.1кг:6"/>
    <n v="33.659999999999997"/>
    <d v="2012-06-24T00:00:00"/>
    <n v="86860"/>
    <x v="678"/>
    <n v="13968"/>
    <n v="87525"/>
    <n v="0"/>
  </r>
  <r>
    <x v="5"/>
    <x v="1"/>
    <s v="Сахар песок фас.1кг:6"/>
    <n v="33.659999999999997"/>
    <d v="2012-06-25T00:00:00"/>
    <n v="87525"/>
    <x v="679"/>
    <n v="15545"/>
    <n v="85248"/>
    <n v="0"/>
  </r>
  <r>
    <x v="5"/>
    <x v="1"/>
    <s v="Сахар песок фас.1кг:6"/>
    <n v="33.659999999999997"/>
    <d v="2012-06-26T00:00:00"/>
    <n v="85248"/>
    <x v="680"/>
    <n v="13946"/>
    <n v="85106"/>
    <n v="0"/>
  </r>
  <r>
    <x v="5"/>
    <x v="1"/>
    <s v="Сахар песок фас.1кг:6"/>
    <n v="33.659999999999997"/>
    <d v="2012-06-27T00:00:00"/>
    <n v="85106"/>
    <x v="681"/>
    <n v="13313"/>
    <n v="88573"/>
    <n v="0"/>
  </r>
  <r>
    <x v="5"/>
    <x v="1"/>
    <s v="Сахар песок фас.1кг:6"/>
    <n v="33.659999999999997"/>
    <d v="2012-06-28T00:00:00"/>
    <n v="88573"/>
    <x v="682"/>
    <n v="13316"/>
    <n v="89174"/>
    <n v="0"/>
  </r>
  <r>
    <x v="5"/>
    <x v="1"/>
    <s v="Сахар песок фас.1кг:6"/>
    <n v="33.659999999999997"/>
    <d v="2012-06-29T00:00:00"/>
    <n v="89174"/>
    <x v="683"/>
    <n v="13618"/>
    <n v="89741"/>
    <n v="0"/>
  </r>
  <r>
    <x v="5"/>
    <x v="1"/>
    <s v="Сахар песок фас.1кг:6"/>
    <n v="33.659999999999997"/>
    <d v="2012-06-30T00:00:00"/>
    <n v="89741"/>
    <x v="684"/>
    <n v="15140"/>
    <n v="88494"/>
    <n v="0"/>
  </r>
  <r>
    <x v="5"/>
    <x v="1"/>
    <s v="Сахар песок фас.1кг:6"/>
    <n v="33.659999999999997"/>
    <d v="2012-07-01T00:00:00"/>
    <n v="88494"/>
    <x v="685"/>
    <n v="14424"/>
    <n v="84898"/>
    <n v="0"/>
  </r>
  <r>
    <x v="5"/>
    <x v="1"/>
    <s v="Сахар песок фас.1кг:6"/>
    <n v="33.659999999999997"/>
    <d v="2012-07-02T00:00:00"/>
    <n v="84898"/>
    <x v="686"/>
    <n v="15684"/>
    <n v="80519"/>
    <n v="0"/>
  </r>
  <r>
    <x v="5"/>
    <x v="1"/>
    <s v="Сахар песок фас.1кг:6"/>
    <n v="33.659999999999997"/>
    <d v="2012-07-03T00:00:00"/>
    <n v="80519"/>
    <x v="687"/>
    <n v="15507"/>
    <n v="82443"/>
    <n v="0"/>
  </r>
  <r>
    <x v="5"/>
    <x v="1"/>
    <s v="Сахар песок фас.1кг:6"/>
    <n v="33.659999999999997"/>
    <d v="2012-07-04T00:00:00"/>
    <n v="82443"/>
    <x v="688"/>
    <n v="14551"/>
    <n v="87043"/>
    <n v="0"/>
  </r>
  <r>
    <x v="5"/>
    <x v="1"/>
    <s v="Сахар песок фас.1кг:6"/>
    <n v="33.659999999999997"/>
    <d v="2012-07-05T00:00:00"/>
    <n v="87043"/>
    <x v="689"/>
    <n v="14347"/>
    <n v="89676"/>
    <n v="0"/>
  </r>
  <r>
    <x v="5"/>
    <x v="1"/>
    <s v="Сахар песок фас.1кг:6"/>
    <n v="33.659999999999997"/>
    <d v="2012-07-06T00:00:00"/>
    <n v="89676"/>
    <x v="678"/>
    <n v="13085"/>
    <n v="91138"/>
    <n v="0"/>
  </r>
  <r>
    <x v="5"/>
    <x v="1"/>
    <s v="Сахар песок фас.1кг:6"/>
    <n v="33.659999999999997"/>
    <d v="2012-07-07T00:00:00"/>
    <n v="91138"/>
    <x v="690"/>
    <n v="13746"/>
    <n v="92430"/>
    <n v="0"/>
  </r>
  <r>
    <x v="5"/>
    <x v="1"/>
    <s v="Сахар песок фас.1кг:6"/>
    <n v="33.659999999999997"/>
    <d v="2012-07-08T00:00:00"/>
    <n v="92430"/>
    <x v="691"/>
    <n v="11951"/>
    <n v="81574"/>
    <n v="0"/>
  </r>
  <r>
    <x v="5"/>
    <x v="1"/>
    <s v="Сахар песок фас.1кг:6"/>
    <n v="33.659999999999997"/>
    <d v="2012-07-09T00:00:00"/>
    <n v="81574"/>
    <x v="692"/>
    <n v="14326"/>
    <n v="80345"/>
    <n v="0"/>
  </r>
  <r>
    <x v="5"/>
    <x v="1"/>
    <s v="Сахар песок фас.1кг:6"/>
    <n v="33.659999999999997"/>
    <d v="2012-07-10T00:00:00"/>
    <n v="80345"/>
    <x v="693"/>
    <n v="13318"/>
    <n v="84973"/>
    <n v="0"/>
  </r>
  <r>
    <x v="5"/>
    <x v="1"/>
    <s v="Сахар песок фас.1кг:6"/>
    <n v="33.659999999999997"/>
    <d v="2012-07-11T00:00:00"/>
    <n v="84973"/>
    <x v="694"/>
    <n v="12782"/>
    <n v="91370"/>
    <n v="0"/>
  </r>
  <r>
    <x v="5"/>
    <x v="1"/>
    <s v="Сахар песок фас.1кг:6"/>
    <n v="33.659999999999997"/>
    <d v="2012-07-12T00:00:00"/>
    <n v="91370"/>
    <x v="695"/>
    <n v="12555"/>
    <n v="91913"/>
    <n v="0"/>
  </r>
  <r>
    <x v="5"/>
    <x v="1"/>
    <s v="Сахар песок фас.1кг:6"/>
    <n v="33.659999999999997"/>
    <d v="2012-07-13T00:00:00"/>
    <n v="91913"/>
    <x v="696"/>
    <n v="12796"/>
    <n v="90175"/>
    <n v="0"/>
  </r>
  <r>
    <x v="5"/>
    <x v="1"/>
    <s v="Сахар песок фас.1кг:6"/>
    <n v="33.659999999999997"/>
    <d v="2012-07-14T00:00:00"/>
    <n v="90175"/>
    <x v="432"/>
    <n v="11318"/>
    <n v="88297"/>
    <n v="0"/>
  </r>
  <r>
    <x v="5"/>
    <x v="1"/>
    <s v="Сахар песок фас.1кг:6"/>
    <n v="33.659999999999997"/>
    <d v="2012-07-15T00:00:00"/>
    <n v="88297"/>
    <x v="697"/>
    <n v="9859"/>
    <n v="89476"/>
    <n v="0"/>
  </r>
  <r>
    <x v="5"/>
    <x v="1"/>
    <s v="Сахар песок фас.1кг:6"/>
    <n v="33.659999999999997"/>
    <d v="2012-07-16T00:00:00"/>
    <n v="89476"/>
    <x v="698"/>
    <n v="9695"/>
    <n v="89435"/>
    <n v="0"/>
  </r>
  <r>
    <x v="5"/>
    <x v="1"/>
    <s v="Сахар песок фас.1кг:6"/>
    <n v="33.659999999999997"/>
    <d v="2012-07-17T00:00:00"/>
    <n v="89435"/>
    <x v="699"/>
    <n v="8801"/>
    <n v="88335"/>
    <n v="0"/>
  </r>
  <r>
    <x v="5"/>
    <x v="2"/>
    <s v="Сахар песок фас.5кг :1"/>
    <n v="165.05"/>
    <d v="2012-06-01T00:00:00"/>
    <n v="8807"/>
    <x v="700"/>
    <n v="2762"/>
    <n v="10551"/>
    <n v="0"/>
  </r>
  <r>
    <x v="5"/>
    <x v="2"/>
    <s v="Сахар песок фас.5кг :1"/>
    <n v="165.05"/>
    <d v="2012-06-02T00:00:00"/>
    <n v="10551"/>
    <x v="701"/>
    <n v="3743"/>
    <n v="10011"/>
    <n v="0"/>
  </r>
  <r>
    <x v="5"/>
    <x v="2"/>
    <s v="Сахар песок фас.5кг :1"/>
    <n v="165.05"/>
    <d v="2012-06-03T00:00:00"/>
    <n v="10011"/>
    <x v="702"/>
    <n v="3650"/>
    <n v="9818"/>
    <n v="0"/>
  </r>
  <r>
    <x v="5"/>
    <x v="2"/>
    <s v="Сахар песок фас.5кг :1"/>
    <n v="165.05"/>
    <d v="2012-06-04T00:00:00"/>
    <n v="9818"/>
    <x v="703"/>
    <n v="3238"/>
    <n v="11688"/>
    <n v="0"/>
  </r>
  <r>
    <x v="5"/>
    <x v="2"/>
    <s v="Сахар песок фас.5кг :1"/>
    <n v="165.05"/>
    <d v="2012-06-05T00:00:00"/>
    <n v="11688"/>
    <x v="704"/>
    <n v="3313"/>
    <n v="12773"/>
    <n v="0"/>
  </r>
  <r>
    <x v="5"/>
    <x v="2"/>
    <s v="Сахар песок фас.5кг :1"/>
    <n v="165.05"/>
    <d v="2012-06-06T00:00:00"/>
    <n v="12773"/>
    <x v="705"/>
    <n v="3217"/>
    <n v="13836"/>
    <n v="0"/>
  </r>
  <r>
    <x v="5"/>
    <x v="2"/>
    <s v="Сахар песок фас.5кг :1"/>
    <n v="165.05"/>
    <d v="2012-06-07T00:00:00"/>
    <n v="13836"/>
    <x v="706"/>
    <n v="3246"/>
    <n v="12882"/>
    <n v="0"/>
  </r>
  <r>
    <x v="5"/>
    <x v="2"/>
    <s v="Сахар песок фас.5кг :1"/>
    <n v="165.05"/>
    <d v="2012-06-08T00:00:00"/>
    <n v="12882"/>
    <x v="707"/>
    <n v="3333"/>
    <n v="12764"/>
    <n v="0"/>
  </r>
  <r>
    <x v="5"/>
    <x v="2"/>
    <s v="Сахар песок фас.5кг :1"/>
    <n v="165.05"/>
    <d v="2012-06-09T00:00:00"/>
    <n v="12764"/>
    <x v="708"/>
    <n v="3547"/>
    <n v="14540"/>
    <n v="0"/>
  </r>
  <r>
    <x v="5"/>
    <x v="2"/>
    <s v="Сахар песок фас.5кг :1"/>
    <n v="165.05"/>
    <d v="2012-06-10T00:00:00"/>
    <n v="14540"/>
    <x v="709"/>
    <n v="3456"/>
    <n v="14915"/>
    <n v="0"/>
  </r>
  <r>
    <x v="5"/>
    <x v="2"/>
    <s v="Сахар песок фас.5кг :1"/>
    <n v="165.05"/>
    <d v="2012-06-11T00:00:00"/>
    <n v="14915"/>
    <x v="710"/>
    <n v="3408"/>
    <n v="14483"/>
    <n v="0"/>
  </r>
  <r>
    <x v="5"/>
    <x v="2"/>
    <s v="Сахар песок фас.5кг :1"/>
    <n v="165.05"/>
    <d v="2012-06-12T00:00:00"/>
    <n v="14483"/>
    <x v="711"/>
    <n v="3113"/>
    <n v="14396"/>
    <n v="0"/>
  </r>
  <r>
    <x v="5"/>
    <x v="2"/>
    <s v="Сахар песок фас.5кг :1"/>
    <n v="165.05"/>
    <d v="2012-06-13T00:00:00"/>
    <n v="14396"/>
    <x v="712"/>
    <n v="2868"/>
    <n v="14906"/>
    <n v="0"/>
  </r>
  <r>
    <x v="5"/>
    <x v="2"/>
    <s v="Сахар песок фас.5кг :1"/>
    <n v="165.05"/>
    <d v="2012-06-14T00:00:00"/>
    <n v="14906"/>
    <x v="341"/>
    <n v="2769"/>
    <n v="15243"/>
    <n v="2"/>
  </r>
  <r>
    <x v="5"/>
    <x v="2"/>
    <s v="Сахар песок фас.5кг :1"/>
    <n v="165.05"/>
    <d v="2012-06-15T00:00:00"/>
    <n v="15243"/>
    <x v="713"/>
    <n v="2849"/>
    <n v="15164"/>
    <n v="0"/>
  </r>
  <r>
    <x v="5"/>
    <x v="2"/>
    <s v="Сахар песок фас.5кг :1"/>
    <n v="165.05"/>
    <d v="2012-06-16T00:00:00"/>
    <n v="15164"/>
    <x v="714"/>
    <n v="3247"/>
    <n v="14446"/>
    <n v="0"/>
  </r>
  <r>
    <x v="5"/>
    <x v="2"/>
    <s v="Сахар песок фас.5кг :1"/>
    <n v="165.05"/>
    <d v="2012-06-17T00:00:00"/>
    <n v="14446"/>
    <x v="715"/>
    <n v="3135"/>
    <n v="14358"/>
    <n v="0"/>
  </r>
  <r>
    <x v="5"/>
    <x v="2"/>
    <s v="Сахар песок фас.5кг :1"/>
    <n v="165.05"/>
    <d v="2012-06-18T00:00:00"/>
    <n v="14358"/>
    <x v="716"/>
    <n v="2998"/>
    <n v="14705"/>
    <n v="0"/>
  </r>
  <r>
    <x v="5"/>
    <x v="2"/>
    <s v="Сахар песок фас.5кг :1"/>
    <n v="165.05"/>
    <d v="2012-06-19T00:00:00"/>
    <n v="14705"/>
    <x v="717"/>
    <n v="3025"/>
    <n v="15972"/>
    <n v="0"/>
  </r>
  <r>
    <x v="5"/>
    <x v="2"/>
    <s v="Сахар песок фас.5кг :1"/>
    <n v="165.05"/>
    <d v="2012-06-20T00:00:00"/>
    <n v="15972"/>
    <x v="718"/>
    <n v="3224"/>
    <n v="15444"/>
    <n v="0"/>
  </r>
  <r>
    <x v="5"/>
    <x v="2"/>
    <s v="Сахар песок фас.5кг :1"/>
    <n v="165.05"/>
    <d v="2012-06-21T00:00:00"/>
    <n v="15444"/>
    <x v="719"/>
    <n v="3182"/>
    <n v="14831"/>
    <n v="0"/>
  </r>
  <r>
    <x v="5"/>
    <x v="2"/>
    <s v="Сахар песок фас.5кг :1"/>
    <n v="165.05"/>
    <d v="2012-06-22T00:00:00"/>
    <n v="14831"/>
    <x v="720"/>
    <n v="3316"/>
    <n v="14307"/>
    <n v="0"/>
  </r>
  <r>
    <x v="5"/>
    <x v="2"/>
    <s v="Сахар песок фас.5кг :1"/>
    <n v="165.05"/>
    <d v="2012-06-23T00:00:00"/>
    <n v="14307"/>
    <x v="721"/>
    <n v="3553"/>
    <n v="14070"/>
    <n v="0"/>
  </r>
  <r>
    <x v="5"/>
    <x v="2"/>
    <s v="Сахар песок фас.5кг :1"/>
    <n v="165.05"/>
    <d v="2012-06-24T00:00:00"/>
    <n v="14070"/>
    <x v="722"/>
    <n v="3619"/>
    <n v="13869"/>
    <n v="0"/>
  </r>
  <r>
    <x v="5"/>
    <x v="2"/>
    <s v="Сахар песок фас.5кг :1"/>
    <n v="165.05"/>
    <d v="2012-06-25T00:00:00"/>
    <n v="13869"/>
    <x v="351"/>
    <n v="3105"/>
    <n v="14409"/>
    <n v="0"/>
  </r>
  <r>
    <x v="5"/>
    <x v="2"/>
    <s v="Сахар песок фас.5кг :1"/>
    <n v="165.05"/>
    <d v="2012-06-26T00:00:00"/>
    <n v="14409"/>
    <x v="723"/>
    <n v="3126"/>
    <n v="14959"/>
    <n v="0"/>
  </r>
  <r>
    <x v="5"/>
    <x v="2"/>
    <s v="Сахар песок фас.5кг :1"/>
    <n v="165.05"/>
    <d v="2012-06-27T00:00:00"/>
    <n v="14959"/>
    <x v="724"/>
    <n v="2840"/>
    <n v="15152"/>
    <n v="0"/>
  </r>
  <r>
    <x v="5"/>
    <x v="2"/>
    <s v="Сахар песок фас.5кг :1"/>
    <n v="165.05"/>
    <d v="2012-06-28T00:00:00"/>
    <n v="15152"/>
    <x v="725"/>
    <n v="2960"/>
    <n v="15725"/>
    <n v="0"/>
  </r>
  <r>
    <x v="5"/>
    <x v="2"/>
    <s v="Сахар песок фас.5кг :1"/>
    <n v="165.05"/>
    <d v="2012-06-29T00:00:00"/>
    <n v="15725"/>
    <x v="726"/>
    <n v="3076"/>
    <n v="15167"/>
    <n v="0"/>
  </r>
  <r>
    <x v="5"/>
    <x v="2"/>
    <s v="Сахар песок фас.5кг :1"/>
    <n v="165.05"/>
    <d v="2012-06-30T00:00:00"/>
    <n v="15167"/>
    <x v="727"/>
    <n v="3760"/>
    <n v="14191"/>
    <n v="1"/>
  </r>
  <r>
    <x v="5"/>
    <x v="2"/>
    <s v="Сахар песок фас.5кг :1"/>
    <n v="165.05"/>
    <d v="2012-07-01T00:00:00"/>
    <n v="14191"/>
    <x v="728"/>
    <n v="3322"/>
    <n v="13347"/>
    <n v="0"/>
  </r>
  <r>
    <x v="5"/>
    <x v="2"/>
    <s v="Сахар песок фас.5кг :1"/>
    <n v="165.05"/>
    <d v="2012-07-02T00:00:00"/>
    <n v="13347"/>
    <x v="729"/>
    <n v="3069"/>
    <n v="14363"/>
    <n v="0"/>
  </r>
  <r>
    <x v="5"/>
    <x v="2"/>
    <s v="Сахар песок фас.5кг :1"/>
    <n v="165.05"/>
    <d v="2012-07-03T00:00:00"/>
    <n v="14363"/>
    <x v="730"/>
    <n v="2997"/>
    <n v="14559"/>
    <n v="0"/>
  </r>
  <r>
    <x v="5"/>
    <x v="2"/>
    <s v="Сахар песок фас.5кг :1"/>
    <n v="165.05"/>
    <d v="2012-07-04T00:00:00"/>
    <n v="14559"/>
    <x v="731"/>
    <n v="2840"/>
    <n v="14471"/>
    <n v="0"/>
  </r>
  <r>
    <x v="5"/>
    <x v="2"/>
    <s v="Сахар песок фас.5кг :1"/>
    <n v="165.05"/>
    <d v="2012-07-05T00:00:00"/>
    <n v="14471"/>
    <x v="732"/>
    <n v="2849"/>
    <n v="14616"/>
    <n v="0"/>
  </r>
  <r>
    <x v="5"/>
    <x v="2"/>
    <s v="Сахар песок фас.5кг :1"/>
    <n v="165.05"/>
    <d v="2012-07-06T00:00:00"/>
    <n v="14616"/>
    <x v="344"/>
    <n v="2880"/>
    <n v="14187"/>
    <n v="0"/>
  </r>
  <r>
    <x v="5"/>
    <x v="2"/>
    <s v="Сахар песок фас.5кг :1"/>
    <n v="165.05"/>
    <d v="2012-07-07T00:00:00"/>
    <n v="14187"/>
    <x v="733"/>
    <n v="3143"/>
    <n v="14085"/>
    <n v="0"/>
  </r>
  <r>
    <x v="5"/>
    <x v="2"/>
    <s v="Сахар песок фас.5кг :1"/>
    <n v="165.05"/>
    <d v="2012-07-08T00:00:00"/>
    <n v="14085"/>
    <x v="734"/>
    <n v="2759"/>
    <n v="14144"/>
    <n v="0"/>
  </r>
  <r>
    <x v="5"/>
    <x v="2"/>
    <s v="Сахар песок фас.5кг :1"/>
    <n v="165.05"/>
    <d v="2012-07-09T00:00:00"/>
    <n v="14144"/>
    <x v="735"/>
    <n v="2530"/>
    <n v="14611"/>
    <n v="0"/>
  </r>
  <r>
    <x v="5"/>
    <x v="2"/>
    <s v="Сахар песок фас.5кг :1"/>
    <n v="165.05"/>
    <d v="2012-07-10T00:00:00"/>
    <n v="14611"/>
    <x v="736"/>
    <n v="2408"/>
    <n v="14476"/>
    <n v="0"/>
  </r>
  <r>
    <x v="5"/>
    <x v="2"/>
    <s v="Сахар песок фас.5кг :1"/>
    <n v="165.05"/>
    <d v="2012-07-11T00:00:00"/>
    <n v="14476"/>
    <x v="737"/>
    <n v="2178"/>
    <n v="14331"/>
    <n v="0"/>
  </r>
  <r>
    <x v="5"/>
    <x v="2"/>
    <s v="Сахар песок фас.5кг :1"/>
    <n v="165.05"/>
    <d v="2012-07-12T00:00:00"/>
    <n v="14331"/>
    <x v="738"/>
    <n v="2178"/>
    <n v="14113"/>
    <n v="0"/>
  </r>
  <r>
    <x v="5"/>
    <x v="2"/>
    <s v="Сахар песок фас.5кг :1"/>
    <n v="165.05"/>
    <d v="2012-07-13T00:00:00"/>
    <n v="14113"/>
    <x v="739"/>
    <n v="2182"/>
    <n v="13773"/>
    <n v="0"/>
  </r>
  <r>
    <x v="5"/>
    <x v="2"/>
    <s v="Сахар песок фас.5кг :1"/>
    <n v="165.05"/>
    <d v="2012-07-14T00:00:00"/>
    <n v="13773"/>
    <x v="740"/>
    <n v="2396"/>
    <n v="12965"/>
    <n v="0"/>
  </r>
  <r>
    <x v="5"/>
    <x v="2"/>
    <s v="Сахар песок фас.5кг :1"/>
    <n v="165.05"/>
    <d v="2012-07-15T00:00:00"/>
    <n v="12965"/>
    <x v="741"/>
    <n v="2280"/>
    <n v="12503"/>
    <n v="0"/>
  </r>
  <r>
    <x v="5"/>
    <x v="2"/>
    <s v="Сахар песок фас.5кг :1"/>
    <n v="165.05"/>
    <d v="2012-07-16T00:00:00"/>
    <n v="12503"/>
    <x v="742"/>
    <n v="2319"/>
    <n v="11961"/>
    <n v="0"/>
  </r>
  <r>
    <x v="5"/>
    <x v="2"/>
    <s v="Сахар песок фас.5кг :1"/>
    <n v="165.05"/>
    <d v="2012-07-17T00:00:00"/>
    <n v="11961"/>
    <x v="743"/>
    <n v="2030"/>
    <n v="11811"/>
    <n v="0"/>
  </r>
  <r>
    <x v="6"/>
    <x v="0"/>
    <s v="Сахар песок фас. 10кг:1"/>
    <n v="317.08"/>
    <d v="2012-06-01T00:00:00"/>
    <n v="424"/>
    <x v="744"/>
    <n v="69"/>
    <n v="391"/>
    <n v="0"/>
  </r>
  <r>
    <x v="6"/>
    <x v="0"/>
    <s v="Сахар песок фас. 10кг:1"/>
    <n v="317.08"/>
    <d v="2012-06-02T00:00:00"/>
    <n v="391"/>
    <x v="643"/>
    <n v="57"/>
    <n v="348"/>
    <n v="0"/>
  </r>
  <r>
    <x v="6"/>
    <x v="0"/>
    <s v="Сахар песок фас. 10кг:1"/>
    <n v="317.08"/>
    <d v="2012-06-03T00:00:00"/>
    <n v="348"/>
    <x v="745"/>
    <n v="48"/>
    <n v="326"/>
    <n v="0"/>
  </r>
  <r>
    <x v="6"/>
    <x v="0"/>
    <s v="Сахар песок фас. 10кг:1"/>
    <n v="317.08"/>
    <d v="2012-06-04T00:00:00"/>
    <n v="326"/>
    <x v="746"/>
    <n v="45"/>
    <n v="402"/>
    <n v="0"/>
  </r>
  <r>
    <x v="6"/>
    <x v="0"/>
    <s v="Сахар песок фас. 10кг:1"/>
    <n v="317.08"/>
    <d v="2012-06-05T00:00:00"/>
    <n v="402"/>
    <x v="747"/>
    <n v="40"/>
    <n v="475"/>
    <n v="0"/>
  </r>
  <r>
    <x v="6"/>
    <x v="0"/>
    <s v="Сахар песок фас. 10кг:1"/>
    <n v="317.08"/>
    <d v="2012-06-06T00:00:00"/>
    <n v="475"/>
    <x v="748"/>
    <n v="48"/>
    <n v="546"/>
    <n v="0"/>
  </r>
  <r>
    <x v="6"/>
    <x v="0"/>
    <s v="Сахар песок фас. 10кг:1"/>
    <n v="317.08"/>
    <d v="2012-06-07T00:00:00"/>
    <n v="546"/>
    <x v="627"/>
    <n v="63"/>
    <n v="484"/>
    <n v="0"/>
  </r>
  <r>
    <x v="6"/>
    <x v="0"/>
    <s v="Сахар песок фас. 10кг:1"/>
    <n v="317.08"/>
    <d v="2012-06-08T00:00:00"/>
    <n v="484"/>
    <x v="634"/>
    <n v="92"/>
    <n v="403"/>
    <n v="0"/>
  </r>
  <r>
    <x v="6"/>
    <x v="0"/>
    <s v="Сахар песок фас. 10кг:1"/>
    <n v="317.08"/>
    <d v="2012-06-09T00:00:00"/>
    <n v="403"/>
    <x v="749"/>
    <n v="87"/>
    <n v="354"/>
    <n v="0"/>
  </r>
  <r>
    <x v="6"/>
    <x v="0"/>
    <s v="Сахар песок фас. 10кг:1"/>
    <n v="317.08"/>
    <d v="2012-06-10T00:00:00"/>
    <n v="354"/>
    <x v="750"/>
    <n v="52"/>
    <n v="468"/>
    <n v="0"/>
  </r>
  <r>
    <x v="6"/>
    <x v="0"/>
    <s v="Сахар песок фас. 10кг:1"/>
    <n v="317.08"/>
    <d v="2012-06-11T00:00:00"/>
    <n v="468"/>
    <x v="751"/>
    <n v="56"/>
    <n v="414"/>
    <n v="0"/>
  </r>
  <r>
    <x v="6"/>
    <x v="0"/>
    <s v="Сахар песок фас. 10кг:1"/>
    <n v="317.08"/>
    <d v="2012-06-12T00:00:00"/>
    <n v="414"/>
    <x v="752"/>
    <n v="39"/>
    <n v="503"/>
    <n v="0"/>
  </r>
  <r>
    <x v="6"/>
    <x v="0"/>
    <s v="Сахар песок фас. 10кг:1"/>
    <n v="317.08"/>
    <d v="2012-06-13T00:00:00"/>
    <n v="503"/>
    <x v="0"/>
    <n v="49"/>
    <n v="453"/>
    <n v="0"/>
  </r>
  <r>
    <x v="6"/>
    <x v="0"/>
    <s v="Сахар песок фас. 10кг:1"/>
    <n v="317.08"/>
    <d v="2012-06-14T00:00:00"/>
    <n v="453"/>
    <x v="753"/>
    <n v="48"/>
    <n v="477"/>
    <n v="0"/>
  </r>
  <r>
    <x v="6"/>
    <x v="0"/>
    <s v="Сахар песок фас. 10кг:1"/>
    <n v="317.08"/>
    <d v="2012-06-15T00:00:00"/>
    <n v="477"/>
    <x v="645"/>
    <n v="77"/>
    <n v="422"/>
    <n v="0"/>
  </r>
  <r>
    <x v="6"/>
    <x v="0"/>
    <s v="Сахар песок фас. 10кг:1"/>
    <n v="317.08"/>
    <d v="2012-06-16T00:00:00"/>
    <n v="422"/>
    <x v="754"/>
    <n v="76"/>
    <n v="408"/>
    <n v="0"/>
  </r>
  <r>
    <x v="6"/>
    <x v="0"/>
    <s v="Сахар песок фас. 10кг:1"/>
    <n v="317.08"/>
    <d v="2012-06-17T00:00:00"/>
    <n v="408"/>
    <x v="654"/>
    <n v="53"/>
    <n v="379"/>
    <n v="0"/>
  </r>
  <r>
    <x v="6"/>
    <x v="0"/>
    <s v="Сахар песок фас. 10кг:1"/>
    <n v="317.08"/>
    <d v="2012-06-18T00:00:00"/>
    <n v="379"/>
    <x v="755"/>
    <n v="60"/>
    <n v="409"/>
    <n v="0"/>
  </r>
  <r>
    <x v="6"/>
    <x v="0"/>
    <s v="Сахар песок фас. 10кг:1"/>
    <n v="317.08"/>
    <d v="2012-06-19T00:00:00"/>
    <n v="409"/>
    <x v="756"/>
    <n v="61"/>
    <n v="397"/>
    <n v="0"/>
  </r>
  <r>
    <x v="6"/>
    <x v="0"/>
    <s v="Сахар песок фас. 10кг:1"/>
    <n v="317.08"/>
    <d v="2012-06-20T00:00:00"/>
    <n v="397"/>
    <x v="501"/>
    <n v="70"/>
    <n v="350"/>
    <n v="0"/>
  </r>
  <r>
    <x v="6"/>
    <x v="0"/>
    <s v="Сахар песок фас. 10кг:1"/>
    <n v="317.08"/>
    <d v="2012-06-21T00:00:00"/>
    <n v="350"/>
    <x v="239"/>
    <n v="69"/>
    <n v="281"/>
    <n v="0"/>
  </r>
  <r>
    <x v="6"/>
    <x v="0"/>
    <s v="Сахар песок фас. 10кг:1"/>
    <n v="317.08"/>
    <d v="2012-06-22T00:00:00"/>
    <n v="281"/>
    <x v="757"/>
    <n v="56"/>
    <n v="431"/>
    <n v="0"/>
  </r>
  <r>
    <x v="6"/>
    <x v="0"/>
    <s v="Сахар песок фас. 10кг:1"/>
    <n v="317.08"/>
    <d v="2012-06-23T00:00:00"/>
    <n v="431"/>
    <x v="653"/>
    <n v="40"/>
    <n v="388"/>
    <n v="0"/>
  </r>
  <r>
    <x v="6"/>
    <x v="0"/>
    <s v="Сахар песок фас. 10кг:1"/>
    <n v="317.08"/>
    <d v="2012-06-24T00:00:00"/>
    <n v="388"/>
    <x v="758"/>
    <n v="80"/>
    <n v="381"/>
    <n v="0"/>
  </r>
  <r>
    <x v="6"/>
    <x v="0"/>
    <s v="Сахар песок фас. 10кг:1"/>
    <n v="317.08"/>
    <d v="2012-06-25T00:00:00"/>
    <n v="381"/>
    <x v="527"/>
    <n v="72"/>
    <n v="324"/>
    <n v="0"/>
  </r>
  <r>
    <x v="6"/>
    <x v="0"/>
    <s v="Сахар песок фас. 10кг:1"/>
    <n v="317.08"/>
    <d v="2012-06-26T00:00:00"/>
    <n v="324"/>
    <x v="759"/>
    <n v="58"/>
    <n v="391"/>
    <n v="0"/>
  </r>
  <r>
    <x v="6"/>
    <x v="0"/>
    <s v="Сахар песок фас. 10кг:1"/>
    <n v="317.08"/>
    <d v="2012-06-27T00:00:00"/>
    <n v="391"/>
    <x v="760"/>
    <n v="88"/>
    <n v="322"/>
    <n v="0"/>
  </r>
  <r>
    <x v="6"/>
    <x v="0"/>
    <s v="Сахар песок фас. 10кг:1"/>
    <n v="317.08"/>
    <d v="2012-06-28T00:00:00"/>
    <n v="322"/>
    <x v="761"/>
    <n v="70"/>
    <n v="398"/>
    <n v="0"/>
  </r>
  <r>
    <x v="6"/>
    <x v="0"/>
    <s v="Сахар песок фас. 10кг:1"/>
    <n v="317.08"/>
    <d v="2012-06-29T00:00:00"/>
    <n v="398"/>
    <x v="627"/>
    <n v="58"/>
    <n v="343"/>
    <n v="0"/>
  </r>
  <r>
    <x v="6"/>
    <x v="0"/>
    <s v="Сахар песок фас. 10кг:1"/>
    <n v="317.08"/>
    <d v="2012-06-30T00:00:00"/>
    <n v="343"/>
    <x v="762"/>
    <n v="55"/>
    <n v="469"/>
    <n v="0"/>
  </r>
  <r>
    <x v="6"/>
    <x v="0"/>
    <s v="Сахар песок фас. 10кг:1"/>
    <n v="317.08"/>
    <d v="2012-07-01T00:00:00"/>
    <n v="469"/>
    <x v="648"/>
    <n v="61"/>
    <n v="457"/>
    <n v="0"/>
  </r>
  <r>
    <x v="6"/>
    <x v="0"/>
    <s v="Сахар песок фас. 10кг:1"/>
    <n v="317.08"/>
    <d v="2012-07-02T00:00:00"/>
    <n v="457"/>
    <x v="759"/>
    <n v="62"/>
    <n v="520"/>
    <n v="0"/>
  </r>
  <r>
    <x v="6"/>
    <x v="0"/>
    <s v="Сахар песок фас. 10кг:1"/>
    <n v="317.08"/>
    <d v="2012-07-03T00:00:00"/>
    <n v="520"/>
    <x v="750"/>
    <n v="81"/>
    <n v="606"/>
    <n v="0"/>
  </r>
  <r>
    <x v="6"/>
    <x v="0"/>
    <s v="Сахар песок фас. 10кг:1"/>
    <n v="317.08"/>
    <d v="2012-07-04T00:00:00"/>
    <n v="606"/>
    <x v="763"/>
    <n v="54"/>
    <n v="710"/>
    <n v="0"/>
  </r>
  <r>
    <x v="6"/>
    <x v="0"/>
    <s v="Сахар песок фас. 10кг:1"/>
    <n v="317.08"/>
    <d v="2012-07-05T00:00:00"/>
    <n v="710"/>
    <x v="500"/>
    <n v="62"/>
    <n v="640"/>
    <n v="0"/>
  </r>
  <r>
    <x v="6"/>
    <x v="0"/>
    <s v="Сахар песок фас. 10кг:1"/>
    <n v="317.08"/>
    <d v="2012-07-06T00:00:00"/>
    <n v="640"/>
    <x v="764"/>
    <n v="70"/>
    <n v="631"/>
    <n v="0"/>
  </r>
  <r>
    <x v="6"/>
    <x v="0"/>
    <s v="Сахар песок фас. 10кг:1"/>
    <n v="317.08"/>
    <d v="2012-07-07T00:00:00"/>
    <n v="631"/>
    <x v="765"/>
    <n v="80"/>
    <n v="598"/>
    <n v="0"/>
  </r>
  <r>
    <x v="6"/>
    <x v="0"/>
    <s v="Сахар песок фас. 10кг:1"/>
    <n v="317.08"/>
    <d v="2012-07-08T00:00:00"/>
    <n v="598"/>
    <x v="766"/>
    <n v="97"/>
    <n v="590"/>
    <n v="0"/>
  </r>
  <r>
    <x v="6"/>
    <x v="0"/>
    <s v="Сахар песок фас. 10кг:1"/>
    <n v="317.08"/>
    <d v="2012-07-09T00:00:00"/>
    <n v="590"/>
    <x v="641"/>
    <n v="117"/>
    <n v="504"/>
    <n v="0"/>
  </r>
  <r>
    <x v="6"/>
    <x v="0"/>
    <s v="Сахар песок фас. 10кг:1"/>
    <n v="317.08"/>
    <d v="2012-07-10T00:00:00"/>
    <n v="504"/>
    <x v="767"/>
    <n v="68"/>
    <n v="613"/>
    <n v="0"/>
  </r>
  <r>
    <x v="6"/>
    <x v="0"/>
    <s v="Сахар песок фас. 10кг:1"/>
    <n v="317.08"/>
    <d v="2012-07-11T00:00:00"/>
    <n v="613"/>
    <x v="768"/>
    <n v="94"/>
    <n v="542"/>
    <n v="0"/>
  </r>
  <r>
    <x v="6"/>
    <x v="0"/>
    <s v="Сахар песок фас. 10кг:1"/>
    <n v="317.08"/>
    <d v="2012-07-12T00:00:00"/>
    <n v="542"/>
    <x v="527"/>
    <n v="116"/>
    <n v="444"/>
    <n v="0"/>
  </r>
  <r>
    <x v="6"/>
    <x v="0"/>
    <s v="Сахар песок фас. 10кг:1"/>
    <n v="317.08"/>
    <d v="2012-07-13T00:00:00"/>
    <n v="444"/>
    <x v="454"/>
    <n v="105"/>
    <n v="380"/>
    <n v="0"/>
  </r>
  <r>
    <x v="6"/>
    <x v="0"/>
    <s v="Сахар песок фас. 10кг:1"/>
    <n v="317.08"/>
    <d v="2012-07-14T00:00:00"/>
    <n v="380"/>
    <x v="769"/>
    <n v="59"/>
    <n v="467"/>
    <n v="0"/>
  </r>
  <r>
    <x v="6"/>
    <x v="0"/>
    <s v="Сахар песок фас. 10кг:1"/>
    <n v="317.08"/>
    <d v="2012-07-15T00:00:00"/>
    <n v="467"/>
    <x v="770"/>
    <n v="74"/>
    <n v="461"/>
    <n v="0"/>
  </r>
  <r>
    <x v="6"/>
    <x v="0"/>
    <s v="Сахар песок фас. 10кг:1"/>
    <n v="317.08"/>
    <d v="2012-07-16T00:00:00"/>
    <n v="461"/>
    <x v="771"/>
    <n v="125"/>
    <n v="421"/>
    <n v="0"/>
  </r>
  <r>
    <x v="6"/>
    <x v="0"/>
    <s v="Сахар песок фас. 10кг:1"/>
    <n v="317.08"/>
    <d v="2012-07-17T00:00:00"/>
    <n v="421"/>
    <x v="772"/>
    <n v="86"/>
    <n v="518"/>
    <n v="0"/>
  </r>
  <r>
    <x v="6"/>
    <x v="1"/>
    <s v="Сахар песок фас.1кг:6"/>
    <n v="33.659999999999997"/>
    <d v="2012-06-01T00:00:00"/>
    <n v="115253"/>
    <x v="773"/>
    <n v="20212"/>
    <n v="97633"/>
    <n v="1"/>
  </r>
  <r>
    <x v="6"/>
    <x v="1"/>
    <s v="Сахар песок фас.1кг:6"/>
    <n v="33.659999999999997"/>
    <d v="2012-06-02T00:00:00"/>
    <n v="97633"/>
    <x v="774"/>
    <n v="17903"/>
    <n v="115840"/>
    <n v="0"/>
  </r>
  <r>
    <x v="6"/>
    <x v="1"/>
    <s v="Сахар песок фас.1кг:6"/>
    <n v="33.659999999999997"/>
    <d v="2012-06-03T00:00:00"/>
    <n v="115840"/>
    <x v="775"/>
    <n v="20991"/>
    <n v="133677"/>
    <n v="0"/>
  </r>
  <r>
    <x v="6"/>
    <x v="1"/>
    <s v="Сахар песок фас.1кг:6"/>
    <n v="33.659999999999997"/>
    <d v="2012-06-04T00:00:00"/>
    <n v="133677"/>
    <x v="776"/>
    <n v="25279"/>
    <n v="126656"/>
    <n v="0"/>
  </r>
  <r>
    <x v="6"/>
    <x v="1"/>
    <s v="Сахар песок фас.1кг:6"/>
    <n v="33.659999999999997"/>
    <d v="2012-06-05T00:00:00"/>
    <n v="126656"/>
    <x v="777"/>
    <n v="24438"/>
    <n v="120160"/>
    <n v="5"/>
  </r>
  <r>
    <x v="6"/>
    <x v="1"/>
    <s v="Сахар песок фас.1кг:6"/>
    <n v="33.659999999999997"/>
    <d v="2012-06-06T00:00:00"/>
    <n v="120160"/>
    <x v="778"/>
    <n v="23787"/>
    <n v="129428"/>
    <n v="1"/>
  </r>
  <r>
    <x v="6"/>
    <x v="1"/>
    <s v="Сахар песок фас.1кг:6"/>
    <n v="33.659999999999997"/>
    <d v="2012-06-07T00:00:00"/>
    <n v="129428"/>
    <x v="779"/>
    <n v="23926"/>
    <n v="140158"/>
    <n v="0"/>
  </r>
  <r>
    <x v="6"/>
    <x v="1"/>
    <s v="Сахар песок фас.1кг:6"/>
    <n v="33.659999999999997"/>
    <d v="2012-06-08T00:00:00"/>
    <n v="140158"/>
    <x v="780"/>
    <n v="25931"/>
    <n v="141681"/>
    <n v="0"/>
  </r>
  <r>
    <x v="6"/>
    <x v="1"/>
    <s v="Сахар песок фас.1кг:6"/>
    <n v="33.659999999999997"/>
    <d v="2012-06-09T00:00:00"/>
    <n v="141681"/>
    <x v="781"/>
    <n v="22916"/>
    <n v="148286"/>
    <n v="0"/>
  </r>
  <r>
    <x v="6"/>
    <x v="1"/>
    <s v="Сахар песок фас.1кг:6"/>
    <n v="33.659999999999997"/>
    <d v="2012-06-10T00:00:00"/>
    <n v="148286"/>
    <x v="782"/>
    <n v="19797"/>
    <n v="149196"/>
    <n v="5"/>
  </r>
  <r>
    <x v="6"/>
    <x v="1"/>
    <s v="Сахар песок фас.1кг:6"/>
    <n v="33.659999999999997"/>
    <d v="2012-06-11T00:00:00"/>
    <n v="149196"/>
    <x v="783"/>
    <n v="15229"/>
    <n v="152654"/>
    <n v="0"/>
  </r>
  <r>
    <x v="6"/>
    <x v="1"/>
    <s v="Сахар песок фас.1кг:6"/>
    <n v="33.659999999999997"/>
    <d v="2012-06-12T00:00:00"/>
    <n v="152654"/>
    <x v="784"/>
    <n v="14249"/>
    <n v="155499"/>
    <n v="0"/>
  </r>
  <r>
    <x v="6"/>
    <x v="1"/>
    <s v="Сахар песок фас.1кг:6"/>
    <n v="33.659999999999997"/>
    <d v="2012-06-13T00:00:00"/>
    <n v="155499"/>
    <x v="785"/>
    <n v="17920"/>
    <n v="152705"/>
    <n v="0"/>
  </r>
  <r>
    <x v="6"/>
    <x v="1"/>
    <s v="Сахар песок фас.1кг:6"/>
    <n v="33.659999999999997"/>
    <d v="2012-06-14T00:00:00"/>
    <n v="152705"/>
    <x v="786"/>
    <n v="17439"/>
    <n v="149164"/>
    <n v="0"/>
  </r>
  <r>
    <x v="6"/>
    <x v="1"/>
    <s v="Сахар песок фас.1кг:6"/>
    <n v="33.659999999999997"/>
    <d v="2012-06-15T00:00:00"/>
    <n v="149164"/>
    <x v="787"/>
    <n v="18532"/>
    <n v="146666"/>
    <n v="0"/>
  </r>
  <r>
    <x v="6"/>
    <x v="1"/>
    <s v="Сахар песок фас.1кг:6"/>
    <n v="33.659999999999997"/>
    <d v="2012-06-16T00:00:00"/>
    <n v="146666"/>
    <x v="786"/>
    <n v="15172"/>
    <n v="145484"/>
    <n v="0"/>
  </r>
  <r>
    <x v="6"/>
    <x v="1"/>
    <s v="Сахар песок фас.1кг:6"/>
    <n v="33.659999999999997"/>
    <d v="2012-06-17T00:00:00"/>
    <n v="145484"/>
    <x v="788"/>
    <n v="15732"/>
    <n v="148740"/>
    <n v="0"/>
  </r>
  <r>
    <x v="6"/>
    <x v="1"/>
    <s v="Сахар песок фас.1кг:6"/>
    <n v="33.659999999999997"/>
    <d v="2012-06-18T00:00:00"/>
    <n v="148740"/>
    <x v="789"/>
    <n v="18816"/>
    <n v="148027"/>
    <n v="0"/>
  </r>
  <r>
    <x v="6"/>
    <x v="1"/>
    <s v="Сахар песок фас.1кг:6"/>
    <n v="33.659999999999997"/>
    <d v="2012-06-19T00:00:00"/>
    <n v="148027"/>
    <x v="790"/>
    <n v="18749"/>
    <n v="143185"/>
    <n v="0"/>
  </r>
  <r>
    <x v="6"/>
    <x v="1"/>
    <s v="Сахар песок фас.1кг:6"/>
    <n v="33.659999999999997"/>
    <d v="2012-06-20T00:00:00"/>
    <n v="143185"/>
    <x v="791"/>
    <n v="19310"/>
    <n v="141981"/>
    <n v="0"/>
  </r>
  <r>
    <x v="6"/>
    <x v="1"/>
    <s v="Сахар песок фас.1кг:6"/>
    <n v="33.659999999999997"/>
    <d v="2012-06-21T00:00:00"/>
    <n v="141981"/>
    <x v="792"/>
    <n v="20193"/>
    <n v="145407"/>
    <n v="0"/>
  </r>
  <r>
    <x v="6"/>
    <x v="1"/>
    <s v="Сахар песок фас.1кг:6"/>
    <n v="33.659999999999997"/>
    <d v="2012-06-22T00:00:00"/>
    <n v="145407"/>
    <x v="793"/>
    <n v="24893"/>
    <n v="138575"/>
    <n v="0"/>
  </r>
  <r>
    <x v="6"/>
    <x v="1"/>
    <s v="Сахар песок фас.1кг:6"/>
    <n v="33.659999999999997"/>
    <d v="2012-06-23T00:00:00"/>
    <n v="138575"/>
    <x v="794"/>
    <n v="23486"/>
    <n v="132847"/>
    <n v="1"/>
  </r>
  <r>
    <x v="6"/>
    <x v="1"/>
    <s v="Сахар песок фас.1кг:6"/>
    <n v="33.659999999999997"/>
    <d v="2012-06-24T00:00:00"/>
    <n v="132847"/>
    <x v="795"/>
    <n v="25319"/>
    <n v="125693"/>
    <n v="0"/>
  </r>
  <r>
    <x v="6"/>
    <x v="1"/>
    <s v="Сахар песок фас.1кг:6"/>
    <n v="33.659999999999997"/>
    <d v="2012-06-25T00:00:00"/>
    <n v="125693"/>
    <x v="796"/>
    <n v="27164"/>
    <n v="115615"/>
    <n v="6"/>
  </r>
  <r>
    <x v="6"/>
    <x v="1"/>
    <s v="Сахар песок фас.1кг:6"/>
    <n v="33.659999999999997"/>
    <d v="2012-06-26T00:00:00"/>
    <n v="115615"/>
    <x v="797"/>
    <n v="26136"/>
    <n v="108375"/>
    <n v="0"/>
  </r>
  <r>
    <x v="6"/>
    <x v="1"/>
    <s v="Сахар песок фас.1кг:6"/>
    <n v="33.659999999999997"/>
    <d v="2012-06-27T00:00:00"/>
    <n v="108375"/>
    <x v="798"/>
    <n v="29117"/>
    <n v="115785"/>
    <n v="0"/>
  </r>
  <r>
    <x v="6"/>
    <x v="1"/>
    <s v="Сахар песок фас.1кг:6"/>
    <n v="33.659999999999997"/>
    <d v="2012-06-28T00:00:00"/>
    <n v="115785"/>
    <x v="799"/>
    <n v="30596"/>
    <n v="127473"/>
    <n v="0"/>
  </r>
  <r>
    <x v="6"/>
    <x v="1"/>
    <s v="Сахар песок фас.1кг:6"/>
    <n v="33.659999999999997"/>
    <d v="2012-06-29T00:00:00"/>
    <n v="127473"/>
    <x v="800"/>
    <n v="30851"/>
    <n v="144571"/>
    <n v="0"/>
  </r>
  <r>
    <x v="6"/>
    <x v="1"/>
    <s v="Сахар песок фас.1кг:6"/>
    <n v="33.659999999999997"/>
    <d v="2012-06-30T00:00:00"/>
    <n v="144571"/>
    <x v="801"/>
    <n v="33547"/>
    <n v="150542"/>
    <n v="0"/>
  </r>
  <r>
    <x v="6"/>
    <x v="1"/>
    <s v="Сахар песок фас.1кг:6"/>
    <n v="33.659999999999997"/>
    <d v="2012-07-01T00:00:00"/>
    <n v="150542"/>
    <x v="802"/>
    <n v="34796"/>
    <n v="133384"/>
    <n v="0"/>
  </r>
  <r>
    <x v="6"/>
    <x v="1"/>
    <s v="Сахар песок фас.1кг:6"/>
    <n v="33.659999999999997"/>
    <d v="2012-07-02T00:00:00"/>
    <n v="133384"/>
    <x v="803"/>
    <n v="37312"/>
    <n v="117020"/>
    <n v="0"/>
  </r>
  <r>
    <x v="6"/>
    <x v="1"/>
    <s v="Сахар песок фас.1кг:6"/>
    <n v="33.659999999999997"/>
    <d v="2012-07-03T00:00:00"/>
    <n v="117020"/>
    <x v="804"/>
    <n v="32740"/>
    <n v="85524"/>
    <n v="0"/>
  </r>
  <r>
    <x v="6"/>
    <x v="1"/>
    <s v="Сахар песок фас.1кг:6"/>
    <n v="33.659999999999997"/>
    <d v="2012-07-04T00:00:00"/>
    <n v="85524"/>
    <x v="805"/>
    <n v="32875"/>
    <n v="91550"/>
    <n v="3"/>
  </r>
  <r>
    <x v="6"/>
    <x v="1"/>
    <s v="Сахар песок фас.1кг:6"/>
    <n v="33.659999999999997"/>
    <d v="2012-07-05T00:00:00"/>
    <n v="91550"/>
    <x v="806"/>
    <n v="31281"/>
    <n v="62204"/>
    <n v="0"/>
  </r>
  <r>
    <x v="6"/>
    <x v="1"/>
    <s v="Сахар песок фас.1кг:6"/>
    <n v="33.659999999999997"/>
    <d v="2012-07-06T00:00:00"/>
    <n v="62204"/>
    <x v="807"/>
    <n v="20634"/>
    <n v="43759"/>
    <n v="0"/>
  </r>
  <r>
    <x v="6"/>
    <x v="1"/>
    <s v="Сахар песок фас.1кг:6"/>
    <n v="33.659999999999997"/>
    <d v="2012-07-07T00:00:00"/>
    <n v="43759"/>
    <x v="808"/>
    <n v="18091"/>
    <n v="45420"/>
    <n v="0"/>
  </r>
  <r>
    <x v="6"/>
    <x v="1"/>
    <s v="Сахар песок фас.1кг:6"/>
    <n v="33.659999999999997"/>
    <d v="2012-07-08T00:00:00"/>
    <n v="45420"/>
    <x v="809"/>
    <n v="23483"/>
    <n v="59555"/>
    <n v="2"/>
  </r>
  <r>
    <x v="6"/>
    <x v="1"/>
    <s v="Сахар песок фас.1кг:6"/>
    <n v="33.659999999999997"/>
    <d v="2012-07-09T00:00:00"/>
    <n v="59555"/>
    <x v="810"/>
    <n v="26099"/>
    <n v="56461"/>
    <n v="0"/>
  </r>
  <r>
    <x v="6"/>
    <x v="1"/>
    <s v="Сахар песок фас.1кг:6"/>
    <n v="33.659999999999997"/>
    <d v="2012-07-10T00:00:00"/>
    <n v="56461"/>
    <x v="811"/>
    <n v="20952"/>
    <n v="38466"/>
    <n v="1"/>
  </r>
  <r>
    <x v="6"/>
    <x v="1"/>
    <s v="Сахар песок фас.1кг:6"/>
    <n v="33.659999999999997"/>
    <d v="2012-07-11T00:00:00"/>
    <n v="38466"/>
    <x v="812"/>
    <n v="25560"/>
    <n v="154667"/>
    <n v="0"/>
  </r>
  <r>
    <x v="6"/>
    <x v="1"/>
    <s v="Сахар песок фас.1кг:6"/>
    <n v="33.659999999999997"/>
    <d v="2012-07-12T00:00:00"/>
    <n v="154667"/>
    <x v="813"/>
    <n v="37179"/>
    <n v="186166"/>
    <n v="0"/>
  </r>
  <r>
    <x v="6"/>
    <x v="1"/>
    <s v="Сахар песок фас.1кг:6"/>
    <n v="33.659999999999997"/>
    <d v="2012-07-13T00:00:00"/>
    <n v="186166"/>
    <x v="814"/>
    <n v="47845"/>
    <n v="167380"/>
    <n v="0"/>
  </r>
  <r>
    <x v="6"/>
    <x v="1"/>
    <s v="Сахар песок фас.1кг:6"/>
    <n v="33.659999999999997"/>
    <d v="2012-07-14T00:00:00"/>
    <n v="167380"/>
    <x v="815"/>
    <n v="33309"/>
    <n v="164770"/>
    <n v="0"/>
  </r>
  <r>
    <x v="6"/>
    <x v="1"/>
    <s v="Сахар песок фас.1кг:6"/>
    <n v="33.659999999999997"/>
    <d v="2012-07-15T00:00:00"/>
    <n v="164770"/>
    <x v="816"/>
    <n v="27166"/>
    <n v="210449"/>
    <n v="0"/>
  </r>
  <r>
    <x v="6"/>
    <x v="1"/>
    <s v="Сахар песок фас.1кг:6"/>
    <n v="33.659999999999997"/>
    <d v="2012-07-16T00:00:00"/>
    <n v="210449"/>
    <x v="817"/>
    <n v="26544"/>
    <n v="203516"/>
    <n v="0"/>
  </r>
  <r>
    <x v="6"/>
    <x v="1"/>
    <s v="Сахар песок фас.1кг:6"/>
    <n v="33.659999999999997"/>
    <d v="2012-07-17T00:00:00"/>
    <n v="203516"/>
    <x v="818"/>
    <n v="22827"/>
    <n v="196307"/>
    <n v="0"/>
  </r>
  <r>
    <x v="6"/>
    <x v="2"/>
    <s v="Сахар песок фас.5кг :1"/>
    <n v="165.05"/>
    <d v="2012-06-01T00:00:00"/>
    <n v="17376"/>
    <x v="819"/>
    <n v="4356"/>
    <n v="16093"/>
    <n v="0"/>
  </r>
  <r>
    <x v="6"/>
    <x v="2"/>
    <s v="Сахар песок фас.5кг :1"/>
    <n v="165.05"/>
    <d v="2012-06-02T00:00:00"/>
    <n v="16093"/>
    <x v="820"/>
    <n v="4056"/>
    <n v="16305"/>
    <n v="0"/>
  </r>
  <r>
    <x v="6"/>
    <x v="2"/>
    <s v="Сахар песок фас.5кг :1"/>
    <n v="165.05"/>
    <d v="2012-06-03T00:00:00"/>
    <n v="16305"/>
    <x v="323"/>
    <n v="3652"/>
    <n v="17937"/>
    <n v="0"/>
  </r>
  <r>
    <x v="6"/>
    <x v="2"/>
    <s v="Сахар песок фас.5кг :1"/>
    <n v="165.05"/>
    <d v="2012-06-04T00:00:00"/>
    <n v="17937"/>
    <x v="821"/>
    <n v="4028"/>
    <n v="19482"/>
    <n v="0"/>
  </r>
  <r>
    <x v="6"/>
    <x v="2"/>
    <s v="Сахар песок фас.5кг :1"/>
    <n v="165.05"/>
    <d v="2012-06-05T00:00:00"/>
    <n v="19482"/>
    <x v="822"/>
    <n v="4261"/>
    <n v="19393"/>
    <n v="0"/>
  </r>
  <r>
    <x v="6"/>
    <x v="2"/>
    <s v="Сахар песок фас.5кг :1"/>
    <n v="165.05"/>
    <d v="2012-06-06T00:00:00"/>
    <n v="19393"/>
    <x v="823"/>
    <n v="4488"/>
    <n v="19557"/>
    <n v="0"/>
  </r>
  <r>
    <x v="6"/>
    <x v="2"/>
    <s v="Сахар песок фас.5кг :1"/>
    <n v="165.05"/>
    <d v="2012-06-07T00:00:00"/>
    <n v="19557"/>
    <x v="824"/>
    <n v="4643"/>
    <n v="19864"/>
    <n v="0"/>
  </r>
  <r>
    <x v="6"/>
    <x v="2"/>
    <s v="Сахар песок фас.5кг :1"/>
    <n v="165.05"/>
    <d v="2012-06-08T00:00:00"/>
    <n v="19864"/>
    <x v="825"/>
    <n v="5079"/>
    <n v="20389"/>
    <n v="0"/>
  </r>
  <r>
    <x v="6"/>
    <x v="2"/>
    <s v="Сахар песок фас.5кг :1"/>
    <n v="165.05"/>
    <d v="2012-06-09T00:00:00"/>
    <n v="20389"/>
    <x v="826"/>
    <n v="6645"/>
    <n v="18853"/>
    <n v="0"/>
  </r>
  <r>
    <x v="6"/>
    <x v="2"/>
    <s v="Сахар песок фас.5кг :1"/>
    <n v="165.05"/>
    <d v="2012-06-10T00:00:00"/>
    <n v="18853"/>
    <x v="827"/>
    <n v="4329"/>
    <n v="19118"/>
    <n v="1"/>
  </r>
  <r>
    <x v="6"/>
    <x v="2"/>
    <s v="Сахар песок фас.5кг :1"/>
    <n v="165.05"/>
    <d v="2012-06-11T00:00:00"/>
    <n v="19118"/>
    <x v="828"/>
    <n v="4006"/>
    <n v="19762"/>
    <n v="0"/>
  </r>
  <r>
    <x v="6"/>
    <x v="2"/>
    <s v="Сахар песок фас.5кг :1"/>
    <n v="165.05"/>
    <d v="2012-06-12T00:00:00"/>
    <n v="19762"/>
    <x v="829"/>
    <n v="3262"/>
    <n v="21578"/>
    <n v="0"/>
  </r>
  <r>
    <x v="6"/>
    <x v="2"/>
    <s v="Сахар песок фас.5кг :1"/>
    <n v="165.05"/>
    <d v="2012-06-13T00:00:00"/>
    <n v="21578"/>
    <x v="830"/>
    <n v="4137"/>
    <n v="21346"/>
    <n v="0"/>
  </r>
  <r>
    <x v="6"/>
    <x v="2"/>
    <s v="Сахар песок фас.5кг :1"/>
    <n v="165.05"/>
    <d v="2012-06-14T00:00:00"/>
    <n v="21346"/>
    <x v="831"/>
    <n v="4380"/>
    <n v="20510"/>
    <n v="0"/>
  </r>
  <r>
    <x v="6"/>
    <x v="2"/>
    <s v="Сахар песок фас.5кг :1"/>
    <n v="165.05"/>
    <d v="2012-06-15T00:00:00"/>
    <n v="20510"/>
    <x v="832"/>
    <n v="4969"/>
    <n v="19153"/>
    <n v="0"/>
  </r>
  <r>
    <x v="6"/>
    <x v="2"/>
    <s v="Сахар песок фас.5кг :1"/>
    <n v="165.05"/>
    <d v="2012-06-16T00:00:00"/>
    <n v="19153"/>
    <x v="833"/>
    <n v="5121"/>
    <n v="17973"/>
    <n v="1"/>
  </r>
  <r>
    <x v="6"/>
    <x v="2"/>
    <s v="Сахар песок фас.5кг :1"/>
    <n v="165.05"/>
    <d v="2012-06-17T00:00:00"/>
    <n v="17973"/>
    <x v="834"/>
    <n v="4433"/>
    <n v="17989"/>
    <n v="0"/>
  </r>
  <r>
    <x v="6"/>
    <x v="2"/>
    <s v="Сахар песок фас.5кг :1"/>
    <n v="165.05"/>
    <d v="2012-06-18T00:00:00"/>
    <n v="17989"/>
    <x v="835"/>
    <n v="4967"/>
    <n v="18646"/>
    <n v="0"/>
  </r>
  <r>
    <x v="6"/>
    <x v="2"/>
    <s v="Сахар песок фас.5кг :1"/>
    <n v="165.05"/>
    <d v="2012-06-19T00:00:00"/>
    <n v="18646"/>
    <x v="836"/>
    <n v="5122"/>
    <n v="19281"/>
    <n v="0"/>
  </r>
  <r>
    <x v="6"/>
    <x v="2"/>
    <s v="Сахар песок фас.5кг :1"/>
    <n v="165.05"/>
    <d v="2012-06-20T00:00:00"/>
    <n v="19281"/>
    <x v="837"/>
    <n v="5059"/>
    <n v="20119"/>
    <n v="0"/>
  </r>
  <r>
    <x v="6"/>
    <x v="2"/>
    <s v="Сахар песок фас.5кг :1"/>
    <n v="165.05"/>
    <d v="2012-06-21T00:00:00"/>
    <n v="20119"/>
    <x v="838"/>
    <n v="5524"/>
    <n v="21472"/>
    <n v="0"/>
  </r>
  <r>
    <x v="6"/>
    <x v="2"/>
    <s v="Сахар песок фас.5кг :1"/>
    <n v="165.05"/>
    <d v="2012-06-22T00:00:00"/>
    <n v="21472"/>
    <x v="839"/>
    <n v="5730"/>
    <n v="22329"/>
    <n v="0"/>
  </r>
  <r>
    <x v="6"/>
    <x v="2"/>
    <s v="Сахар песок фас.5кг :1"/>
    <n v="165.05"/>
    <d v="2012-06-23T00:00:00"/>
    <n v="22329"/>
    <x v="840"/>
    <n v="5609"/>
    <n v="23328"/>
    <n v="0"/>
  </r>
  <r>
    <x v="6"/>
    <x v="2"/>
    <s v="Сахар песок фас.5кг :1"/>
    <n v="165.05"/>
    <d v="2012-06-24T00:00:00"/>
    <n v="23328"/>
    <x v="841"/>
    <n v="5599"/>
    <n v="23810"/>
    <n v="1"/>
  </r>
  <r>
    <x v="6"/>
    <x v="2"/>
    <s v="Сахар песок фас.5кг :1"/>
    <n v="165.05"/>
    <d v="2012-06-25T00:00:00"/>
    <n v="23810"/>
    <x v="842"/>
    <n v="5875"/>
    <n v="22259"/>
    <n v="3"/>
  </r>
  <r>
    <x v="6"/>
    <x v="2"/>
    <s v="Сахар песок фас.5кг :1"/>
    <n v="165.05"/>
    <d v="2012-06-26T00:00:00"/>
    <n v="22259"/>
    <x v="843"/>
    <n v="6079"/>
    <n v="20797"/>
    <n v="0"/>
  </r>
  <r>
    <x v="6"/>
    <x v="2"/>
    <s v="Сахар песок фас.5кг :1"/>
    <n v="165.05"/>
    <d v="2012-06-27T00:00:00"/>
    <n v="20797"/>
    <x v="844"/>
    <n v="6532"/>
    <n v="21788"/>
    <n v="0"/>
  </r>
  <r>
    <x v="6"/>
    <x v="2"/>
    <s v="Сахар песок фас.5кг :1"/>
    <n v="165.05"/>
    <d v="2012-06-28T00:00:00"/>
    <n v="21788"/>
    <x v="845"/>
    <n v="7201"/>
    <n v="23346"/>
    <n v="0"/>
  </r>
  <r>
    <x v="6"/>
    <x v="2"/>
    <s v="Сахар песок фас.5кг :1"/>
    <n v="165.05"/>
    <d v="2012-06-29T00:00:00"/>
    <n v="23346"/>
    <x v="846"/>
    <n v="8352"/>
    <n v="20345"/>
    <n v="0"/>
  </r>
  <r>
    <x v="6"/>
    <x v="2"/>
    <s v="Сахар песок фас.5кг :1"/>
    <n v="165.05"/>
    <d v="2012-06-30T00:00:00"/>
    <n v="20345"/>
    <x v="847"/>
    <n v="8033"/>
    <n v="12621"/>
    <n v="0"/>
  </r>
  <r>
    <x v="6"/>
    <x v="2"/>
    <s v="Сахар песок фас.5кг :1"/>
    <n v="165.05"/>
    <d v="2012-07-01T00:00:00"/>
    <n v="12621"/>
    <x v="848"/>
    <n v="5590"/>
    <n v="10554"/>
    <n v="0"/>
  </r>
  <r>
    <x v="6"/>
    <x v="2"/>
    <s v="Сахар песок фас.5кг :1"/>
    <n v="165.05"/>
    <d v="2012-07-02T00:00:00"/>
    <n v="10554"/>
    <x v="849"/>
    <n v="5184"/>
    <n v="9666"/>
    <n v="0"/>
  </r>
  <r>
    <x v="6"/>
    <x v="2"/>
    <s v="Сахар песок фас.5кг :1"/>
    <n v="165.05"/>
    <d v="2012-07-03T00:00:00"/>
    <n v="9666"/>
    <x v="850"/>
    <n v="4693"/>
    <n v="8601"/>
    <n v="0"/>
  </r>
  <r>
    <x v="6"/>
    <x v="2"/>
    <s v="Сахар песок фас.5кг :1"/>
    <n v="165.05"/>
    <d v="2012-07-04T00:00:00"/>
    <n v="8601"/>
    <x v="851"/>
    <n v="5903"/>
    <n v="19920"/>
    <n v="0"/>
  </r>
  <r>
    <x v="6"/>
    <x v="2"/>
    <s v="Сахар песок фас.5кг :1"/>
    <n v="165.05"/>
    <d v="2012-07-05T00:00:00"/>
    <n v="19920"/>
    <x v="852"/>
    <n v="7675"/>
    <n v="20037"/>
    <n v="0"/>
  </r>
  <r>
    <x v="6"/>
    <x v="2"/>
    <s v="Сахар песок фас.5кг :1"/>
    <n v="165.05"/>
    <d v="2012-07-06T00:00:00"/>
    <n v="20037"/>
    <x v="853"/>
    <n v="9186"/>
    <n v="17667"/>
    <n v="1"/>
  </r>
  <r>
    <x v="6"/>
    <x v="2"/>
    <s v="Сахар песок фас.5кг :1"/>
    <n v="165.05"/>
    <d v="2012-07-07T00:00:00"/>
    <n v="17667"/>
    <x v="854"/>
    <n v="7269"/>
    <n v="14441"/>
    <n v="0"/>
  </r>
  <r>
    <x v="6"/>
    <x v="2"/>
    <s v="Сахар песок фас.5кг :1"/>
    <n v="165.05"/>
    <d v="2012-07-08T00:00:00"/>
    <n v="14441"/>
    <x v="855"/>
    <n v="5898"/>
    <n v="12810"/>
    <n v="0"/>
  </r>
  <r>
    <x v="6"/>
    <x v="2"/>
    <s v="Сахар песок фас.5кг :1"/>
    <n v="165.05"/>
    <d v="2012-07-09T00:00:00"/>
    <n v="12810"/>
    <x v="856"/>
    <n v="6291"/>
    <n v="16484"/>
    <n v="0"/>
  </r>
  <r>
    <x v="6"/>
    <x v="2"/>
    <s v="Сахар песок фас.5кг :1"/>
    <n v="165.05"/>
    <d v="2012-07-10T00:00:00"/>
    <n v="16484"/>
    <x v="857"/>
    <n v="7286"/>
    <n v="16585"/>
    <n v="0"/>
  </r>
  <r>
    <x v="6"/>
    <x v="2"/>
    <s v="Сахар песок фас.5кг :1"/>
    <n v="165.05"/>
    <d v="2012-07-11T00:00:00"/>
    <n v="16585"/>
    <x v="224"/>
    <n v="6570"/>
    <n v="13217"/>
    <n v="0"/>
  </r>
  <r>
    <x v="6"/>
    <x v="2"/>
    <s v="Сахар песок фас.5кг :1"/>
    <n v="165.05"/>
    <d v="2012-07-12T00:00:00"/>
    <n v="13217"/>
    <x v="858"/>
    <n v="6771"/>
    <n v="24332"/>
    <n v="0"/>
  </r>
  <r>
    <x v="6"/>
    <x v="2"/>
    <s v="Сахар песок фас.5кг :1"/>
    <n v="165.05"/>
    <d v="2012-07-13T00:00:00"/>
    <n v="24332"/>
    <x v="859"/>
    <n v="7679"/>
    <n v="27772"/>
    <n v="0"/>
  </r>
  <r>
    <x v="6"/>
    <x v="2"/>
    <s v="Сахар песок фас.5кг :1"/>
    <n v="165.05"/>
    <d v="2012-07-14T00:00:00"/>
    <n v="27772"/>
    <x v="860"/>
    <n v="9817"/>
    <n v="27661"/>
    <n v="0"/>
  </r>
  <r>
    <x v="6"/>
    <x v="2"/>
    <s v="Сахар песок фас.5кг :1"/>
    <n v="165.05"/>
    <d v="2012-07-15T00:00:00"/>
    <n v="27661"/>
    <x v="861"/>
    <n v="9457"/>
    <n v="27643"/>
    <n v="0"/>
  </r>
  <r>
    <x v="6"/>
    <x v="2"/>
    <s v="Сахар песок фас.5кг :1"/>
    <n v="165.05"/>
    <d v="2012-07-16T00:00:00"/>
    <n v="27643"/>
    <x v="862"/>
    <n v="9193"/>
    <n v="30223"/>
    <n v="0"/>
  </r>
  <r>
    <x v="6"/>
    <x v="2"/>
    <s v="Сахар песок фас.5кг :1"/>
    <n v="165.05"/>
    <d v="2012-07-17T00:00:00"/>
    <n v="30223"/>
    <x v="863"/>
    <n v="8147"/>
    <n v="34091"/>
    <n v="0"/>
  </r>
  <r>
    <x v="7"/>
    <x v="0"/>
    <s v="Сахар песок фас. 10кг:1"/>
    <n v="317.08"/>
    <d v="2012-06-01T00:00:00"/>
    <n v="6630"/>
    <x v="864"/>
    <n v="566"/>
    <n v="6406"/>
    <n v="0"/>
  </r>
  <r>
    <x v="7"/>
    <x v="0"/>
    <s v="Сахар песок фас. 10кг:1"/>
    <n v="317.08"/>
    <d v="2012-06-02T00:00:00"/>
    <n v="6406"/>
    <x v="865"/>
    <n v="597"/>
    <n v="6458"/>
    <n v="0"/>
  </r>
  <r>
    <x v="7"/>
    <x v="0"/>
    <s v="Сахар песок фас. 10кг:1"/>
    <n v="317.08"/>
    <d v="2012-06-03T00:00:00"/>
    <n v="6458"/>
    <x v="43"/>
    <n v="557"/>
    <n v="6252"/>
    <n v="0"/>
  </r>
  <r>
    <x v="7"/>
    <x v="0"/>
    <s v="Сахар песок фас. 10кг:1"/>
    <n v="317.08"/>
    <d v="2012-06-04T00:00:00"/>
    <n v="6252"/>
    <x v="866"/>
    <n v="704"/>
    <n v="6154"/>
    <n v="0"/>
  </r>
  <r>
    <x v="7"/>
    <x v="0"/>
    <s v="Сахар песок фас. 10кг:1"/>
    <n v="317.08"/>
    <d v="2012-06-05T00:00:00"/>
    <n v="6154"/>
    <x v="535"/>
    <n v="803"/>
    <n v="5839"/>
    <n v="0"/>
  </r>
  <r>
    <x v="7"/>
    <x v="0"/>
    <s v="Сахар песок фас. 10кг:1"/>
    <n v="317.08"/>
    <d v="2012-06-06T00:00:00"/>
    <n v="5839"/>
    <x v="867"/>
    <n v="763"/>
    <n v="5756"/>
    <n v="0"/>
  </r>
  <r>
    <x v="7"/>
    <x v="0"/>
    <s v="Сахар песок фас. 10кг:1"/>
    <n v="317.08"/>
    <d v="2012-06-07T00:00:00"/>
    <n v="5756"/>
    <x v="868"/>
    <n v="864"/>
    <n v="5285"/>
    <n v="0"/>
  </r>
  <r>
    <x v="7"/>
    <x v="0"/>
    <s v="Сахар песок фас. 10кг:1"/>
    <n v="317.08"/>
    <d v="2012-06-08T00:00:00"/>
    <n v="5285"/>
    <x v="869"/>
    <n v="743"/>
    <n v="5604"/>
    <n v="0"/>
  </r>
  <r>
    <x v="7"/>
    <x v="0"/>
    <s v="Сахар песок фас. 10кг:1"/>
    <n v="317.08"/>
    <d v="2012-06-09T00:00:00"/>
    <n v="5604"/>
    <x v="870"/>
    <n v="870"/>
    <n v="5629"/>
    <n v="0"/>
  </r>
  <r>
    <x v="7"/>
    <x v="0"/>
    <s v="Сахар песок фас. 10кг:1"/>
    <n v="317.08"/>
    <d v="2012-06-10T00:00:00"/>
    <n v="5629"/>
    <x v="871"/>
    <n v="680"/>
    <n v="5827"/>
    <n v="0"/>
  </r>
  <r>
    <x v="7"/>
    <x v="0"/>
    <s v="Сахар песок фас. 10кг:1"/>
    <n v="317.08"/>
    <d v="2012-06-11T00:00:00"/>
    <n v="5827"/>
    <x v="872"/>
    <n v="702"/>
    <n v="5666"/>
    <n v="0"/>
  </r>
  <r>
    <x v="7"/>
    <x v="0"/>
    <s v="Сахар песок фас. 10кг:1"/>
    <n v="317.08"/>
    <d v="2012-06-12T00:00:00"/>
    <n v="5666"/>
    <x v="873"/>
    <n v="576"/>
    <n v="5792"/>
    <n v="0"/>
  </r>
  <r>
    <x v="7"/>
    <x v="0"/>
    <s v="Сахар песок фас. 10кг:1"/>
    <n v="317.08"/>
    <d v="2012-06-13T00:00:00"/>
    <n v="5792"/>
    <x v="874"/>
    <n v="640"/>
    <n v="5561"/>
    <n v="0"/>
  </r>
  <r>
    <x v="7"/>
    <x v="0"/>
    <s v="Сахар песок фас. 10кг:1"/>
    <n v="317.08"/>
    <d v="2012-06-14T00:00:00"/>
    <n v="5561"/>
    <x v="866"/>
    <n v="734"/>
    <n v="5428"/>
    <n v="0"/>
  </r>
  <r>
    <x v="7"/>
    <x v="0"/>
    <s v="Сахар песок фас. 10кг:1"/>
    <n v="317.08"/>
    <d v="2012-06-15T00:00:00"/>
    <n v="5428"/>
    <x v="875"/>
    <n v="888"/>
    <n v="4996"/>
    <n v="0"/>
  </r>
  <r>
    <x v="7"/>
    <x v="0"/>
    <s v="Сахар песок фас. 10кг:1"/>
    <n v="317.08"/>
    <d v="2012-06-16T00:00:00"/>
    <n v="4996"/>
    <x v="876"/>
    <n v="902"/>
    <n v="4829"/>
    <n v="0"/>
  </r>
  <r>
    <x v="7"/>
    <x v="0"/>
    <s v="Сахар песок фас. 10кг:1"/>
    <n v="317.08"/>
    <d v="2012-06-17T00:00:00"/>
    <n v="4829"/>
    <x v="877"/>
    <n v="900"/>
    <n v="4512"/>
    <n v="0"/>
  </r>
  <r>
    <x v="7"/>
    <x v="0"/>
    <s v="Сахар песок фас. 10кг:1"/>
    <n v="317.08"/>
    <d v="2012-06-18T00:00:00"/>
    <n v="4512"/>
    <x v="878"/>
    <n v="961"/>
    <n v="4598"/>
    <n v="0"/>
  </r>
  <r>
    <x v="7"/>
    <x v="0"/>
    <s v="Сахар песок фас. 10кг:1"/>
    <n v="317.08"/>
    <d v="2012-06-19T00:00:00"/>
    <n v="4598"/>
    <x v="879"/>
    <n v="766"/>
    <n v="4748"/>
    <n v="0"/>
  </r>
  <r>
    <x v="7"/>
    <x v="0"/>
    <s v="Сахар песок фас. 10кг:1"/>
    <n v="317.08"/>
    <d v="2012-06-20T00:00:00"/>
    <n v="4748"/>
    <x v="880"/>
    <n v="904"/>
    <n v="5670"/>
    <n v="0"/>
  </r>
  <r>
    <x v="7"/>
    <x v="0"/>
    <s v="Сахар песок фас. 10кг:1"/>
    <n v="317.08"/>
    <d v="2012-06-21T00:00:00"/>
    <n v="5670"/>
    <x v="881"/>
    <n v="1088"/>
    <n v="5474"/>
    <n v="0"/>
  </r>
  <r>
    <x v="7"/>
    <x v="0"/>
    <s v="Сахар песок фас. 10кг:1"/>
    <n v="317.08"/>
    <d v="2012-06-22T00:00:00"/>
    <n v="5474"/>
    <x v="882"/>
    <n v="1176"/>
    <n v="5618"/>
    <n v="0"/>
  </r>
  <r>
    <x v="7"/>
    <x v="0"/>
    <s v="Сахар песок фас. 10кг:1"/>
    <n v="317.08"/>
    <d v="2012-06-23T00:00:00"/>
    <n v="5618"/>
    <x v="883"/>
    <n v="1195"/>
    <n v="5426"/>
    <n v="0"/>
  </r>
  <r>
    <x v="7"/>
    <x v="0"/>
    <s v="Сахар песок фас. 10кг:1"/>
    <n v="317.08"/>
    <d v="2012-06-24T00:00:00"/>
    <n v="5426"/>
    <x v="884"/>
    <n v="1439"/>
    <n v="5579"/>
    <n v="0"/>
  </r>
  <r>
    <x v="7"/>
    <x v="0"/>
    <s v="Сахар песок фас. 10кг:1"/>
    <n v="317.08"/>
    <d v="2012-06-25T00:00:00"/>
    <n v="5579"/>
    <x v="236"/>
    <n v="1288"/>
    <n v="5424"/>
    <n v="0"/>
  </r>
  <r>
    <x v="7"/>
    <x v="0"/>
    <s v="Сахар песок фас. 10кг:1"/>
    <n v="317.08"/>
    <d v="2012-06-26T00:00:00"/>
    <n v="5424"/>
    <x v="885"/>
    <n v="1133"/>
    <n v="4387"/>
    <n v="0"/>
  </r>
  <r>
    <x v="7"/>
    <x v="0"/>
    <s v="Сахар песок фас. 10кг:1"/>
    <n v="317.08"/>
    <d v="2012-06-27T00:00:00"/>
    <n v="4387"/>
    <x v="760"/>
    <n v="917"/>
    <n v="3497"/>
    <n v="0"/>
  </r>
  <r>
    <x v="7"/>
    <x v="0"/>
    <s v="Сахар песок фас. 10кг:1"/>
    <n v="317.08"/>
    <d v="2012-06-28T00:00:00"/>
    <n v="3497"/>
    <x v="0"/>
    <n v="748"/>
    <n v="2751"/>
    <n v="0"/>
  </r>
  <r>
    <x v="7"/>
    <x v="0"/>
    <s v="Сахар песок фас. 10кг:1"/>
    <n v="317.08"/>
    <d v="2012-06-29T00:00:00"/>
    <n v="2751"/>
    <x v="886"/>
    <n v="635"/>
    <n v="2088"/>
    <n v="0"/>
  </r>
  <r>
    <x v="7"/>
    <x v="0"/>
    <s v="Сахар песок фас. 10кг:1"/>
    <n v="317.08"/>
    <d v="2012-06-30T00:00:00"/>
    <n v="2088"/>
    <x v="887"/>
    <n v="931"/>
    <n v="2871"/>
    <n v="0"/>
  </r>
  <r>
    <x v="7"/>
    <x v="0"/>
    <s v="Сахар песок фас. 10кг:1"/>
    <n v="317.08"/>
    <d v="2012-07-01T00:00:00"/>
    <n v="2871"/>
    <x v="756"/>
    <n v="1053"/>
    <n v="1863"/>
    <n v="0"/>
  </r>
  <r>
    <x v="7"/>
    <x v="0"/>
    <s v="Сахар песок фас. 10кг:1"/>
    <n v="317.08"/>
    <d v="2012-07-02T00:00:00"/>
    <n v="1863"/>
    <x v="0"/>
    <n v="549"/>
    <n v="1310"/>
    <n v="0"/>
  </r>
  <r>
    <x v="7"/>
    <x v="0"/>
    <s v="Сахар песок фас. 10кг:1"/>
    <n v="317.08"/>
    <d v="2012-07-03T00:00:00"/>
    <n v="1310"/>
    <x v="749"/>
    <n v="279"/>
    <n v="1059"/>
    <n v="0"/>
  </r>
  <r>
    <x v="7"/>
    <x v="0"/>
    <s v="Сахар песок фас. 10кг:1"/>
    <n v="317.08"/>
    <d v="2012-07-04T00:00:00"/>
    <n v="1059"/>
    <x v="653"/>
    <n v="161"/>
    <n v="885"/>
    <n v="0"/>
  </r>
  <r>
    <x v="7"/>
    <x v="0"/>
    <s v="Сахар песок фас. 10кг:1"/>
    <n v="317.08"/>
    <d v="2012-07-05T00:00:00"/>
    <n v="885"/>
    <x v="627"/>
    <n v="147"/>
    <n v="721"/>
    <n v="0"/>
  </r>
  <r>
    <x v="7"/>
    <x v="0"/>
    <s v="Сахар песок фас. 10кг:1"/>
    <n v="317.08"/>
    <d v="2012-07-06T00:00:00"/>
    <n v="721"/>
    <x v="0"/>
    <n v="88"/>
    <n v="622"/>
    <n v="0"/>
  </r>
  <r>
    <x v="7"/>
    <x v="0"/>
    <s v="Сахар песок фас. 10кг:1"/>
    <n v="317.08"/>
    <d v="2012-07-07T00:00:00"/>
    <n v="622"/>
    <x v="638"/>
    <n v="72"/>
    <n v="555"/>
    <n v="0"/>
  </r>
  <r>
    <x v="7"/>
    <x v="0"/>
    <s v="Сахар песок фас. 10кг:1"/>
    <n v="317.08"/>
    <d v="2012-07-08T00:00:00"/>
    <n v="555"/>
    <x v="0"/>
    <n v="40"/>
    <n v="509"/>
    <n v="0"/>
  </r>
  <r>
    <x v="7"/>
    <x v="0"/>
    <s v="Сахар песок фас. 10кг:1"/>
    <n v="317.08"/>
    <d v="2012-07-09T00:00:00"/>
    <n v="509"/>
    <x v="888"/>
    <n v="217"/>
    <n v="2757"/>
    <n v="0"/>
  </r>
  <r>
    <x v="7"/>
    <x v="0"/>
    <s v="Сахар песок фас. 10кг:1"/>
    <n v="317.08"/>
    <d v="2012-07-10T00:00:00"/>
    <n v="2757"/>
    <x v="889"/>
    <n v="679"/>
    <n v="4214"/>
    <n v="0"/>
  </r>
  <r>
    <x v="7"/>
    <x v="0"/>
    <s v="Сахар песок фас. 10кг:1"/>
    <n v="317.08"/>
    <d v="2012-07-11T00:00:00"/>
    <n v="4214"/>
    <x v="890"/>
    <n v="1190"/>
    <n v="3288"/>
    <n v="0"/>
  </r>
  <r>
    <x v="7"/>
    <x v="0"/>
    <s v="Сахар песок фас. 10кг:1"/>
    <n v="317.08"/>
    <d v="2012-07-12T00:00:00"/>
    <n v="3288"/>
    <x v="891"/>
    <n v="961"/>
    <n v="2444"/>
    <n v="0"/>
  </r>
  <r>
    <x v="7"/>
    <x v="0"/>
    <s v="Сахар песок фас. 10кг:1"/>
    <n v="317.08"/>
    <d v="2012-07-13T00:00:00"/>
    <n v="2444"/>
    <x v="892"/>
    <n v="768"/>
    <n v="3653"/>
    <n v="0"/>
  </r>
  <r>
    <x v="7"/>
    <x v="0"/>
    <s v="Сахар песок фас. 10кг:1"/>
    <n v="317.08"/>
    <d v="2012-07-14T00:00:00"/>
    <n v="3653"/>
    <x v="893"/>
    <n v="1099"/>
    <n v="5657"/>
    <n v="0"/>
  </r>
  <r>
    <x v="7"/>
    <x v="0"/>
    <s v="Сахар песок фас. 10кг:1"/>
    <n v="317.08"/>
    <d v="2012-07-15T00:00:00"/>
    <n v="5657"/>
    <x v="894"/>
    <n v="1529"/>
    <n v="5023"/>
    <n v="0"/>
  </r>
  <r>
    <x v="7"/>
    <x v="0"/>
    <s v="Сахар песок фас. 10кг:1"/>
    <n v="317.08"/>
    <d v="2012-07-16T00:00:00"/>
    <n v="5023"/>
    <x v="895"/>
    <n v="1485"/>
    <n v="4348"/>
    <n v="0"/>
  </r>
  <r>
    <x v="7"/>
    <x v="0"/>
    <s v="Сахар песок фас. 10кг:1"/>
    <n v="317.08"/>
    <d v="2012-07-17T00:00:00"/>
    <n v="4348"/>
    <x v="896"/>
    <n v="1251"/>
    <n v="3518"/>
    <n v="0"/>
  </r>
  <r>
    <x v="7"/>
    <x v="1"/>
    <s v="Сахар песок фас.1кг:6"/>
    <n v="33.659999999999997"/>
    <d v="2012-06-01T00:00:00"/>
    <n v="87597.74"/>
    <x v="897"/>
    <n v="12138"/>
    <n v="87985.74"/>
    <n v="0"/>
  </r>
  <r>
    <x v="7"/>
    <x v="1"/>
    <s v="Сахар песок фас.1кг:6"/>
    <n v="33.659999999999997"/>
    <d v="2012-06-02T00:00:00"/>
    <n v="87985.74"/>
    <x v="898"/>
    <n v="11055"/>
    <n v="91522.74"/>
    <n v="0"/>
  </r>
  <r>
    <x v="7"/>
    <x v="1"/>
    <s v="Сахар песок фас.1кг:6"/>
    <n v="33.659999999999997"/>
    <d v="2012-06-03T00:00:00"/>
    <n v="91522.74"/>
    <x v="899"/>
    <n v="11269"/>
    <n v="94128.74"/>
    <n v="0"/>
  </r>
  <r>
    <x v="7"/>
    <x v="1"/>
    <s v="Сахар песок фас.1кг:6"/>
    <n v="33.659999999999997"/>
    <d v="2012-06-04T00:00:00"/>
    <n v="94128.74"/>
    <x v="900"/>
    <n v="14132"/>
    <n v="92807.74"/>
    <n v="1"/>
  </r>
  <r>
    <x v="7"/>
    <x v="1"/>
    <s v="Сахар песок фас.1кг:6"/>
    <n v="33.659999999999997"/>
    <d v="2012-06-05T00:00:00"/>
    <n v="92807.74"/>
    <x v="901"/>
    <n v="14329"/>
    <n v="88715.74"/>
    <n v="0"/>
  </r>
  <r>
    <x v="7"/>
    <x v="1"/>
    <s v="Сахар песок фас.1кг:6"/>
    <n v="33.659999999999997"/>
    <d v="2012-06-06T00:00:00"/>
    <n v="88715.74"/>
    <x v="902"/>
    <n v="13388"/>
    <n v="85765.74"/>
    <n v="0"/>
  </r>
  <r>
    <x v="7"/>
    <x v="1"/>
    <s v="Сахар песок фас.1кг:6"/>
    <n v="33.659999999999997"/>
    <d v="2012-06-07T00:00:00"/>
    <n v="85765.74"/>
    <x v="903"/>
    <n v="13541"/>
    <n v="91711.74"/>
    <n v="0"/>
  </r>
  <r>
    <x v="7"/>
    <x v="1"/>
    <s v="Сахар песок фас.1кг:6"/>
    <n v="33.659999999999997"/>
    <d v="2012-06-08T00:00:00"/>
    <n v="91711.74"/>
    <x v="904"/>
    <n v="13294"/>
    <n v="95507.74"/>
    <n v="0"/>
  </r>
  <r>
    <x v="7"/>
    <x v="1"/>
    <s v="Сахар песок фас.1кг:6"/>
    <n v="33.659999999999997"/>
    <d v="2012-06-09T00:00:00"/>
    <n v="95507.74"/>
    <x v="905"/>
    <n v="13919"/>
    <n v="95478.74"/>
    <n v="2"/>
  </r>
  <r>
    <x v="7"/>
    <x v="1"/>
    <s v="Сахар песок фас.1кг:6"/>
    <n v="33.659999999999997"/>
    <d v="2012-06-10T00:00:00"/>
    <n v="95478.74"/>
    <x v="906"/>
    <n v="11058"/>
    <n v="99302.74"/>
    <n v="1"/>
  </r>
  <r>
    <x v="7"/>
    <x v="1"/>
    <s v="Сахар песок фас.1кг:6"/>
    <n v="33.659999999999997"/>
    <d v="2012-06-11T00:00:00"/>
    <n v="99302.74"/>
    <x v="907"/>
    <n v="9738"/>
    <n v="101334.74"/>
    <n v="0"/>
  </r>
  <r>
    <x v="7"/>
    <x v="1"/>
    <s v="Сахар песок фас.1кг:6"/>
    <n v="33.659999999999997"/>
    <d v="2012-06-12T00:00:00"/>
    <n v="101334.74"/>
    <x v="908"/>
    <n v="9497"/>
    <n v="102814.74"/>
    <n v="0"/>
  </r>
  <r>
    <x v="7"/>
    <x v="1"/>
    <s v="Сахар песок фас.1кг:6"/>
    <n v="33.659999999999997"/>
    <d v="2012-06-13T00:00:00"/>
    <n v="102814.74"/>
    <x v="909"/>
    <n v="11760"/>
    <n v="100118.74"/>
    <n v="0"/>
  </r>
  <r>
    <x v="7"/>
    <x v="1"/>
    <s v="Сахар песок фас.1кг:6"/>
    <n v="33.659999999999997"/>
    <d v="2012-06-14T00:00:00"/>
    <n v="100118.74"/>
    <x v="910"/>
    <n v="10888"/>
    <n v="98949.74"/>
    <n v="0"/>
  </r>
  <r>
    <x v="7"/>
    <x v="1"/>
    <s v="Сахар песок фас.1кг:6"/>
    <n v="33.659999999999997"/>
    <d v="2012-06-15T00:00:00"/>
    <n v="98949.74"/>
    <x v="911"/>
    <n v="11865"/>
    <n v="95278.74"/>
    <n v="0"/>
  </r>
  <r>
    <x v="7"/>
    <x v="1"/>
    <s v="Сахар песок фас.1кг:6"/>
    <n v="33.659999999999997"/>
    <d v="2012-06-16T00:00:00"/>
    <n v="95278.74"/>
    <x v="912"/>
    <n v="12049"/>
    <n v="93842.74"/>
    <n v="0"/>
  </r>
  <r>
    <x v="7"/>
    <x v="1"/>
    <s v="Сахар песок фас.1кг:6"/>
    <n v="33.659999999999997"/>
    <d v="2012-06-17T00:00:00"/>
    <n v="93842.74"/>
    <x v="913"/>
    <n v="14359"/>
    <n v="90560.74"/>
    <n v="0"/>
  </r>
  <r>
    <x v="7"/>
    <x v="1"/>
    <s v="Сахар песок фас.1кг:6"/>
    <n v="33.659999999999997"/>
    <d v="2012-06-18T00:00:00"/>
    <n v="90560.74"/>
    <x v="914"/>
    <n v="15287"/>
    <n v="88503.74"/>
    <n v="2"/>
  </r>
  <r>
    <x v="7"/>
    <x v="1"/>
    <s v="Сахар песок фас.1кг:6"/>
    <n v="33.659999999999997"/>
    <d v="2012-06-19T00:00:00"/>
    <n v="88503.74"/>
    <x v="915"/>
    <n v="14608"/>
    <n v="88828.74"/>
    <n v="0"/>
  </r>
  <r>
    <x v="7"/>
    <x v="1"/>
    <s v="Сахар песок фас.1кг:6"/>
    <n v="33.659999999999997"/>
    <d v="2012-06-20T00:00:00"/>
    <n v="88828.74"/>
    <x v="916"/>
    <n v="16216"/>
    <n v="93359.74"/>
    <n v="0"/>
  </r>
  <r>
    <x v="7"/>
    <x v="1"/>
    <s v="Сахар песок фас.1кг:6"/>
    <n v="33.659999999999997"/>
    <d v="2012-06-21T00:00:00"/>
    <n v="93359.74"/>
    <x v="917"/>
    <n v="16212"/>
    <n v="95469.74"/>
    <n v="0"/>
  </r>
  <r>
    <x v="7"/>
    <x v="1"/>
    <s v="Сахар песок фас.1кг:6"/>
    <n v="33.659999999999997"/>
    <d v="2012-06-22T00:00:00"/>
    <n v="95469.74"/>
    <x v="918"/>
    <n v="16814"/>
    <n v="97890"/>
    <n v="1"/>
  </r>
  <r>
    <x v="7"/>
    <x v="1"/>
    <s v="Сахар песок фас.1кг:6"/>
    <n v="33.659999999999997"/>
    <d v="2012-06-23T00:00:00"/>
    <n v="97890"/>
    <x v="919"/>
    <n v="15607"/>
    <n v="98556"/>
    <n v="0"/>
  </r>
  <r>
    <x v="7"/>
    <x v="1"/>
    <s v="Сахар песок фас.1кг:6"/>
    <n v="33.659999999999997"/>
    <d v="2012-06-24T00:00:00"/>
    <n v="98556"/>
    <x v="920"/>
    <n v="17830"/>
    <n v="99161"/>
    <n v="1"/>
  </r>
  <r>
    <x v="7"/>
    <x v="1"/>
    <s v="Сахар песок фас.1кг:6"/>
    <n v="33.659999999999997"/>
    <d v="2012-06-25T00:00:00"/>
    <n v="99161"/>
    <x v="921"/>
    <n v="17871"/>
    <n v="100212"/>
    <n v="0"/>
  </r>
  <r>
    <x v="7"/>
    <x v="1"/>
    <s v="Сахар песок фас.1кг:6"/>
    <n v="33.659999999999997"/>
    <d v="2012-06-26T00:00:00"/>
    <n v="100212"/>
    <x v="922"/>
    <n v="15527"/>
    <n v="99088"/>
    <n v="0"/>
  </r>
  <r>
    <x v="7"/>
    <x v="1"/>
    <s v="Сахар песок фас.1кг:6"/>
    <n v="33.659999999999997"/>
    <d v="2012-06-27T00:00:00"/>
    <n v="99088"/>
    <x v="923"/>
    <n v="15644"/>
    <n v="104315"/>
    <n v="0"/>
  </r>
  <r>
    <x v="7"/>
    <x v="1"/>
    <s v="Сахар песок фас.1кг:6"/>
    <n v="33.659999999999997"/>
    <d v="2012-06-28T00:00:00"/>
    <n v="104315"/>
    <x v="924"/>
    <n v="16371"/>
    <n v="92340"/>
    <n v="1"/>
  </r>
  <r>
    <x v="7"/>
    <x v="1"/>
    <s v="Сахар песок фас.1кг:6"/>
    <n v="33.659999999999997"/>
    <d v="2012-06-29T00:00:00"/>
    <n v="92340"/>
    <x v="925"/>
    <n v="18141"/>
    <n v="76704"/>
    <n v="1"/>
  </r>
  <r>
    <x v="7"/>
    <x v="1"/>
    <s v="Сахар песок фас.1кг:6"/>
    <n v="33.659999999999997"/>
    <d v="2012-06-30T00:00:00"/>
    <n v="76704"/>
    <x v="926"/>
    <n v="20098"/>
    <n v="90655"/>
    <n v="1"/>
  </r>
  <r>
    <x v="7"/>
    <x v="1"/>
    <s v="Сахар песок фас.1кг:6"/>
    <n v="33.659999999999997"/>
    <d v="2012-07-01T00:00:00"/>
    <n v="90655"/>
    <x v="927"/>
    <n v="22398"/>
    <n v="88261"/>
    <n v="0"/>
  </r>
  <r>
    <x v="7"/>
    <x v="1"/>
    <s v="Сахар песок фас.1кг:6"/>
    <n v="33.659999999999997"/>
    <d v="2012-07-02T00:00:00"/>
    <n v="88261"/>
    <x v="928"/>
    <n v="20864"/>
    <n v="86542"/>
    <n v="0"/>
  </r>
  <r>
    <x v="7"/>
    <x v="1"/>
    <s v="Сахар песок фас.1кг:6"/>
    <n v="33.659999999999997"/>
    <d v="2012-07-03T00:00:00"/>
    <n v="86542"/>
    <x v="929"/>
    <n v="18813"/>
    <n v="70699"/>
    <n v="0"/>
  </r>
  <r>
    <x v="7"/>
    <x v="1"/>
    <s v="Сахар песок фас.1кг:6"/>
    <n v="33.659999999999997"/>
    <d v="2012-07-04T00:00:00"/>
    <n v="70699"/>
    <x v="42"/>
    <n v="17185"/>
    <n v="53667"/>
    <n v="2"/>
  </r>
  <r>
    <x v="7"/>
    <x v="1"/>
    <s v="Сахар песок фас.1кг:6"/>
    <n v="33.659999999999997"/>
    <d v="2012-07-05T00:00:00"/>
    <n v="53667"/>
    <x v="930"/>
    <n v="15987"/>
    <n v="57182"/>
    <n v="0"/>
  </r>
  <r>
    <x v="7"/>
    <x v="1"/>
    <s v="Сахар песок фас.1кг:6"/>
    <n v="33.659999999999997"/>
    <d v="2012-07-06T00:00:00"/>
    <n v="57182"/>
    <x v="931"/>
    <n v="15352"/>
    <n v="79578"/>
    <n v="0"/>
  </r>
  <r>
    <x v="7"/>
    <x v="1"/>
    <s v="Сахар песок фас.1кг:6"/>
    <n v="33.659999999999997"/>
    <d v="2012-07-07T00:00:00"/>
    <n v="79578"/>
    <x v="932"/>
    <n v="16746"/>
    <n v="92485"/>
    <n v="0"/>
  </r>
  <r>
    <x v="7"/>
    <x v="1"/>
    <s v="Сахар песок фас.1кг:6"/>
    <n v="33.659999999999997"/>
    <d v="2012-07-08T00:00:00"/>
    <n v="92485"/>
    <x v="933"/>
    <n v="17320"/>
    <n v="75070"/>
    <n v="7"/>
  </r>
  <r>
    <x v="7"/>
    <x v="1"/>
    <s v="Сахар песок фас.1кг:6"/>
    <n v="33.659999999999997"/>
    <d v="2012-07-09T00:00:00"/>
    <n v="75070"/>
    <x v="934"/>
    <n v="15527"/>
    <n v="76030"/>
    <n v="0"/>
  </r>
  <r>
    <x v="7"/>
    <x v="1"/>
    <s v="Сахар песок фас.1кг:6"/>
    <n v="33.659999999999997"/>
    <d v="2012-07-10T00:00:00"/>
    <n v="76030"/>
    <x v="935"/>
    <n v="12915"/>
    <n v="69565"/>
    <n v="0"/>
  </r>
  <r>
    <x v="7"/>
    <x v="1"/>
    <s v="Сахар песок фас.1кг:6"/>
    <n v="33.659999999999997"/>
    <d v="2012-07-11T00:00:00"/>
    <n v="69565"/>
    <x v="936"/>
    <n v="11731"/>
    <n v="91751"/>
    <n v="1"/>
  </r>
  <r>
    <x v="7"/>
    <x v="1"/>
    <s v="Сахар песок фас.1кг:6"/>
    <n v="33.659999999999997"/>
    <d v="2012-07-12T00:00:00"/>
    <n v="91751"/>
    <x v="937"/>
    <n v="13415"/>
    <n v="106251"/>
    <n v="0"/>
  </r>
  <r>
    <x v="7"/>
    <x v="1"/>
    <s v="Сахар песок фас.1кг:6"/>
    <n v="33.659999999999997"/>
    <d v="2012-07-13T00:00:00"/>
    <n v="106251"/>
    <x v="938"/>
    <n v="16258"/>
    <n v="111962"/>
    <n v="0"/>
  </r>
  <r>
    <x v="7"/>
    <x v="1"/>
    <s v="Сахар песок фас.1кг:6"/>
    <n v="33.659999999999997"/>
    <d v="2012-07-14T00:00:00"/>
    <n v="111962"/>
    <x v="939"/>
    <n v="16402"/>
    <n v="119125"/>
    <n v="0"/>
  </r>
  <r>
    <x v="7"/>
    <x v="1"/>
    <s v="Сахар песок фас.1кг:6"/>
    <n v="33.659999999999997"/>
    <d v="2012-07-15T00:00:00"/>
    <n v="119125"/>
    <x v="940"/>
    <n v="16862"/>
    <n v="119952"/>
    <n v="0"/>
  </r>
  <r>
    <x v="7"/>
    <x v="1"/>
    <s v="Сахар песок фас.1кг:6"/>
    <n v="33.659999999999997"/>
    <d v="2012-07-16T00:00:00"/>
    <n v="119952"/>
    <x v="941"/>
    <n v="19254"/>
    <n v="114342"/>
    <n v="0"/>
  </r>
  <r>
    <x v="7"/>
    <x v="1"/>
    <s v="Сахар песок фас.1кг:6"/>
    <n v="33.659999999999997"/>
    <d v="2012-07-17T00:00:00"/>
    <n v="114342"/>
    <x v="942"/>
    <n v="17535"/>
    <n v="118787"/>
    <n v="0"/>
  </r>
  <r>
    <x v="7"/>
    <x v="2"/>
    <s v="Сахар песок фас.5кг :1"/>
    <n v="165.05"/>
    <d v="2012-06-01T00:00:00"/>
    <n v="15642"/>
    <x v="943"/>
    <n v="1486"/>
    <n v="15345"/>
    <n v="0"/>
  </r>
  <r>
    <x v="7"/>
    <x v="2"/>
    <s v="Сахар песок фас.5кг :1"/>
    <n v="165.05"/>
    <d v="2012-06-02T00:00:00"/>
    <n v="15345"/>
    <x v="944"/>
    <n v="1430"/>
    <n v="15091"/>
    <n v="0"/>
  </r>
  <r>
    <x v="7"/>
    <x v="2"/>
    <s v="Сахар песок фас.5кг :1"/>
    <n v="165.05"/>
    <d v="2012-06-03T00:00:00"/>
    <n v="15091"/>
    <x v="945"/>
    <n v="1430"/>
    <n v="14770"/>
    <n v="0"/>
  </r>
  <r>
    <x v="7"/>
    <x v="2"/>
    <s v="Сахар песок фас.5кг :1"/>
    <n v="165.05"/>
    <d v="2012-06-04T00:00:00"/>
    <n v="14770"/>
    <x v="946"/>
    <n v="1699"/>
    <n v="13999"/>
    <n v="0"/>
  </r>
  <r>
    <x v="7"/>
    <x v="2"/>
    <s v="Сахар песок фас.5кг :1"/>
    <n v="165.05"/>
    <d v="2012-06-05T00:00:00"/>
    <n v="13999"/>
    <x v="266"/>
    <n v="1716"/>
    <n v="13584"/>
    <n v="0"/>
  </r>
  <r>
    <x v="7"/>
    <x v="2"/>
    <s v="Сахар песок фас.5кг :1"/>
    <n v="165.05"/>
    <d v="2012-06-06T00:00:00"/>
    <n v="13584"/>
    <x v="947"/>
    <n v="1734"/>
    <n v="13522"/>
    <n v="0"/>
  </r>
  <r>
    <x v="7"/>
    <x v="2"/>
    <s v="Сахар песок фас.5кг :1"/>
    <n v="165.05"/>
    <d v="2012-06-07T00:00:00"/>
    <n v="13522"/>
    <x v="948"/>
    <n v="1900"/>
    <n v="13312"/>
    <n v="0"/>
  </r>
  <r>
    <x v="7"/>
    <x v="2"/>
    <s v="Сахар песок фас.5кг :1"/>
    <n v="165.05"/>
    <d v="2012-06-08T00:00:00"/>
    <n v="13312"/>
    <x v="949"/>
    <n v="2144"/>
    <n v="12838"/>
    <n v="0"/>
  </r>
  <r>
    <x v="7"/>
    <x v="2"/>
    <s v="Сахар песок фас.5кг :1"/>
    <n v="165.05"/>
    <d v="2012-06-09T00:00:00"/>
    <n v="12838"/>
    <x v="950"/>
    <n v="2290"/>
    <n v="12352"/>
    <n v="0"/>
  </r>
  <r>
    <x v="7"/>
    <x v="2"/>
    <s v="Сахар песок фас.5кг :1"/>
    <n v="165.05"/>
    <d v="2012-06-10T00:00:00"/>
    <n v="12352"/>
    <x v="951"/>
    <n v="1623"/>
    <n v="12723"/>
    <n v="0"/>
  </r>
  <r>
    <x v="7"/>
    <x v="2"/>
    <s v="Сахар песок фас.5кг :1"/>
    <n v="165.05"/>
    <d v="2012-06-11T00:00:00"/>
    <n v="12723"/>
    <x v="200"/>
    <n v="1326"/>
    <n v="13450"/>
    <n v="0"/>
  </r>
  <r>
    <x v="7"/>
    <x v="2"/>
    <s v="Сахар песок фас.5кг :1"/>
    <n v="165.05"/>
    <d v="2012-06-12T00:00:00"/>
    <n v="13450"/>
    <x v="952"/>
    <n v="1265"/>
    <n v="13725"/>
    <n v="0"/>
  </r>
  <r>
    <x v="7"/>
    <x v="2"/>
    <s v="Сахар песок фас.5кг :1"/>
    <n v="165.05"/>
    <d v="2012-06-13T00:00:00"/>
    <n v="13725"/>
    <x v="953"/>
    <n v="1380"/>
    <n v="13767"/>
    <n v="0"/>
  </r>
  <r>
    <x v="7"/>
    <x v="2"/>
    <s v="Сахар песок фас.5кг :1"/>
    <n v="165.05"/>
    <d v="2012-06-14T00:00:00"/>
    <n v="13767"/>
    <x v="954"/>
    <n v="1576"/>
    <n v="13515"/>
    <n v="0"/>
  </r>
  <r>
    <x v="7"/>
    <x v="2"/>
    <s v="Сахар песок фас.5кг :1"/>
    <n v="165.05"/>
    <d v="2012-06-15T00:00:00"/>
    <n v="13515"/>
    <x v="955"/>
    <n v="1936"/>
    <n v="12931"/>
    <n v="0"/>
  </r>
  <r>
    <x v="7"/>
    <x v="2"/>
    <s v="Сахар песок фас.5кг :1"/>
    <n v="165.05"/>
    <d v="2012-06-16T00:00:00"/>
    <n v="12931"/>
    <x v="956"/>
    <n v="2184"/>
    <n v="11834"/>
    <n v="0"/>
  </r>
  <r>
    <x v="7"/>
    <x v="2"/>
    <s v="Сахар песок фас.5кг :1"/>
    <n v="165.05"/>
    <d v="2012-06-17T00:00:00"/>
    <n v="11834"/>
    <x v="957"/>
    <n v="2168"/>
    <n v="11448"/>
    <n v="0"/>
  </r>
  <r>
    <x v="7"/>
    <x v="2"/>
    <s v="Сахар песок фас.5кг :1"/>
    <n v="165.05"/>
    <d v="2012-06-18T00:00:00"/>
    <n v="11448"/>
    <x v="958"/>
    <n v="2221"/>
    <n v="11540"/>
    <n v="0"/>
  </r>
  <r>
    <x v="7"/>
    <x v="2"/>
    <s v="Сахар песок фас.5кг :1"/>
    <n v="165.05"/>
    <d v="2012-06-19T00:00:00"/>
    <n v="11540"/>
    <x v="959"/>
    <n v="1972"/>
    <n v="12138"/>
    <n v="0"/>
  </r>
  <r>
    <x v="7"/>
    <x v="2"/>
    <s v="Сахар песок фас.5кг :1"/>
    <n v="165.05"/>
    <d v="2012-06-20T00:00:00"/>
    <n v="12138"/>
    <x v="207"/>
    <n v="2197"/>
    <n v="13107"/>
    <n v="0"/>
  </r>
  <r>
    <x v="7"/>
    <x v="2"/>
    <s v="Сахар песок фас.5кг :1"/>
    <n v="165.05"/>
    <d v="2012-06-21T00:00:00"/>
    <n v="13107"/>
    <x v="960"/>
    <n v="2210"/>
    <n v="13143"/>
    <n v="0"/>
  </r>
  <r>
    <x v="7"/>
    <x v="2"/>
    <s v="Сахар песок фас.5кг :1"/>
    <n v="165.05"/>
    <d v="2012-06-22T00:00:00"/>
    <n v="13143"/>
    <x v="961"/>
    <n v="2444"/>
    <n v="13313"/>
    <n v="0"/>
  </r>
  <r>
    <x v="7"/>
    <x v="2"/>
    <s v="Сахар песок фас.5кг :1"/>
    <n v="165.05"/>
    <d v="2012-06-23T00:00:00"/>
    <n v="13313"/>
    <x v="962"/>
    <n v="2571"/>
    <n v="12775"/>
    <n v="0"/>
  </r>
  <r>
    <x v="7"/>
    <x v="2"/>
    <s v="Сахар песок фас.5кг :1"/>
    <n v="165.05"/>
    <d v="2012-06-24T00:00:00"/>
    <n v="12775"/>
    <x v="963"/>
    <n v="2913"/>
    <n v="12669"/>
    <n v="0"/>
  </r>
  <r>
    <x v="7"/>
    <x v="2"/>
    <s v="Сахар песок фас.5кг :1"/>
    <n v="165.05"/>
    <d v="2012-06-25T00:00:00"/>
    <n v="12669"/>
    <x v="964"/>
    <n v="2836"/>
    <n v="12863"/>
    <n v="0"/>
  </r>
  <r>
    <x v="7"/>
    <x v="2"/>
    <s v="Сахар песок фас.5кг :1"/>
    <n v="165.05"/>
    <d v="2012-06-26T00:00:00"/>
    <n v="12863"/>
    <x v="965"/>
    <n v="2566"/>
    <n v="11994"/>
    <n v="0"/>
  </r>
  <r>
    <x v="7"/>
    <x v="2"/>
    <s v="Сахар песок фас.5кг :1"/>
    <n v="165.05"/>
    <d v="2012-06-27T00:00:00"/>
    <n v="11994"/>
    <x v="966"/>
    <n v="2497"/>
    <n v="12491"/>
    <n v="1"/>
  </r>
  <r>
    <x v="7"/>
    <x v="2"/>
    <s v="Сахар песок фас.5кг :1"/>
    <n v="165.05"/>
    <d v="2012-06-28T00:00:00"/>
    <n v="12491"/>
    <x v="626"/>
    <n v="2752"/>
    <n v="9722"/>
    <n v="0"/>
  </r>
  <r>
    <x v="7"/>
    <x v="2"/>
    <s v="Сахар песок фас.5кг :1"/>
    <n v="165.05"/>
    <d v="2012-06-29T00:00:00"/>
    <n v="9722"/>
    <x v="0"/>
    <n v="2580"/>
    <n v="7113"/>
    <n v="0"/>
  </r>
  <r>
    <x v="7"/>
    <x v="2"/>
    <s v="Сахар песок фас.5кг :1"/>
    <n v="165.05"/>
    <d v="2012-06-30T00:00:00"/>
    <n v="7113"/>
    <x v="0"/>
    <n v="1995"/>
    <n v="5128"/>
    <n v="0"/>
  </r>
  <r>
    <x v="7"/>
    <x v="2"/>
    <s v="Сахар песок фас.5кг :1"/>
    <n v="165.05"/>
    <d v="2012-07-01T00:00:00"/>
    <n v="5128"/>
    <x v="967"/>
    <n v="1966"/>
    <n v="6805"/>
    <n v="0"/>
  </r>
  <r>
    <x v="7"/>
    <x v="2"/>
    <s v="Сахар песок фас.5кг :1"/>
    <n v="165.05"/>
    <d v="2012-07-02T00:00:00"/>
    <n v="6805"/>
    <x v="239"/>
    <n v="1847"/>
    <n v="4971"/>
    <n v="1"/>
  </r>
  <r>
    <x v="7"/>
    <x v="2"/>
    <s v="Сахар песок фас.5кг :1"/>
    <n v="165.05"/>
    <d v="2012-07-03T00:00:00"/>
    <n v="4971"/>
    <x v="968"/>
    <n v="1284"/>
    <n v="3746"/>
    <n v="0"/>
  </r>
  <r>
    <x v="7"/>
    <x v="2"/>
    <s v="Сахар песок фас.5кг :1"/>
    <n v="165.05"/>
    <d v="2012-07-04T00:00:00"/>
    <n v="3746"/>
    <x v="626"/>
    <n v="857"/>
    <n v="2870"/>
    <n v="1"/>
  </r>
  <r>
    <x v="7"/>
    <x v="2"/>
    <s v="Сахар песок фас.5кг :1"/>
    <n v="165.05"/>
    <d v="2012-07-05T00:00:00"/>
    <n v="2870"/>
    <x v="969"/>
    <n v="1062"/>
    <n v="5679"/>
    <n v="0"/>
  </r>
  <r>
    <x v="7"/>
    <x v="2"/>
    <s v="Сахар песок фас.5кг :1"/>
    <n v="165.05"/>
    <d v="2012-07-06T00:00:00"/>
    <n v="5679"/>
    <x v="970"/>
    <n v="2211"/>
    <n v="7039"/>
    <n v="0"/>
  </r>
  <r>
    <x v="7"/>
    <x v="2"/>
    <s v="Сахар песок фас.5кг :1"/>
    <n v="165.05"/>
    <d v="2012-07-07T00:00:00"/>
    <n v="7039"/>
    <x v="971"/>
    <n v="3052"/>
    <n v="10336"/>
    <n v="0"/>
  </r>
  <r>
    <x v="7"/>
    <x v="2"/>
    <s v="Сахар песок фас.5кг :1"/>
    <n v="165.05"/>
    <d v="2012-07-08T00:00:00"/>
    <n v="10336"/>
    <x v="972"/>
    <n v="3875"/>
    <n v="12591"/>
    <n v="3"/>
  </r>
  <r>
    <x v="7"/>
    <x v="2"/>
    <s v="Сахар песок фас.5кг :1"/>
    <n v="165.05"/>
    <d v="2012-07-09T00:00:00"/>
    <n v="12591"/>
    <x v="337"/>
    <n v="4307"/>
    <n v="11111"/>
    <n v="0"/>
  </r>
  <r>
    <x v="7"/>
    <x v="2"/>
    <s v="Сахар песок фас.5кг :1"/>
    <n v="165.05"/>
    <d v="2012-07-10T00:00:00"/>
    <n v="11111"/>
    <x v="973"/>
    <n v="3383"/>
    <n v="11154"/>
    <n v="0"/>
  </r>
  <r>
    <x v="7"/>
    <x v="2"/>
    <s v="Сахар песок фас.5кг :1"/>
    <n v="165.05"/>
    <d v="2012-07-11T00:00:00"/>
    <n v="11154"/>
    <x v="37"/>
    <n v="3090"/>
    <n v="8485"/>
    <n v="0"/>
  </r>
  <r>
    <x v="7"/>
    <x v="2"/>
    <s v="Сахар песок фас.5кг :1"/>
    <n v="165.05"/>
    <d v="2012-07-12T00:00:00"/>
    <n v="8485"/>
    <x v="758"/>
    <n v="2257"/>
    <n v="6247"/>
    <n v="0"/>
  </r>
  <r>
    <x v="7"/>
    <x v="2"/>
    <s v="Сахар песок фас.5кг :1"/>
    <n v="165.05"/>
    <d v="2012-07-13T00:00:00"/>
    <n v="6247"/>
    <x v="637"/>
    <n v="1644"/>
    <n v="4605"/>
    <n v="0"/>
  </r>
  <r>
    <x v="7"/>
    <x v="2"/>
    <s v="Сахар песок фас.5кг :1"/>
    <n v="165.05"/>
    <d v="2012-07-14T00:00:00"/>
    <n v="4605"/>
    <x v="974"/>
    <n v="1223"/>
    <n v="8108"/>
    <n v="0"/>
  </r>
  <r>
    <x v="7"/>
    <x v="2"/>
    <s v="Сахар песок фас.5кг :1"/>
    <n v="165.05"/>
    <d v="2012-07-15T00:00:00"/>
    <n v="8108"/>
    <x v="975"/>
    <n v="2107"/>
    <n v="7833"/>
    <n v="0"/>
  </r>
  <r>
    <x v="7"/>
    <x v="2"/>
    <s v="Сахар песок фас.5кг :1"/>
    <n v="165.05"/>
    <d v="2012-07-16T00:00:00"/>
    <n v="7833"/>
    <x v="976"/>
    <n v="2055"/>
    <n v="6167"/>
    <n v="0"/>
  </r>
  <r>
    <x v="7"/>
    <x v="2"/>
    <s v="Сахар песок фас.5кг :1"/>
    <n v="165.05"/>
    <d v="2012-07-17T00:00:00"/>
    <n v="6167"/>
    <x v="977"/>
    <n v="1244"/>
    <n v="5963"/>
    <n v="0"/>
  </r>
  <r>
    <x v="8"/>
    <x v="0"/>
    <s v="Сахар песок фас. 10кг:1"/>
    <n v="317.08"/>
    <d v="2012-06-01T00:00:00"/>
    <n v="1678"/>
    <x v="978"/>
    <n v="373"/>
    <n v="1825"/>
    <n v="0"/>
  </r>
  <r>
    <x v="8"/>
    <x v="0"/>
    <s v="Сахар песок фас. 10кг:1"/>
    <n v="317.08"/>
    <d v="2012-06-02T00:00:00"/>
    <n v="1825"/>
    <x v="979"/>
    <n v="489"/>
    <n v="1910"/>
    <n v="0"/>
  </r>
  <r>
    <x v="8"/>
    <x v="0"/>
    <s v="Сахар песок фас. 10кг:1"/>
    <n v="317.08"/>
    <d v="2012-06-03T00:00:00"/>
    <n v="1910"/>
    <x v="980"/>
    <n v="567"/>
    <n v="2053"/>
    <n v="0"/>
  </r>
  <r>
    <x v="8"/>
    <x v="0"/>
    <s v="Сахар песок фас. 10кг:1"/>
    <n v="317.08"/>
    <d v="2012-06-04T00:00:00"/>
    <n v="2053"/>
    <x v="981"/>
    <n v="588"/>
    <n v="2202"/>
    <n v="0"/>
  </r>
  <r>
    <x v="8"/>
    <x v="0"/>
    <s v="Сахар песок фас. 10кг:1"/>
    <n v="317.08"/>
    <d v="2012-06-05T00:00:00"/>
    <n v="2202"/>
    <x v="982"/>
    <n v="636"/>
    <n v="2199"/>
    <n v="0"/>
  </r>
  <r>
    <x v="8"/>
    <x v="0"/>
    <s v="Сахар песок фас. 10кг:1"/>
    <n v="317.08"/>
    <d v="2012-06-06T00:00:00"/>
    <n v="2199"/>
    <x v="983"/>
    <n v="807"/>
    <n v="2214"/>
    <n v="0"/>
  </r>
  <r>
    <x v="8"/>
    <x v="0"/>
    <s v="Сахар песок фас. 10кг:1"/>
    <n v="317.08"/>
    <d v="2012-06-07T00:00:00"/>
    <n v="2214"/>
    <x v="984"/>
    <n v="711"/>
    <n v="1573"/>
    <n v="0"/>
  </r>
  <r>
    <x v="8"/>
    <x v="0"/>
    <s v="Сахар песок фас. 10кг:1"/>
    <n v="317.08"/>
    <d v="2012-06-08T00:00:00"/>
    <n v="1573"/>
    <x v="985"/>
    <n v="394"/>
    <n v="1369"/>
    <n v="0"/>
  </r>
  <r>
    <x v="8"/>
    <x v="0"/>
    <s v="Сахар песок фас. 10кг:1"/>
    <n v="317.08"/>
    <d v="2012-06-09T00:00:00"/>
    <n v="1369"/>
    <x v="986"/>
    <n v="510"/>
    <n v="2299"/>
    <n v="0"/>
  </r>
  <r>
    <x v="8"/>
    <x v="0"/>
    <s v="Сахар песок фас. 10кг:1"/>
    <n v="317.08"/>
    <d v="2012-06-10T00:00:00"/>
    <n v="2299"/>
    <x v="503"/>
    <n v="878"/>
    <n v="1953"/>
    <n v="0"/>
  </r>
  <r>
    <x v="8"/>
    <x v="0"/>
    <s v="Сахар песок фас. 10кг:1"/>
    <n v="317.08"/>
    <d v="2012-06-11T00:00:00"/>
    <n v="1953"/>
    <x v="987"/>
    <n v="793"/>
    <n v="1204"/>
    <n v="0"/>
  </r>
  <r>
    <x v="8"/>
    <x v="0"/>
    <s v="Сахар песок фас. 10кг:1"/>
    <n v="317.08"/>
    <d v="2012-06-12T00:00:00"/>
    <n v="1204"/>
    <x v="988"/>
    <n v="405"/>
    <n v="828"/>
    <n v="0"/>
  </r>
  <r>
    <x v="8"/>
    <x v="0"/>
    <s v="Сахар песок фас. 10кг:1"/>
    <n v="317.08"/>
    <d v="2012-06-13T00:00:00"/>
    <n v="828"/>
    <x v="989"/>
    <n v="611"/>
    <n v="1471"/>
    <n v="0"/>
  </r>
  <r>
    <x v="8"/>
    <x v="0"/>
    <s v="Сахар песок фас. 10кг:1"/>
    <n v="317.08"/>
    <d v="2012-06-14T00:00:00"/>
    <n v="1471"/>
    <x v="990"/>
    <n v="618"/>
    <n v="1553"/>
    <n v="0"/>
  </r>
  <r>
    <x v="8"/>
    <x v="0"/>
    <s v="Сахар песок фас. 10кг:1"/>
    <n v="317.08"/>
    <d v="2012-06-15T00:00:00"/>
    <n v="1553"/>
    <x v="991"/>
    <n v="448"/>
    <n v="1190"/>
    <n v="0"/>
  </r>
  <r>
    <x v="8"/>
    <x v="0"/>
    <s v="Сахар песок фас. 10кг:1"/>
    <n v="317.08"/>
    <d v="2012-06-16T00:00:00"/>
    <n v="1190"/>
    <x v="992"/>
    <n v="288"/>
    <n v="987"/>
    <n v="0"/>
  </r>
  <r>
    <x v="8"/>
    <x v="0"/>
    <s v="Сахар песок фас. 10кг:1"/>
    <n v="317.08"/>
    <d v="2012-06-17T00:00:00"/>
    <n v="987"/>
    <x v="993"/>
    <n v="248"/>
    <n v="815"/>
    <n v="0"/>
  </r>
  <r>
    <x v="8"/>
    <x v="0"/>
    <s v="Сахар песок фас. 10кг:1"/>
    <n v="317.08"/>
    <d v="2012-06-18T00:00:00"/>
    <n v="815"/>
    <x v="994"/>
    <n v="290"/>
    <n v="1856"/>
    <n v="0"/>
  </r>
  <r>
    <x v="8"/>
    <x v="0"/>
    <s v="Сахар песок фас. 10кг:1"/>
    <n v="317.08"/>
    <d v="2012-06-19T00:00:00"/>
    <n v="1856"/>
    <x v="995"/>
    <n v="545"/>
    <n v="1995"/>
    <n v="0"/>
  </r>
  <r>
    <x v="8"/>
    <x v="0"/>
    <s v="Сахар песок фас. 10кг:1"/>
    <n v="317.08"/>
    <d v="2012-06-20T00:00:00"/>
    <n v="1995"/>
    <x v="891"/>
    <n v="542"/>
    <n v="1577"/>
    <n v="0"/>
  </r>
  <r>
    <x v="8"/>
    <x v="0"/>
    <s v="Сахар песок фас. 10кг:1"/>
    <n v="317.08"/>
    <d v="2012-06-21T00:00:00"/>
    <n v="1577"/>
    <x v="996"/>
    <n v="374"/>
    <n v="1323"/>
    <n v="0"/>
  </r>
  <r>
    <x v="8"/>
    <x v="0"/>
    <s v="Сахар песок фас. 10кг:1"/>
    <n v="317.08"/>
    <d v="2012-06-22T00:00:00"/>
    <n v="1323"/>
    <x v="755"/>
    <n v="293"/>
    <n v="1120"/>
    <n v="0"/>
  </r>
  <r>
    <x v="8"/>
    <x v="0"/>
    <s v="Сахар песок фас. 10кг:1"/>
    <n v="317.08"/>
    <d v="2012-06-23T00:00:00"/>
    <n v="1120"/>
    <x v="993"/>
    <n v="252"/>
    <n v="944"/>
    <n v="0"/>
  </r>
  <r>
    <x v="8"/>
    <x v="0"/>
    <s v="Сахар песок фас. 10кг:1"/>
    <n v="317.08"/>
    <d v="2012-06-24T00:00:00"/>
    <n v="944"/>
    <x v="644"/>
    <n v="210"/>
    <n v="764"/>
    <n v="0"/>
  </r>
  <r>
    <x v="8"/>
    <x v="0"/>
    <s v="Сахар песок фас. 10кг:1"/>
    <n v="317.08"/>
    <d v="2012-06-25T00:00:00"/>
    <n v="764"/>
    <x v="997"/>
    <n v="245"/>
    <n v="1883"/>
    <n v="0"/>
  </r>
  <r>
    <x v="8"/>
    <x v="0"/>
    <s v="Сахар песок фас. 10кг:1"/>
    <n v="317.08"/>
    <d v="2012-06-26T00:00:00"/>
    <n v="1883"/>
    <x v="998"/>
    <n v="437"/>
    <n v="1962"/>
    <n v="0"/>
  </r>
  <r>
    <x v="8"/>
    <x v="0"/>
    <s v="Сахар песок фас. 10кг:1"/>
    <n v="317.08"/>
    <d v="2012-06-27T00:00:00"/>
    <n v="1962"/>
    <x v="999"/>
    <n v="499"/>
    <n v="1955"/>
    <n v="0"/>
  </r>
  <r>
    <x v="8"/>
    <x v="0"/>
    <s v="Сахар песок фас. 10кг:1"/>
    <n v="317.08"/>
    <d v="2012-06-28T00:00:00"/>
    <n v="1955"/>
    <x v="977"/>
    <n v="464"/>
    <n v="2514"/>
    <n v="0"/>
  </r>
  <r>
    <x v="8"/>
    <x v="0"/>
    <s v="Сахар песок фас. 10кг:1"/>
    <n v="317.08"/>
    <d v="2012-06-29T00:00:00"/>
    <n v="2514"/>
    <x v="1000"/>
    <n v="556"/>
    <n v="2417"/>
    <n v="0"/>
  </r>
  <r>
    <x v="8"/>
    <x v="0"/>
    <s v="Сахар песок фас. 10кг:1"/>
    <n v="317.08"/>
    <d v="2012-06-30T00:00:00"/>
    <n v="2417"/>
    <x v="1001"/>
    <n v="695"/>
    <n v="2118"/>
    <n v="0"/>
  </r>
  <r>
    <x v="8"/>
    <x v="0"/>
    <s v="Сахар песок фас. 10кг:1"/>
    <n v="317.08"/>
    <d v="2012-07-01T00:00:00"/>
    <n v="2118"/>
    <x v="1002"/>
    <n v="610"/>
    <n v="2109"/>
    <n v="0"/>
  </r>
  <r>
    <x v="8"/>
    <x v="0"/>
    <s v="Сахар песок фас. 10кг:1"/>
    <n v="317.08"/>
    <d v="2012-07-02T00:00:00"/>
    <n v="2109"/>
    <x v="1003"/>
    <n v="550"/>
    <n v="2319"/>
    <n v="0"/>
  </r>
  <r>
    <x v="8"/>
    <x v="0"/>
    <s v="Сахар песок фас. 10кг:1"/>
    <n v="317.08"/>
    <d v="2012-07-03T00:00:00"/>
    <n v="2319"/>
    <x v="1004"/>
    <n v="678"/>
    <n v="2372"/>
    <n v="0"/>
  </r>
  <r>
    <x v="8"/>
    <x v="0"/>
    <s v="Сахар песок фас. 10кг:1"/>
    <n v="317.08"/>
    <d v="2012-07-04T00:00:00"/>
    <n v="2372"/>
    <x v="979"/>
    <n v="671"/>
    <n v="2274"/>
    <n v="0"/>
  </r>
  <r>
    <x v="8"/>
    <x v="0"/>
    <s v="Сахар песок фас. 10кг:1"/>
    <n v="317.08"/>
    <d v="2012-07-05T00:00:00"/>
    <n v="2274"/>
    <x v="1005"/>
    <n v="590"/>
    <n v="2372"/>
    <n v="0"/>
  </r>
  <r>
    <x v="8"/>
    <x v="0"/>
    <s v="Сахар песок фас. 10кг:1"/>
    <n v="317.08"/>
    <d v="2012-07-06T00:00:00"/>
    <n v="2372"/>
    <x v="396"/>
    <n v="696"/>
    <n v="2462"/>
    <n v="0"/>
  </r>
  <r>
    <x v="8"/>
    <x v="0"/>
    <s v="Сахар песок фас. 10кг:1"/>
    <n v="317.08"/>
    <d v="2012-07-07T00:00:00"/>
    <n v="2462"/>
    <x v="1006"/>
    <n v="736"/>
    <n v="2495"/>
    <n v="0"/>
  </r>
  <r>
    <x v="8"/>
    <x v="0"/>
    <s v="Сахар песок фас. 10кг:1"/>
    <n v="317.08"/>
    <d v="2012-07-08T00:00:00"/>
    <n v="2495"/>
    <x v="1007"/>
    <n v="747"/>
    <n v="2368"/>
    <n v="0"/>
  </r>
  <r>
    <x v="8"/>
    <x v="0"/>
    <s v="Сахар песок фас. 10кг:1"/>
    <n v="317.08"/>
    <d v="2012-07-09T00:00:00"/>
    <n v="2368"/>
    <x v="1008"/>
    <n v="609"/>
    <n v="2594"/>
    <n v="0"/>
  </r>
  <r>
    <x v="8"/>
    <x v="0"/>
    <s v="Сахар песок фас. 10кг:1"/>
    <n v="317.08"/>
    <d v="2012-07-10T00:00:00"/>
    <n v="2594"/>
    <x v="1009"/>
    <n v="598"/>
    <n v="2822"/>
    <n v="0"/>
  </r>
  <r>
    <x v="8"/>
    <x v="0"/>
    <s v="Сахар песок фас. 10кг:1"/>
    <n v="317.08"/>
    <d v="2012-07-11T00:00:00"/>
    <n v="2822"/>
    <x v="1010"/>
    <n v="626"/>
    <n v="2774"/>
    <n v="0"/>
  </r>
  <r>
    <x v="8"/>
    <x v="0"/>
    <s v="Сахар песок фас. 10кг:1"/>
    <n v="317.08"/>
    <d v="2012-07-12T00:00:00"/>
    <n v="2774"/>
    <x v="1011"/>
    <n v="623"/>
    <n v="2486"/>
    <n v="0"/>
  </r>
  <r>
    <x v="8"/>
    <x v="0"/>
    <s v="Сахар песок фас. 10кг:1"/>
    <n v="317.08"/>
    <d v="2012-07-13T00:00:00"/>
    <n v="2486"/>
    <x v="1012"/>
    <n v="559"/>
    <n v="2486"/>
    <n v="0"/>
  </r>
  <r>
    <x v="8"/>
    <x v="0"/>
    <s v="Сахар песок фас. 10кг:1"/>
    <n v="317.08"/>
    <d v="2012-07-14T00:00:00"/>
    <n v="2486"/>
    <x v="1013"/>
    <n v="644"/>
    <n v="2332"/>
    <n v="0"/>
  </r>
  <r>
    <x v="8"/>
    <x v="0"/>
    <s v="Сахар песок фас. 10кг:1"/>
    <n v="317.08"/>
    <d v="2012-07-15T00:00:00"/>
    <n v="2332"/>
    <x v="1014"/>
    <n v="542"/>
    <n v="2337"/>
    <n v="0"/>
  </r>
  <r>
    <x v="8"/>
    <x v="0"/>
    <s v="Сахар песок фас. 10кг:1"/>
    <n v="317.08"/>
    <d v="2012-07-16T00:00:00"/>
    <n v="2337"/>
    <x v="1015"/>
    <n v="550"/>
    <n v="2275"/>
    <n v="0"/>
  </r>
  <r>
    <x v="8"/>
    <x v="0"/>
    <s v="Сахар песок фас. 10кг:1"/>
    <n v="317.08"/>
    <d v="2012-07-17T00:00:00"/>
    <n v="2275"/>
    <x v="506"/>
    <n v="397"/>
    <n v="2479"/>
    <n v="0"/>
  </r>
  <r>
    <x v="8"/>
    <x v="1"/>
    <s v="Сахар песок фас.1кг:6"/>
    <n v="33.659999999999997"/>
    <d v="2012-06-01T00:00:00"/>
    <n v="53254"/>
    <x v="1016"/>
    <n v="12518"/>
    <n v="64538"/>
    <n v="2"/>
  </r>
  <r>
    <x v="8"/>
    <x v="1"/>
    <s v="Сахар песок фас.1кг:6"/>
    <n v="33.659999999999997"/>
    <d v="2012-06-02T00:00:00"/>
    <n v="64538"/>
    <x v="1017"/>
    <n v="12850"/>
    <n v="63489"/>
    <n v="3"/>
  </r>
  <r>
    <x v="8"/>
    <x v="1"/>
    <s v="Сахар песок фас.1кг:6"/>
    <n v="33.659999999999997"/>
    <d v="2012-06-03T00:00:00"/>
    <n v="63489"/>
    <x v="1018"/>
    <n v="12640"/>
    <n v="67171"/>
    <n v="0"/>
  </r>
  <r>
    <x v="8"/>
    <x v="1"/>
    <s v="Сахар песок фас.1кг:6"/>
    <n v="33.659999999999997"/>
    <d v="2012-06-04T00:00:00"/>
    <n v="67171"/>
    <x v="1019"/>
    <n v="13426"/>
    <n v="70114"/>
    <n v="0"/>
  </r>
  <r>
    <x v="8"/>
    <x v="1"/>
    <s v="Сахар песок фас.1кг:6"/>
    <n v="33.659999999999997"/>
    <d v="2012-06-05T00:00:00"/>
    <n v="70114"/>
    <x v="1020"/>
    <n v="13185"/>
    <n v="68041"/>
    <n v="0"/>
  </r>
  <r>
    <x v="8"/>
    <x v="1"/>
    <s v="Сахар песок фас.1кг:6"/>
    <n v="33.659999999999997"/>
    <d v="2012-06-06T00:00:00"/>
    <n v="68041"/>
    <x v="1021"/>
    <n v="14033"/>
    <n v="69398"/>
    <n v="0"/>
  </r>
  <r>
    <x v="8"/>
    <x v="1"/>
    <s v="Сахар песок фас.1кг:6"/>
    <n v="33.659999999999997"/>
    <d v="2012-06-07T00:00:00"/>
    <n v="69398"/>
    <x v="1022"/>
    <n v="14209"/>
    <n v="69645"/>
    <n v="0"/>
  </r>
  <r>
    <x v="8"/>
    <x v="1"/>
    <s v="Сахар песок фас.1кг:6"/>
    <n v="33.659999999999997"/>
    <d v="2012-06-08T00:00:00"/>
    <n v="69645"/>
    <x v="1023"/>
    <n v="14812"/>
    <n v="70313"/>
    <n v="0"/>
  </r>
  <r>
    <x v="8"/>
    <x v="1"/>
    <s v="Сахар песок фас.1кг:6"/>
    <n v="33.659999999999997"/>
    <d v="2012-06-09T00:00:00"/>
    <n v="70313"/>
    <x v="1024"/>
    <n v="15349"/>
    <n v="68053"/>
    <n v="1"/>
  </r>
  <r>
    <x v="8"/>
    <x v="1"/>
    <s v="Сахар песок фас.1кг:6"/>
    <n v="33.659999999999997"/>
    <d v="2012-06-10T00:00:00"/>
    <n v="68053"/>
    <x v="1025"/>
    <n v="16556"/>
    <n v="64672"/>
    <n v="0"/>
  </r>
  <r>
    <x v="8"/>
    <x v="1"/>
    <s v="Сахар песок фас.1кг:6"/>
    <n v="33.659999999999997"/>
    <d v="2012-06-11T00:00:00"/>
    <n v="64672"/>
    <x v="1026"/>
    <n v="18928"/>
    <n v="60354"/>
    <n v="1"/>
  </r>
  <r>
    <x v="8"/>
    <x v="1"/>
    <s v="Сахар песок фас.1кг:6"/>
    <n v="33.659999999999997"/>
    <d v="2012-06-12T00:00:00"/>
    <n v="60354"/>
    <x v="1027"/>
    <n v="17950"/>
    <n v="57580"/>
    <n v="1"/>
  </r>
  <r>
    <x v="8"/>
    <x v="1"/>
    <s v="Сахар песок фас.1кг:6"/>
    <n v="33.659999999999997"/>
    <d v="2012-06-13T00:00:00"/>
    <n v="57580"/>
    <x v="1028"/>
    <n v="18127"/>
    <n v="56492"/>
    <n v="0"/>
  </r>
  <r>
    <x v="8"/>
    <x v="1"/>
    <s v="Сахар песок фас.1кг:6"/>
    <n v="33.659999999999997"/>
    <d v="2012-06-14T00:00:00"/>
    <n v="56492"/>
    <x v="1029"/>
    <n v="16360"/>
    <n v="56377"/>
    <n v="4"/>
  </r>
  <r>
    <x v="8"/>
    <x v="1"/>
    <s v="Сахар песок фас.1кг:6"/>
    <n v="33.659999999999997"/>
    <d v="2012-06-15T00:00:00"/>
    <n v="56377"/>
    <x v="1030"/>
    <n v="15540"/>
    <n v="59571"/>
    <n v="0"/>
  </r>
  <r>
    <x v="8"/>
    <x v="1"/>
    <s v="Сахар песок фас.1кг:6"/>
    <n v="33.659999999999997"/>
    <d v="2012-06-16T00:00:00"/>
    <n v="59571"/>
    <x v="1031"/>
    <n v="15247"/>
    <n v="57003"/>
    <n v="1"/>
  </r>
  <r>
    <x v="8"/>
    <x v="1"/>
    <s v="Сахар песок фас.1кг:6"/>
    <n v="33.659999999999997"/>
    <d v="2012-06-17T00:00:00"/>
    <n v="57003"/>
    <x v="1032"/>
    <n v="18383"/>
    <n v="59590"/>
    <n v="0"/>
  </r>
  <r>
    <x v="8"/>
    <x v="1"/>
    <s v="Сахар песок фас.1кг:6"/>
    <n v="33.659999999999997"/>
    <d v="2012-06-18T00:00:00"/>
    <n v="59590"/>
    <x v="1033"/>
    <n v="17043"/>
    <n v="59059"/>
    <n v="3"/>
  </r>
  <r>
    <x v="8"/>
    <x v="1"/>
    <s v="Сахар песок фас.1кг:6"/>
    <n v="33.659999999999997"/>
    <d v="2012-06-19T00:00:00"/>
    <n v="59059"/>
    <x v="1034"/>
    <n v="16020"/>
    <n v="74758"/>
    <n v="4"/>
  </r>
  <r>
    <x v="8"/>
    <x v="1"/>
    <s v="Сахар песок фас.1кг:6"/>
    <n v="33.659999999999997"/>
    <d v="2012-06-20T00:00:00"/>
    <n v="74758"/>
    <x v="1035"/>
    <n v="16666"/>
    <n v="77564"/>
    <n v="0"/>
  </r>
  <r>
    <x v="8"/>
    <x v="1"/>
    <s v="Сахар песок фас.1кг:6"/>
    <n v="33.659999999999997"/>
    <d v="2012-06-21T00:00:00"/>
    <n v="77564"/>
    <x v="1036"/>
    <n v="16093"/>
    <n v="80212"/>
    <n v="1"/>
  </r>
  <r>
    <x v="8"/>
    <x v="1"/>
    <s v="Сахар песок фас.1кг:6"/>
    <n v="33.659999999999997"/>
    <d v="2012-06-22T00:00:00"/>
    <n v="80212"/>
    <x v="1037"/>
    <n v="15000"/>
    <n v="81216"/>
    <n v="3"/>
  </r>
  <r>
    <x v="8"/>
    <x v="1"/>
    <s v="Сахар песок фас.1кг:6"/>
    <n v="33.659999999999997"/>
    <d v="2012-06-23T00:00:00"/>
    <n v="81216"/>
    <x v="1038"/>
    <n v="15511"/>
    <n v="82078"/>
    <n v="4"/>
  </r>
  <r>
    <x v="8"/>
    <x v="1"/>
    <s v="Сахар песок фас.1кг:6"/>
    <n v="33.659999999999997"/>
    <d v="2012-06-24T00:00:00"/>
    <n v="82078"/>
    <x v="1039"/>
    <n v="16987"/>
    <n v="80771"/>
    <n v="2"/>
  </r>
  <r>
    <x v="8"/>
    <x v="1"/>
    <s v="Сахар песок фас.1кг:6"/>
    <n v="33.659999999999997"/>
    <d v="2012-06-25T00:00:00"/>
    <n v="80771"/>
    <x v="1040"/>
    <n v="15803"/>
    <n v="83318"/>
    <n v="1"/>
  </r>
  <r>
    <x v="8"/>
    <x v="1"/>
    <s v="Сахар песок фас.1кг:6"/>
    <n v="33.659999999999997"/>
    <d v="2012-06-26T00:00:00"/>
    <n v="83318"/>
    <x v="1041"/>
    <n v="15296"/>
    <n v="86096"/>
    <n v="1"/>
  </r>
  <r>
    <x v="8"/>
    <x v="1"/>
    <s v="Сахар песок фас.1кг:6"/>
    <n v="33.659999999999997"/>
    <d v="2012-06-27T00:00:00"/>
    <n v="86096"/>
    <x v="1042"/>
    <n v="15548"/>
    <n v="89210"/>
    <n v="2"/>
  </r>
  <r>
    <x v="8"/>
    <x v="1"/>
    <s v="Сахар песок фас.1кг:6"/>
    <n v="33.659999999999997"/>
    <d v="2012-06-28T00:00:00"/>
    <n v="89210"/>
    <x v="1043"/>
    <n v="14121"/>
    <n v="95259"/>
    <n v="0"/>
  </r>
  <r>
    <x v="8"/>
    <x v="1"/>
    <s v="Сахар песок фас.1кг:6"/>
    <n v="33.659999999999997"/>
    <d v="2012-06-29T00:00:00"/>
    <n v="95259"/>
    <x v="1044"/>
    <n v="14787"/>
    <n v="95603"/>
    <n v="0"/>
  </r>
  <r>
    <x v="8"/>
    <x v="1"/>
    <s v="Сахар песок фас.1кг:6"/>
    <n v="33.659999999999997"/>
    <d v="2012-06-30T00:00:00"/>
    <n v="95603"/>
    <x v="1045"/>
    <n v="16032"/>
    <n v="98128"/>
    <n v="0"/>
  </r>
  <r>
    <x v="8"/>
    <x v="1"/>
    <s v="Сахар песок фас.1кг:6"/>
    <n v="33.659999999999997"/>
    <d v="2012-07-01T00:00:00"/>
    <n v="98128"/>
    <x v="1046"/>
    <n v="16871"/>
    <n v="94811"/>
    <n v="0"/>
  </r>
  <r>
    <x v="8"/>
    <x v="1"/>
    <s v="Сахар песок фас.1кг:6"/>
    <n v="33.659999999999997"/>
    <d v="2012-07-02T00:00:00"/>
    <n v="94811"/>
    <x v="1047"/>
    <n v="15585"/>
    <n v="94082"/>
    <n v="0"/>
  </r>
  <r>
    <x v="8"/>
    <x v="1"/>
    <s v="Сахар песок фас.1кг:6"/>
    <n v="33.659999999999997"/>
    <d v="2012-07-03T00:00:00"/>
    <n v="94082"/>
    <x v="1048"/>
    <n v="15818"/>
    <n v="97416"/>
    <n v="0"/>
  </r>
  <r>
    <x v="8"/>
    <x v="1"/>
    <s v="Сахар песок фас.1кг:6"/>
    <n v="33.659999999999997"/>
    <d v="2012-07-04T00:00:00"/>
    <n v="97416"/>
    <x v="1049"/>
    <n v="14227"/>
    <n v="96744"/>
    <n v="6"/>
  </r>
  <r>
    <x v="8"/>
    <x v="1"/>
    <s v="Сахар песок фас.1кг:6"/>
    <n v="33.659999999999997"/>
    <d v="2012-07-05T00:00:00"/>
    <n v="96744"/>
    <x v="1050"/>
    <n v="15727"/>
    <n v="95793"/>
    <n v="1"/>
  </r>
  <r>
    <x v="8"/>
    <x v="1"/>
    <s v="Сахар песок фас.1кг:6"/>
    <n v="33.659999999999997"/>
    <d v="2012-07-06T00:00:00"/>
    <n v="95793"/>
    <x v="1051"/>
    <n v="14684"/>
    <n v="91376"/>
    <n v="0"/>
  </r>
  <r>
    <x v="8"/>
    <x v="1"/>
    <s v="Сахар песок фас.1кг:6"/>
    <n v="33.659999999999997"/>
    <d v="2012-07-07T00:00:00"/>
    <n v="91376"/>
    <x v="1052"/>
    <n v="14843"/>
    <n v="94804"/>
    <n v="2"/>
  </r>
  <r>
    <x v="8"/>
    <x v="1"/>
    <s v="Сахар песок фас.1кг:6"/>
    <n v="33.659999999999997"/>
    <d v="2012-07-08T00:00:00"/>
    <n v="94804"/>
    <x v="1053"/>
    <n v="14728"/>
    <n v="94097"/>
    <n v="1"/>
  </r>
  <r>
    <x v="8"/>
    <x v="1"/>
    <s v="Сахар песок фас.1кг:6"/>
    <n v="33.659999999999997"/>
    <d v="2012-07-09T00:00:00"/>
    <n v="94097"/>
    <x v="1054"/>
    <n v="14213"/>
    <n v="94360"/>
    <n v="1"/>
  </r>
  <r>
    <x v="8"/>
    <x v="1"/>
    <s v="Сахар песок фас.1кг:6"/>
    <n v="33.659999999999997"/>
    <d v="2012-07-10T00:00:00"/>
    <n v="94360"/>
    <x v="1055"/>
    <n v="13129"/>
    <n v="92931"/>
    <n v="0"/>
  </r>
  <r>
    <x v="8"/>
    <x v="1"/>
    <s v="Сахар песок фас.1кг:6"/>
    <n v="33.659999999999997"/>
    <d v="2012-07-11T00:00:00"/>
    <n v="92931"/>
    <x v="1056"/>
    <n v="13647"/>
    <n v="91289"/>
    <n v="2"/>
  </r>
  <r>
    <x v="8"/>
    <x v="1"/>
    <s v="Сахар песок фас.1кг:6"/>
    <n v="33.659999999999997"/>
    <d v="2012-07-12T00:00:00"/>
    <n v="91289"/>
    <x v="1057"/>
    <n v="12339"/>
    <n v="89046"/>
    <n v="0"/>
  </r>
  <r>
    <x v="8"/>
    <x v="1"/>
    <s v="Сахар песок фас.1кг:6"/>
    <n v="33.659999999999997"/>
    <d v="2012-07-13T00:00:00"/>
    <n v="89046"/>
    <x v="1058"/>
    <n v="12514"/>
    <n v="88596"/>
    <n v="2"/>
  </r>
  <r>
    <x v="8"/>
    <x v="1"/>
    <s v="Сахар песок фас.1кг:6"/>
    <n v="33.659999999999997"/>
    <d v="2012-07-14T00:00:00"/>
    <n v="88596"/>
    <x v="1059"/>
    <n v="12253"/>
    <n v="85588"/>
    <n v="7"/>
  </r>
  <r>
    <x v="8"/>
    <x v="1"/>
    <s v="Сахар песок фас.1кг:6"/>
    <n v="33.659999999999997"/>
    <d v="2012-07-15T00:00:00"/>
    <n v="85588"/>
    <x v="1060"/>
    <n v="11393"/>
    <n v="77117"/>
    <n v="1"/>
  </r>
  <r>
    <x v="8"/>
    <x v="1"/>
    <s v="Сахар песок фас.1кг:6"/>
    <n v="33.659999999999997"/>
    <d v="2012-07-16T00:00:00"/>
    <n v="77117"/>
    <x v="1061"/>
    <n v="11178"/>
    <n v="76932"/>
    <n v="2"/>
  </r>
  <r>
    <x v="8"/>
    <x v="1"/>
    <s v="Сахар песок фас.1кг:6"/>
    <n v="33.659999999999997"/>
    <d v="2012-07-17T00:00:00"/>
    <n v="76932"/>
    <x v="1062"/>
    <n v="10165"/>
    <n v="82907"/>
    <n v="1"/>
  </r>
  <r>
    <x v="8"/>
    <x v="2"/>
    <s v="Сахар песок фас.5кг :1"/>
    <n v="165.05"/>
    <d v="2012-06-01T00:00:00"/>
    <n v="9614"/>
    <x v="1063"/>
    <n v="2140"/>
    <n v="9517"/>
    <n v="0"/>
  </r>
  <r>
    <x v="8"/>
    <x v="2"/>
    <s v="Сахар песок фас.5кг :1"/>
    <n v="165.05"/>
    <d v="2012-06-02T00:00:00"/>
    <n v="9517"/>
    <x v="1064"/>
    <n v="2649"/>
    <n v="9509"/>
    <n v="0"/>
  </r>
  <r>
    <x v="8"/>
    <x v="2"/>
    <s v="Сахар песок фас.5кг :1"/>
    <n v="165.05"/>
    <d v="2012-06-03T00:00:00"/>
    <n v="9509"/>
    <x v="1065"/>
    <n v="2617"/>
    <n v="11111"/>
    <n v="0"/>
  </r>
  <r>
    <x v="8"/>
    <x v="2"/>
    <s v="Сахар песок фас.5кг :1"/>
    <n v="165.05"/>
    <d v="2012-06-04T00:00:00"/>
    <n v="11111"/>
    <x v="1066"/>
    <n v="3060"/>
    <n v="11662"/>
    <n v="0"/>
  </r>
  <r>
    <x v="8"/>
    <x v="2"/>
    <s v="Сахар песок фас.5кг :1"/>
    <n v="165.05"/>
    <d v="2012-06-05T00:00:00"/>
    <n v="11662"/>
    <x v="1067"/>
    <n v="3118"/>
    <n v="10657"/>
    <n v="0"/>
  </r>
  <r>
    <x v="8"/>
    <x v="2"/>
    <s v="Сахар песок фас.5кг :1"/>
    <n v="165.05"/>
    <d v="2012-06-06T00:00:00"/>
    <n v="10657"/>
    <x v="249"/>
    <n v="3391"/>
    <n v="8146"/>
    <n v="0"/>
  </r>
  <r>
    <x v="8"/>
    <x v="2"/>
    <s v="Сахар песок фас.5кг :1"/>
    <n v="165.05"/>
    <d v="2012-06-07T00:00:00"/>
    <n v="8146"/>
    <x v="1068"/>
    <n v="3099"/>
    <n v="9624"/>
    <n v="0"/>
  </r>
  <r>
    <x v="8"/>
    <x v="2"/>
    <s v="Сахар песок фас.5кг :1"/>
    <n v="165.05"/>
    <d v="2012-06-08T00:00:00"/>
    <n v="9624"/>
    <x v="1069"/>
    <n v="3975"/>
    <n v="12322"/>
    <n v="0"/>
  </r>
  <r>
    <x v="8"/>
    <x v="2"/>
    <s v="Сахар песок фас.5кг :1"/>
    <n v="165.05"/>
    <d v="2012-06-09T00:00:00"/>
    <n v="12322"/>
    <x v="1070"/>
    <n v="4922"/>
    <n v="11135"/>
    <n v="0"/>
  </r>
  <r>
    <x v="8"/>
    <x v="2"/>
    <s v="Сахар песок фас.5кг :1"/>
    <n v="165.05"/>
    <d v="2012-06-10T00:00:00"/>
    <n v="11135"/>
    <x v="1071"/>
    <n v="5679"/>
    <n v="7667"/>
    <n v="0"/>
  </r>
  <r>
    <x v="8"/>
    <x v="2"/>
    <s v="Сахар песок фас.5кг :1"/>
    <n v="165.05"/>
    <d v="2012-06-11T00:00:00"/>
    <n v="7667"/>
    <x v="1072"/>
    <n v="4734"/>
    <n v="6678"/>
    <n v="0"/>
  </r>
  <r>
    <x v="8"/>
    <x v="2"/>
    <s v="Сахар песок фас.5кг :1"/>
    <n v="165.05"/>
    <d v="2012-06-12T00:00:00"/>
    <n v="6678"/>
    <x v="1073"/>
    <n v="5038"/>
    <n v="6462"/>
    <n v="0"/>
  </r>
  <r>
    <x v="8"/>
    <x v="2"/>
    <s v="Сахар песок фас.5кг :1"/>
    <n v="165.05"/>
    <d v="2012-06-13T00:00:00"/>
    <n v="6462"/>
    <x v="1074"/>
    <n v="3446"/>
    <n v="4479"/>
    <n v="0"/>
  </r>
  <r>
    <x v="8"/>
    <x v="2"/>
    <s v="Сахар песок фас.5кг :1"/>
    <n v="165.05"/>
    <d v="2012-06-14T00:00:00"/>
    <n v="4479"/>
    <x v="1075"/>
    <n v="2968"/>
    <n v="6014"/>
    <n v="0"/>
  </r>
  <r>
    <x v="8"/>
    <x v="2"/>
    <s v="Сахар песок фас.5кг :1"/>
    <n v="165.05"/>
    <d v="2012-06-15T00:00:00"/>
    <n v="6014"/>
    <x v="1076"/>
    <n v="3141"/>
    <n v="7083"/>
    <n v="0"/>
  </r>
  <r>
    <x v="8"/>
    <x v="2"/>
    <s v="Сахар песок фас.5кг :1"/>
    <n v="165.05"/>
    <d v="2012-06-16T00:00:00"/>
    <n v="7083"/>
    <x v="1077"/>
    <n v="3963"/>
    <n v="7519"/>
    <n v="0"/>
  </r>
  <r>
    <x v="8"/>
    <x v="2"/>
    <s v="Сахар песок фас.5кг :1"/>
    <n v="165.05"/>
    <d v="2012-06-17T00:00:00"/>
    <n v="7519"/>
    <x v="1078"/>
    <n v="3428"/>
    <n v="4765"/>
    <n v="0"/>
  </r>
  <r>
    <x v="8"/>
    <x v="2"/>
    <s v="Сахар песок фас.5кг :1"/>
    <n v="165.05"/>
    <d v="2012-06-18T00:00:00"/>
    <n v="4765"/>
    <x v="1079"/>
    <n v="2261"/>
    <n v="7108"/>
    <n v="0"/>
  </r>
  <r>
    <x v="8"/>
    <x v="2"/>
    <s v="Сахар песок фас.5кг :1"/>
    <n v="165.05"/>
    <d v="2012-06-19T00:00:00"/>
    <n v="7108"/>
    <x v="1080"/>
    <n v="2827"/>
    <n v="9577"/>
    <n v="0"/>
  </r>
  <r>
    <x v="8"/>
    <x v="2"/>
    <s v="Сахар песок фас.5кг :1"/>
    <n v="165.05"/>
    <d v="2012-06-20T00:00:00"/>
    <n v="9577"/>
    <x v="1081"/>
    <n v="3454"/>
    <n v="9935"/>
    <n v="0"/>
  </r>
  <r>
    <x v="8"/>
    <x v="2"/>
    <s v="Сахар песок фас.5кг :1"/>
    <n v="165.05"/>
    <d v="2012-06-21T00:00:00"/>
    <n v="9935"/>
    <x v="1082"/>
    <n v="3271"/>
    <n v="12199"/>
    <n v="1"/>
  </r>
  <r>
    <x v="8"/>
    <x v="2"/>
    <s v="Сахар песок фас.5кг :1"/>
    <n v="165.05"/>
    <d v="2012-06-22T00:00:00"/>
    <n v="12199"/>
    <x v="1083"/>
    <n v="3564"/>
    <n v="11968"/>
    <n v="0"/>
  </r>
  <r>
    <x v="8"/>
    <x v="2"/>
    <s v="Сахар песок фас.5кг :1"/>
    <n v="165.05"/>
    <d v="2012-06-23T00:00:00"/>
    <n v="11968"/>
    <x v="1084"/>
    <n v="3791"/>
    <n v="8874"/>
    <n v="0"/>
  </r>
  <r>
    <x v="8"/>
    <x v="2"/>
    <s v="Сахар песок фас.5кг :1"/>
    <n v="165.05"/>
    <d v="2012-06-24T00:00:00"/>
    <n v="8874"/>
    <x v="1085"/>
    <n v="3586"/>
    <n v="8530"/>
    <n v="1"/>
  </r>
  <r>
    <x v="8"/>
    <x v="2"/>
    <s v="Сахар песок фас.5кг :1"/>
    <n v="165.05"/>
    <d v="2012-06-25T00:00:00"/>
    <n v="8530"/>
    <x v="117"/>
    <n v="3158"/>
    <n v="9645"/>
    <n v="0"/>
  </r>
  <r>
    <x v="8"/>
    <x v="2"/>
    <s v="Сахар песок фас.5кг :1"/>
    <n v="165.05"/>
    <d v="2012-06-26T00:00:00"/>
    <n v="9645"/>
    <x v="1086"/>
    <n v="2708"/>
    <n v="7160"/>
    <n v="0"/>
  </r>
  <r>
    <x v="8"/>
    <x v="2"/>
    <s v="Сахар песок фас.5кг :1"/>
    <n v="165.05"/>
    <d v="2012-06-27T00:00:00"/>
    <n v="7160"/>
    <x v="1087"/>
    <n v="2400"/>
    <n v="11554"/>
    <n v="0"/>
  </r>
  <r>
    <x v="8"/>
    <x v="2"/>
    <s v="Сахар песок фас.5кг :1"/>
    <n v="165.05"/>
    <d v="2012-06-28T00:00:00"/>
    <n v="11554"/>
    <x v="1088"/>
    <n v="2538"/>
    <n v="16761"/>
    <n v="0"/>
  </r>
  <r>
    <x v="8"/>
    <x v="2"/>
    <s v="Сахар песок фас.5кг :1"/>
    <n v="165.05"/>
    <d v="2012-06-29T00:00:00"/>
    <n v="16761"/>
    <x v="1089"/>
    <n v="3188"/>
    <n v="16773"/>
    <n v="0"/>
  </r>
  <r>
    <x v="8"/>
    <x v="2"/>
    <s v="Сахар песок фас.5кг :1"/>
    <n v="165.05"/>
    <d v="2012-06-30T00:00:00"/>
    <n v="16773"/>
    <x v="1090"/>
    <n v="3986"/>
    <n v="14586"/>
    <n v="0"/>
  </r>
  <r>
    <x v="8"/>
    <x v="2"/>
    <s v="Сахар песок фас.5кг :1"/>
    <n v="165.05"/>
    <d v="2012-07-01T00:00:00"/>
    <n v="14586"/>
    <x v="1091"/>
    <n v="3899"/>
    <n v="13455"/>
    <n v="0"/>
  </r>
  <r>
    <x v="8"/>
    <x v="2"/>
    <s v="Сахар песок фас.5кг :1"/>
    <n v="165.05"/>
    <d v="2012-07-02T00:00:00"/>
    <n v="13455"/>
    <x v="832"/>
    <n v="3153"/>
    <n v="13927"/>
    <n v="0"/>
  </r>
  <r>
    <x v="8"/>
    <x v="2"/>
    <s v="Сахар песок фас.5кг :1"/>
    <n v="165.05"/>
    <d v="2012-07-03T00:00:00"/>
    <n v="13927"/>
    <x v="1092"/>
    <n v="3666"/>
    <n v="14147"/>
    <n v="0"/>
  </r>
  <r>
    <x v="8"/>
    <x v="2"/>
    <s v="Сахар песок фас.5кг :1"/>
    <n v="165.05"/>
    <d v="2012-07-04T00:00:00"/>
    <n v="14147"/>
    <x v="1093"/>
    <n v="3431"/>
    <n v="13645"/>
    <n v="0"/>
  </r>
  <r>
    <x v="8"/>
    <x v="2"/>
    <s v="Сахар песок фас.5кг :1"/>
    <n v="165.05"/>
    <d v="2012-07-05T00:00:00"/>
    <n v="13645"/>
    <x v="1094"/>
    <n v="3544"/>
    <n v="14366"/>
    <n v="0"/>
  </r>
  <r>
    <x v="8"/>
    <x v="2"/>
    <s v="Сахар песок фас.5кг :1"/>
    <n v="165.05"/>
    <d v="2012-07-06T00:00:00"/>
    <n v="14366"/>
    <x v="1095"/>
    <n v="3473"/>
    <n v="14824"/>
    <n v="1"/>
  </r>
  <r>
    <x v="8"/>
    <x v="2"/>
    <s v="Сахар песок фас.5кг :1"/>
    <n v="165.05"/>
    <d v="2012-07-07T00:00:00"/>
    <n v="14824"/>
    <x v="1096"/>
    <n v="4229"/>
    <n v="14528"/>
    <n v="0"/>
  </r>
  <r>
    <x v="8"/>
    <x v="2"/>
    <s v="Сахар песок фас.5кг :1"/>
    <n v="165.05"/>
    <d v="2012-07-08T00:00:00"/>
    <n v="14528"/>
    <x v="1097"/>
    <n v="4123"/>
    <n v="14799"/>
    <n v="0"/>
  </r>
  <r>
    <x v="8"/>
    <x v="2"/>
    <s v="Сахар песок фас.5кг :1"/>
    <n v="165.05"/>
    <d v="2012-07-09T00:00:00"/>
    <n v="14799"/>
    <x v="1098"/>
    <n v="3618"/>
    <n v="15324"/>
    <n v="0"/>
  </r>
  <r>
    <x v="8"/>
    <x v="2"/>
    <s v="Сахар песок фас.5кг :1"/>
    <n v="165.05"/>
    <d v="2012-07-10T00:00:00"/>
    <n v="15324"/>
    <x v="1099"/>
    <n v="3670"/>
    <n v="15798"/>
    <n v="0"/>
  </r>
  <r>
    <x v="8"/>
    <x v="2"/>
    <s v="Сахар песок фас.5кг :1"/>
    <n v="165.05"/>
    <d v="2012-07-11T00:00:00"/>
    <n v="15798"/>
    <x v="1100"/>
    <n v="3651"/>
    <n v="16100"/>
    <n v="0"/>
  </r>
  <r>
    <x v="8"/>
    <x v="2"/>
    <s v="Сахар песок фас.5кг :1"/>
    <n v="165.05"/>
    <d v="2012-07-12T00:00:00"/>
    <n v="16100"/>
    <x v="1101"/>
    <n v="3207"/>
    <n v="15747"/>
    <n v="0"/>
  </r>
  <r>
    <x v="8"/>
    <x v="2"/>
    <s v="Сахар песок фас.5кг :1"/>
    <n v="165.05"/>
    <d v="2012-07-13T00:00:00"/>
    <n v="15747"/>
    <x v="1102"/>
    <n v="3133"/>
    <n v="16912"/>
    <n v="0"/>
  </r>
  <r>
    <x v="8"/>
    <x v="2"/>
    <s v="Сахар песок фас.5кг :1"/>
    <n v="165.05"/>
    <d v="2012-07-14T00:00:00"/>
    <n v="16912"/>
    <x v="1103"/>
    <n v="3161"/>
    <n v="16256"/>
    <n v="0"/>
  </r>
  <r>
    <x v="8"/>
    <x v="2"/>
    <s v="Сахар песок фас.5кг :1"/>
    <n v="165.05"/>
    <d v="2012-07-15T00:00:00"/>
    <n v="16256"/>
    <x v="1104"/>
    <n v="3088"/>
    <n v="16851"/>
    <n v="0"/>
  </r>
  <r>
    <x v="8"/>
    <x v="2"/>
    <s v="Сахар песок фас.5кг :1"/>
    <n v="165.05"/>
    <d v="2012-07-16T00:00:00"/>
    <n v="16851"/>
    <x v="1105"/>
    <n v="2475"/>
    <n v="16775"/>
    <n v="2"/>
  </r>
  <r>
    <x v="8"/>
    <x v="2"/>
    <s v="Сахар песок фас.5кг :1"/>
    <n v="165.05"/>
    <d v="2012-07-17T00:00:00"/>
    <n v="16775"/>
    <x v="1106"/>
    <n v="2560"/>
    <n v="16549"/>
    <n v="0"/>
  </r>
  <r>
    <x v="9"/>
    <x v="0"/>
    <s v="Сахар песок фас. 10кг:1"/>
    <n v="317.08"/>
    <d v="2012-06-01T00:00:00"/>
    <n v="4"/>
    <x v="374"/>
    <n v="9"/>
    <n v="223"/>
    <n v="0"/>
  </r>
  <r>
    <x v="9"/>
    <x v="0"/>
    <s v="Сахар песок фас. 10кг:1"/>
    <n v="317.08"/>
    <d v="2012-06-02T00:00:00"/>
    <n v="223"/>
    <x v="383"/>
    <n v="21"/>
    <n v="425"/>
    <n v="0"/>
  </r>
  <r>
    <x v="9"/>
    <x v="0"/>
    <s v="Сахар песок фас. 10кг:1"/>
    <n v="317.08"/>
    <d v="2012-06-03T00:00:00"/>
    <n v="425"/>
    <x v="501"/>
    <n v="47"/>
    <n v="403"/>
    <n v="0"/>
  </r>
  <r>
    <x v="9"/>
    <x v="0"/>
    <s v="Сахар песок фас. 10кг:1"/>
    <n v="317.08"/>
    <d v="2012-06-04T00:00:00"/>
    <n v="403"/>
    <x v="627"/>
    <n v="50"/>
    <n v="356"/>
    <n v="0"/>
  </r>
  <r>
    <x v="9"/>
    <x v="0"/>
    <s v="Сахар песок фас. 10кг:1"/>
    <n v="317.08"/>
    <d v="2012-06-05T00:00:00"/>
    <n v="356"/>
    <x v="645"/>
    <n v="40"/>
    <n v="337"/>
    <n v="0"/>
  </r>
  <r>
    <x v="9"/>
    <x v="0"/>
    <s v="Сахар песок фас. 10кг:1"/>
    <n v="317.08"/>
    <d v="2012-06-06T00:00:00"/>
    <n v="337"/>
    <x v="630"/>
    <n v="45"/>
    <n v="336"/>
    <n v="0"/>
  </r>
  <r>
    <x v="9"/>
    <x v="0"/>
    <s v="Сахар песок фас. 10кг:1"/>
    <n v="317.08"/>
    <d v="2012-06-07T00:00:00"/>
    <n v="336"/>
    <x v="1107"/>
    <n v="42"/>
    <n v="512"/>
    <n v="0"/>
  </r>
  <r>
    <x v="9"/>
    <x v="0"/>
    <s v="Сахар песок фас. 10кг:1"/>
    <n v="317.08"/>
    <d v="2012-06-08T00:00:00"/>
    <n v="512"/>
    <x v="1108"/>
    <n v="32"/>
    <n v="568"/>
    <n v="0"/>
  </r>
  <r>
    <x v="9"/>
    <x v="0"/>
    <s v="Сахар песок фас. 10кг:1"/>
    <n v="317.08"/>
    <d v="2012-06-09T00:00:00"/>
    <n v="568"/>
    <x v="768"/>
    <n v="114"/>
    <n v="482"/>
    <n v="0"/>
  </r>
  <r>
    <x v="9"/>
    <x v="0"/>
    <s v="Сахар песок фас. 10кг:1"/>
    <n v="317.08"/>
    <d v="2012-06-10T00:00:00"/>
    <n v="482"/>
    <x v="760"/>
    <n v="74"/>
    <n v="430"/>
    <n v="0"/>
  </r>
  <r>
    <x v="9"/>
    <x v="0"/>
    <s v="Сахар песок фас. 10кг:1"/>
    <n v="317.08"/>
    <d v="2012-06-11T00:00:00"/>
    <n v="430"/>
    <x v="1109"/>
    <n v="86"/>
    <n v="443"/>
    <n v="0"/>
  </r>
  <r>
    <x v="9"/>
    <x v="0"/>
    <s v="Сахар песок фас. 10кг:1"/>
    <n v="317.08"/>
    <d v="2012-06-12T00:00:00"/>
    <n v="443"/>
    <x v="1110"/>
    <n v="67"/>
    <n v="439"/>
    <n v="0"/>
  </r>
  <r>
    <x v="9"/>
    <x v="0"/>
    <s v="Сахар песок фас. 10кг:1"/>
    <n v="317.08"/>
    <d v="2012-06-13T00:00:00"/>
    <n v="439"/>
    <x v="1111"/>
    <n v="94"/>
    <n v="399"/>
    <n v="0"/>
  </r>
  <r>
    <x v="9"/>
    <x v="0"/>
    <s v="Сахар песок фас. 10кг:1"/>
    <n v="317.08"/>
    <d v="2012-06-14T00:00:00"/>
    <n v="399"/>
    <x v="1112"/>
    <n v="64"/>
    <n v="394"/>
    <n v="0"/>
  </r>
  <r>
    <x v="9"/>
    <x v="0"/>
    <s v="Сахар песок фас. 10кг:1"/>
    <n v="317.08"/>
    <d v="2012-06-15T00:00:00"/>
    <n v="394"/>
    <x v="1113"/>
    <n v="71"/>
    <n v="408"/>
    <n v="0"/>
  </r>
  <r>
    <x v="9"/>
    <x v="0"/>
    <s v="Сахар песок фас. 10кг:1"/>
    <n v="317.08"/>
    <d v="2012-06-16T00:00:00"/>
    <n v="408"/>
    <x v="765"/>
    <n v="70"/>
    <n v="388"/>
    <n v="0"/>
  </r>
  <r>
    <x v="9"/>
    <x v="0"/>
    <s v="Сахар песок фас. 10кг:1"/>
    <n v="317.08"/>
    <d v="2012-06-17T00:00:00"/>
    <n v="388"/>
    <x v="1114"/>
    <n v="84"/>
    <n v="381"/>
    <n v="0"/>
  </r>
  <r>
    <x v="9"/>
    <x v="0"/>
    <s v="Сахар песок фас. 10кг:1"/>
    <n v="317.08"/>
    <d v="2012-06-18T00:00:00"/>
    <n v="381"/>
    <x v="639"/>
    <n v="70"/>
    <n v="365"/>
    <n v="0"/>
  </r>
  <r>
    <x v="9"/>
    <x v="0"/>
    <s v="Сахар песок фас. 10кг:1"/>
    <n v="317.08"/>
    <d v="2012-06-19T00:00:00"/>
    <n v="365"/>
    <x v="1115"/>
    <n v="76"/>
    <n v="417"/>
    <n v="0"/>
  </r>
  <r>
    <x v="9"/>
    <x v="0"/>
    <s v="Сахар песок фас. 10кг:1"/>
    <n v="317.08"/>
    <d v="2012-06-20T00:00:00"/>
    <n v="417"/>
    <x v="748"/>
    <n v="78"/>
    <n v="458"/>
    <n v="0"/>
  </r>
  <r>
    <x v="9"/>
    <x v="0"/>
    <s v="Сахар песок фас. 10кг:1"/>
    <n v="317.08"/>
    <d v="2012-06-21T00:00:00"/>
    <n v="458"/>
    <x v="1116"/>
    <n v="100"/>
    <n v="430"/>
    <n v="0"/>
  </r>
  <r>
    <x v="9"/>
    <x v="0"/>
    <s v="Сахар песок фас. 10кг:1"/>
    <n v="317.08"/>
    <d v="2012-06-22T00:00:00"/>
    <n v="430"/>
    <x v="1117"/>
    <n v="111"/>
    <n v="441"/>
    <n v="0"/>
  </r>
  <r>
    <x v="9"/>
    <x v="0"/>
    <s v="Сахар песок фас. 10кг:1"/>
    <n v="317.08"/>
    <d v="2012-06-23T00:00:00"/>
    <n v="441"/>
    <x v="1118"/>
    <n v="87"/>
    <n v="439"/>
    <n v="0"/>
  </r>
  <r>
    <x v="9"/>
    <x v="0"/>
    <s v="Сахар песок фас. 10кг:1"/>
    <n v="317.08"/>
    <d v="2012-06-24T00:00:00"/>
    <n v="439"/>
    <x v="1108"/>
    <n v="123"/>
    <n v="407"/>
    <n v="0"/>
  </r>
  <r>
    <x v="9"/>
    <x v="0"/>
    <s v="Сахар песок фас. 10кг:1"/>
    <n v="317.08"/>
    <d v="2012-06-25T00:00:00"/>
    <n v="407"/>
    <x v="1119"/>
    <n v="93"/>
    <n v="419"/>
    <n v="0"/>
  </r>
  <r>
    <x v="9"/>
    <x v="0"/>
    <s v="Сахар песок фас. 10кг:1"/>
    <n v="317.08"/>
    <d v="2012-06-26T00:00:00"/>
    <n v="419"/>
    <x v="1120"/>
    <n v="93"/>
    <n v="478"/>
    <n v="0"/>
  </r>
  <r>
    <x v="9"/>
    <x v="0"/>
    <s v="Сахар песок фас. 10кг:1"/>
    <n v="317.08"/>
    <d v="2012-06-27T00:00:00"/>
    <n v="478"/>
    <x v="1121"/>
    <n v="104"/>
    <n v="553"/>
    <n v="0"/>
  </r>
  <r>
    <x v="9"/>
    <x v="0"/>
    <s v="Сахар песок фас. 10кг:1"/>
    <n v="317.08"/>
    <d v="2012-06-28T00:00:00"/>
    <n v="553"/>
    <x v="632"/>
    <n v="152"/>
    <n v="485"/>
    <n v="0"/>
  </r>
  <r>
    <x v="9"/>
    <x v="0"/>
    <s v="Сахар песок фас. 10кг:1"/>
    <n v="317.08"/>
    <d v="2012-06-29T00:00:00"/>
    <n v="485"/>
    <x v="1122"/>
    <n v="144"/>
    <n v="467"/>
    <n v="0"/>
  </r>
  <r>
    <x v="9"/>
    <x v="0"/>
    <s v="Сахар песок фас. 10кг:1"/>
    <n v="317.08"/>
    <d v="2012-06-30T00:00:00"/>
    <n v="467"/>
    <x v="1123"/>
    <n v="157"/>
    <n v="450"/>
    <n v="0"/>
  </r>
  <r>
    <x v="9"/>
    <x v="0"/>
    <s v="Сахар песок фас. 10кг:1"/>
    <n v="317.08"/>
    <d v="2012-07-01T00:00:00"/>
    <n v="450"/>
    <x v="1124"/>
    <n v="165"/>
    <n v="453"/>
    <n v="0"/>
  </r>
  <r>
    <x v="9"/>
    <x v="0"/>
    <s v="Сахар песок фас. 10кг:1"/>
    <n v="317.08"/>
    <d v="2012-07-02T00:00:00"/>
    <n v="453"/>
    <x v="1125"/>
    <n v="205"/>
    <n v="466"/>
    <n v="0"/>
  </r>
  <r>
    <x v="9"/>
    <x v="0"/>
    <s v="Сахар песок фас. 10кг:1"/>
    <n v="317.08"/>
    <d v="2012-07-03T00:00:00"/>
    <n v="466"/>
    <x v="1126"/>
    <n v="186"/>
    <n v="499"/>
    <n v="0"/>
  </r>
  <r>
    <x v="9"/>
    <x v="0"/>
    <s v="Сахар песок фас. 10кг:1"/>
    <n v="317.08"/>
    <d v="2012-07-04T00:00:00"/>
    <n v="499"/>
    <x v="1127"/>
    <n v="202"/>
    <n v="482"/>
    <n v="0"/>
  </r>
  <r>
    <x v="9"/>
    <x v="0"/>
    <s v="Сахар песок фас. 10кг:1"/>
    <n v="317.08"/>
    <d v="2012-07-05T00:00:00"/>
    <n v="482"/>
    <x v="1128"/>
    <n v="130"/>
    <n v="608"/>
    <n v="0"/>
  </r>
  <r>
    <x v="9"/>
    <x v="0"/>
    <s v="Сахар песок фас. 10кг:1"/>
    <n v="317.08"/>
    <d v="2012-07-06T00:00:00"/>
    <n v="608"/>
    <x v="42"/>
    <n v="241"/>
    <n v="655"/>
    <n v="0"/>
  </r>
  <r>
    <x v="9"/>
    <x v="0"/>
    <s v="Сахар песок фас. 10кг:1"/>
    <n v="317.08"/>
    <d v="2012-07-07T00:00:00"/>
    <n v="655"/>
    <x v="1129"/>
    <n v="219"/>
    <n v="704"/>
    <n v="0"/>
  </r>
  <r>
    <x v="9"/>
    <x v="0"/>
    <s v="Сахар песок фас. 10кг:1"/>
    <n v="317.08"/>
    <d v="2012-07-08T00:00:00"/>
    <n v="704"/>
    <x v="1130"/>
    <n v="303"/>
    <n v="528"/>
    <n v="0"/>
  </r>
  <r>
    <x v="9"/>
    <x v="0"/>
    <s v="Сахар песок фас. 10кг:1"/>
    <n v="317.08"/>
    <d v="2012-07-09T00:00:00"/>
    <n v="528"/>
    <x v="1131"/>
    <n v="286"/>
    <n v="412"/>
    <n v="0"/>
  </r>
  <r>
    <x v="9"/>
    <x v="0"/>
    <s v="Сахар песок фас. 10кг:1"/>
    <n v="317.08"/>
    <d v="2012-07-10T00:00:00"/>
    <n v="412"/>
    <x v="1132"/>
    <n v="202"/>
    <n v="349"/>
    <n v="0"/>
  </r>
  <r>
    <x v="9"/>
    <x v="0"/>
    <s v="Сахар песок фас. 10кг:1"/>
    <n v="317.08"/>
    <d v="2012-07-11T00:00:00"/>
    <n v="349"/>
    <x v="1133"/>
    <n v="169"/>
    <n v="636"/>
    <n v="0"/>
  </r>
  <r>
    <x v="9"/>
    <x v="0"/>
    <s v="Сахар песок фас. 10кг:1"/>
    <n v="317.08"/>
    <d v="2012-07-12T00:00:00"/>
    <n v="636"/>
    <x v="933"/>
    <n v="218"/>
    <n v="518"/>
    <n v="0"/>
  </r>
  <r>
    <x v="9"/>
    <x v="0"/>
    <s v="Сахар песок фас. 10кг:1"/>
    <n v="317.08"/>
    <d v="2012-07-13T00:00:00"/>
    <n v="518"/>
    <x v="649"/>
    <n v="209"/>
    <n v="358"/>
    <n v="0"/>
  </r>
  <r>
    <x v="9"/>
    <x v="0"/>
    <s v="Сахар песок фас. 10кг:1"/>
    <n v="317.08"/>
    <d v="2012-07-14T00:00:00"/>
    <n v="358"/>
    <x v="0"/>
    <n v="107"/>
    <n v="252"/>
    <n v="0"/>
  </r>
  <r>
    <x v="9"/>
    <x v="0"/>
    <s v="Сахар песок фас. 10кг:1"/>
    <n v="317.08"/>
    <d v="2012-07-15T00:00:00"/>
    <n v="252"/>
    <x v="1115"/>
    <n v="96"/>
    <n v="281"/>
    <n v="0"/>
  </r>
  <r>
    <x v="9"/>
    <x v="0"/>
    <s v="Сахар песок фас. 10кг:1"/>
    <n v="317.08"/>
    <d v="2012-07-16T00:00:00"/>
    <n v="281"/>
    <x v="0"/>
    <n v="27"/>
    <n v="257"/>
    <n v="0"/>
  </r>
  <r>
    <x v="9"/>
    <x v="0"/>
    <s v="Сахар песок фас. 10кг:1"/>
    <n v="317.08"/>
    <d v="2012-07-17T00:00:00"/>
    <n v="257"/>
    <x v="1134"/>
    <n v="61"/>
    <n v="746"/>
    <n v="0"/>
  </r>
  <r>
    <x v="9"/>
    <x v="1"/>
    <s v="Сахар песок фас.1кг:6"/>
    <n v="33.659999999999997"/>
    <d v="2012-06-01T00:00:00"/>
    <n v="12930"/>
    <x v="1066"/>
    <n v="2296"/>
    <n v="14215"/>
    <n v="0"/>
  </r>
  <r>
    <x v="9"/>
    <x v="1"/>
    <s v="Сахар песок фас.1кг:6"/>
    <n v="33.659999999999997"/>
    <d v="2012-06-02T00:00:00"/>
    <n v="14215"/>
    <x v="1135"/>
    <n v="2160"/>
    <n v="14082"/>
    <n v="0"/>
  </r>
  <r>
    <x v="9"/>
    <x v="1"/>
    <s v="Сахар песок фас.1кг:6"/>
    <n v="33.659999999999997"/>
    <d v="2012-06-03T00:00:00"/>
    <n v="14082"/>
    <x v="1136"/>
    <n v="1924"/>
    <n v="15170"/>
    <n v="0"/>
  </r>
  <r>
    <x v="9"/>
    <x v="1"/>
    <s v="Сахар песок фас.1кг:6"/>
    <n v="33.659999999999997"/>
    <d v="2012-06-04T00:00:00"/>
    <n v="15170"/>
    <x v="1137"/>
    <n v="2191"/>
    <n v="14541"/>
    <n v="0"/>
  </r>
  <r>
    <x v="9"/>
    <x v="1"/>
    <s v="Сахар песок фас.1кг:6"/>
    <n v="33.659999999999997"/>
    <d v="2012-06-05T00:00:00"/>
    <n v="14541"/>
    <x v="1138"/>
    <n v="2124"/>
    <n v="14635"/>
    <n v="0"/>
  </r>
  <r>
    <x v="9"/>
    <x v="1"/>
    <s v="Сахар песок фас.1кг:6"/>
    <n v="33.659999999999997"/>
    <d v="2012-06-06T00:00:00"/>
    <n v="14635"/>
    <x v="1139"/>
    <n v="2215"/>
    <n v="15105"/>
    <n v="0"/>
  </r>
  <r>
    <x v="9"/>
    <x v="1"/>
    <s v="Сахар песок фас.1кг:6"/>
    <n v="33.659999999999997"/>
    <d v="2012-06-07T00:00:00"/>
    <n v="15105"/>
    <x v="1140"/>
    <n v="2392"/>
    <n v="15209"/>
    <n v="0"/>
  </r>
  <r>
    <x v="9"/>
    <x v="1"/>
    <s v="Сахар песок фас.1кг:6"/>
    <n v="33.659999999999997"/>
    <d v="2012-06-08T00:00:00"/>
    <n v="15209"/>
    <x v="1141"/>
    <n v="2260"/>
    <n v="14945"/>
    <n v="0"/>
  </r>
  <r>
    <x v="9"/>
    <x v="1"/>
    <s v="Сахар песок фас.1кг:6"/>
    <n v="33.659999999999997"/>
    <d v="2012-06-09T00:00:00"/>
    <n v="14945"/>
    <x v="199"/>
    <n v="1633"/>
    <n v="15452"/>
    <n v="0"/>
  </r>
  <r>
    <x v="9"/>
    <x v="1"/>
    <s v="Сахар песок фас.1кг:6"/>
    <n v="33.659999999999997"/>
    <d v="2012-06-10T00:00:00"/>
    <n v="15452"/>
    <x v="252"/>
    <n v="1406"/>
    <n v="14955"/>
    <n v="0"/>
  </r>
  <r>
    <x v="9"/>
    <x v="1"/>
    <s v="Сахар песок фас.1кг:6"/>
    <n v="33.659999999999997"/>
    <d v="2012-06-11T00:00:00"/>
    <n v="14955"/>
    <x v="1142"/>
    <n v="1265"/>
    <n v="14977"/>
    <n v="0"/>
  </r>
  <r>
    <x v="9"/>
    <x v="1"/>
    <s v="Сахар песок фас.1кг:6"/>
    <n v="33.659999999999997"/>
    <d v="2012-06-12T00:00:00"/>
    <n v="14977"/>
    <x v="1143"/>
    <n v="1189"/>
    <n v="15584"/>
    <n v="0"/>
  </r>
  <r>
    <x v="9"/>
    <x v="1"/>
    <s v="Сахар песок фас.1кг:6"/>
    <n v="33.659999999999997"/>
    <d v="2012-06-13T00:00:00"/>
    <n v="15584"/>
    <x v="1144"/>
    <n v="1430"/>
    <n v="16451"/>
    <n v="0"/>
  </r>
  <r>
    <x v="9"/>
    <x v="1"/>
    <s v="Сахар песок фас.1кг:6"/>
    <n v="33.659999999999997"/>
    <d v="2012-06-14T00:00:00"/>
    <n v="16451"/>
    <x v="1145"/>
    <n v="1297"/>
    <n v="16393"/>
    <n v="0"/>
  </r>
  <r>
    <x v="9"/>
    <x v="1"/>
    <s v="Сахар песок фас.1кг:6"/>
    <n v="33.659999999999997"/>
    <d v="2012-06-15T00:00:00"/>
    <n v="16393"/>
    <x v="1146"/>
    <n v="1361"/>
    <n v="16588"/>
    <n v="0"/>
  </r>
  <r>
    <x v="9"/>
    <x v="1"/>
    <s v="Сахар песок фас.1кг:6"/>
    <n v="33.659999999999997"/>
    <d v="2012-06-16T00:00:00"/>
    <n v="16588"/>
    <x v="1147"/>
    <n v="1461"/>
    <n v="16091"/>
    <n v="0"/>
  </r>
  <r>
    <x v="9"/>
    <x v="1"/>
    <s v="Сахар песок фас.1кг:6"/>
    <n v="33.659999999999997"/>
    <d v="2012-06-17T00:00:00"/>
    <n v="16091"/>
    <x v="594"/>
    <n v="2061"/>
    <n v="15398"/>
    <n v="0"/>
  </r>
  <r>
    <x v="9"/>
    <x v="1"/>
    <s v="Сахар песок фас.1кг:6"/>
    <n v="33.659999999999997"/>
    <d v="2012-06-18T00:00:00"/>
    <n v="15398"/>
    <x v="1148"/>
    <n v="2153"/>
    <n v="14953"/>
    <n v="0"/>
  </r>
  <r>
    <x v="9"/>
    <x v="1"/>
    <s v="Сахар песок фас.1кг:6"/>
    <n v="33.659999999999997"/>
    <d v="2012-06-19T00:00:00"/>
    <n v="14953"/>
    <x v="1149"/>
    <n v="2428"/>
    <n v="14540"/>
    <n v="0"/>
  </r>
  <r>
    <x v="9"/>
    <x v="1"/>
    <s v="Сахар песок фас.1кг:6"/>
    <n v="33.659999999999997"/>
    <d v="2012-06-20T00:00:00"/>
    <n v="14540"/>
    <x v="1150"/>
    <n v="2738"/>
    <n v="13849"/>
    <n v="0"/>
  </r>
  <r>
    <x v="9"/>
    <x v="1"/>
    <s v="Сахар песок фас.1кг:6"/>
    <n v="33.659999999999997"/>
    <d v="2012-06-21T00:00:00"/>
    <n v="13849"/>
    <x v="1151"/>
    <n v="2696"/>
    <n v="13976"/>
    <n v="0"/>
  </r>
  <r>
    <x v="9"/>
    <x v="1"/>
    <s v="Сахар песок фас.1кг:6"/>
    <n v="33.659999999999997"/>
    <d v="2012-06-22T00:00:00"/>
    <n v="13976"/>
    <x v="1152"/>
    <n v="2257"/>
    <n v="15880"/>
    <n v="0"/>
  </r>
  <r>
    <x v="9"/>
    <x v="1"/>
    <s v="Сахар песок фас.1кг:6"/>
    <n v="33.659999999999997"/>
    <d v="2012-06-23T00:00:00"/>
    <n v="15880"/>
    <x v="1153"/>
    <n v="2191"/>
    <n v="17136"/>
    <n v="0"/>
  </r>
  <r>
    <x v="9"/>
    <x v="1"/>
    <s v="Сахар песок фас.1кг:6"/>
    <n v="33.659999999999997"/>
    <d v="2012-06-24T00:00:00"/>
    <n v="17136"/>
    <x v="1154"/>
    <n v="2533"/>
    <n v="16631"/>
    <n v="0"/>
  </r>
  <r>
    <x v="9"/>
    <x v="1"/>
    <s v="Сахар песок фас.1кг:6"/>
    <n v="33.659999999999997"/>
    <d v="2012-06-25T00:00:00"/>
    <n v="16631"/>
    <x v="1155"/>
    <n v="3206"/>
    <n v="15018"/>
    <n v="0"/>
  </r>
  <r>
    <x v="9"/>
    <x v="1"/>
    <s v="Сахар песок фас.1кг:6"/>
    <n v="33.659999999999997"/>
    <d v="2012-06-26T00:00:00"/>
    <n v="15018"/>
    <x v="1156"/>
    <n v="2902"/>
    <n v="14261"/>
    <n v="0"/>
  </r>
  <r>
    <x v="9"/>
    <x v="1"/>
    <s v="Сахар песок фас.1кг:6"/>
    <n v="33.659999999999997"/>
    <d v="2012-06-27T00:00:00"/>
    <n v="14261"/>
    <x v="1157"/>
    <n v="3358"/>
    <n v="16272"/>
    <n v="0"/>
  </r>
  <r>
    <x v="9"/>
    <x v="1"/>
    <s v="Сахар песок фас.1кг:6"/>
    <n v="33.659999999999997"/>
    <d v="2012-06-28T00:00:00"/>
    <n v="16272"/>
    <x v="1158"/>
    <n v="3213"/>
    <n v="16542"/>
    <n v="0"/>
  </r>
  <r>
    <x v="9"/>
    <x v="1"/>
    <s v="Сахар песок фас.1кг:6"/>
    <n v="33.659999999999997"/>
    <d v="2012-06-29T00:00:00"/>
    <n v="16542"/>
    <x v="1159"/>
    <n v="3401"/>
    <n v="16898"/>
    <n v="0"/>
  </r>
  <r>
    <x v="9"/>
    <x v="1"/>
    <s v="Сахар песок фас.1кг:6"/>
    <n v="33.659999999999997"/>
    <d v="2012-06-30T00:00:00"/>
    <n v="16898"/>
    <x v="1160"/>
    <n v="3307"/>
    <n v="18161"/>
    <n v="0"/>
  </r>
  <r>
    <x v="9"/>
    <x v="1"/>
    <s v="Сахар песок фас.1кг:6"/>
    <n v="33.659999999999997"/>
    <d v="2012-07-01T00:00:00"/>
    <n v="18161"/>
    <x v="1161"/>
    <n v="4791"/>
    <n v="17662"/>
    <n v="0"/>
  </r>
  <r>
    <x v="9"/>
    <x v="1"/>
    <s v="Сахар песок фас.1кг:6"/>
    <n v="33.659999999999997"/>
    <d v="2012-07-02T00:00:00"/>
    <n v="17662"/>
    <x v="1162"/>
    <n v="5399"/>
    <n v="16348"/>
    <n v="0"/>
  </r>
  <r>
    <x v="9"/>
    <x v="1"/>
    <s v="Сахар песок фас.1кг:6"/>
    <n v="33.659999999999997"/>
    <d v="2012-07-03T00:00:00"/>
    <n v="16348"/>
    <x v="1163"/>
    <n v="4955"/>
    <n v="17190"/>
    <n v="0"/>
  </r>
  <r>
    <x v="9"/>
    <x v="1"/>
    <s v="Сахар песок фас.1кг:6"/>
    <n v="33.659999999999997"/>
    <d v="2012-07-04T00:00:00"/>
    <n v="17190"/>
    <x v="1164"/>
    <n v="4735"/>
    <n v="20121"/>
    <n v="0"/>
  </r>
  <r>
    <x v="9"/>
    <x v="1"/>
    <s v="Сахар песок фас.1кг:6"/>
    <n v="33.659999999999997"/>
    <d v="2012-07-05T00:00:00"/>
    <n v="20121"/>
    <x v="1165"/>
    <n v="4923"/>
    <n v="24207"/>
    <n v="0"/>
  </r>
  <r>
    <x v="9"/>
    <x v="1"/>
    <s v="Сахар песок фас.1кг:6"/>
    <n v="33.659999999999997"/>
    <d v="2012-07-06T00:00:00"/>
    <n v="24207"/>
    <x v="1166"/>
    <n v="5154"/>
    <n v="23154"/>
    <n v="0"/>
  </r>
  <r>
    <x v="9"/>
    <x v="1"/>
    <s v="Сахар песок фас.1кг:6"/>
    <n v="33.659999999999997"/>
    <d v="2012-07-07T00:00:00"/>
    <n v="23154"/>
    <x v="1167"/>
    <n v="4575"/>
    <n v="20838"/>
    <n v="0"/>
  </r>
  <r>
    <x v="9"/>
    <x v="1"/>
    <s v="Сахар песок фас.1кг:6"/>
    <n v="33.659999999999997"/>
    <d v="2012-07-08T00:00:00"/>
    <n v="20838"/>
    <x v="653"/>
    <n v="4936"/>
    <n v="15925"/>
    <n v="0"/>
  </r>
  <r>
    <x v="9"/>
    <x v="1"/>
    <s v="Сахар песок фас.1кг:6"/>
    <n v="33.659999999999997"/>
    <d v="2012-07-09T00:00:00"/>
    <n v="15925"/>
    <x v="1131"/>
    <n v="4690"/>
    <n v="11433"/>
    <n v="0"/>
  </r>
  <r>
    <x v="9"/>
    <x v="1"/>
    <s v="Сахар песок фас.1кг:6"/>
    <n v="33.659999999999997"/>
    <d v="2012-07-10T00:00:00"/>
    <n v="11433"/>
    <x v="1168"/>
    <n v="3558"/>
    <n v="20688"/>
    <n v="0"/>
  </r>
  <r>
    <x v="9"/>
    <x v="1"/>
    <s v="Сахар песок фас.1кг:6"/>
    <n v="33.659999999999997"/>
    <d v="2012-07-11T00:00:00"/>
    <n v="20688"/>
    <x v="1169"/>
    <n v="3233"/>
    <n v="24409"/>
    <n v="0"/>
  </r>
  <r>
    <x v="9"/>
    <x v="1"/>
    <s v="Сахар песок фас.1кг:6"/>
    <n v="33.659999999999997"/>
    <d v="2012-07-12T00:00:00"/>
    <n v="24409"/>
    <x v="762"/>
    <n v="3376"/>
    <n v="21246"/>
    <n v="0"/>
  </r>
  <r>
    <x v="9"/>
    <x v="1"/>
    <s v="Сахар песок фас.1кг:6"/>
    <n v="33.659999999999997"/>
    <d v="2012-07-13T00:00:00"/>
    <n v="21246"/>
    <x v="1170"/>
    <n v="3648"/>
    <n v="19216"/>
    <n v="0"/>
  </r>
  <r>
    <x v="9"/>
    <x v="1"/>
    <s v="Сахар песок фас.1кг:6"/>
    <n v="33.659999999999997"/>
    <d v="2012-07-14T00:00:00"/>
    <n v="19216"/>
    <x v="1171"/>
    <n v="3106"/>
    <n v="21231"/>
    <n v="6"/>
  </r>
  <r>
    <x v="9"/>
    <x v="1"/>
    <s v="Сахар песок фас.1кг:6"/>
    <n v="33.659999999999997"/>
    <d v="2012-07-15T00:00:00"/>
    <n v="21231"/>
    <x v="1172"/>
    <n v="3979"/>
    <n v="32112"/>
    <n v="2"/>
  </r>
  <r>
    <x v="9"/>
    <x v="1"/>
    <s v="Сахар песок фас.1кг:6"/>
    <n v="33.659999999999997"/>
    <d v="2012-07-16T00:00:00"/>
    <n v="32112"/>
    <x v="1173"/>
    <n v="5496"/>
    <n v="27055"/>
    <n v="0"/>
  </r>
  <r>
    <x v="9"/>
    <x v="1"/>
    <s v="Сахар песок фас.1кг:6"/>
    <n v="33.659999999999997"/>
    <d v="2012-07-17T00:00:00"/>
    <n v="27055"/>
    <x v="1174"/>
    <n v="4275"/>
    <n v="26169"/>
    <n v="0"/>
  </r>
  <r>
    <x v="9"/>
    <x v="2"/>
    <s v="Сахар песок фас.5кг :1"/>
    <n v="165.05"/>
    <d v="2012-06-01T00:00:00"/>
    <n v="1089"/>
    <x v="8"/>
    <n v="244"/>
    <n v="1084"/>
    <n v="0"/>
  </r>
  <r>
    <x v="9"/>
    <x v="2"/>
    <s v="Сахар песок фас.5кг :1"/>
    <n v="165.05"/>
    <d v="2012-06-02T00:00:00"/>
    <n v="1084"/>
    <x v="374"/>
    <n v="139"/>
    <n v="1172"/>
    <n v="0"/>
  </r>
  <r>
    <x v="9"/>
    <x v="2"/>
    <s v="Сахар песок фас.5кг :1"/>
    <n v="165.05"/>
    <d v="2012-06-03T00:00:00"/>
    <n v="1172"/>
    <x v="1175"/>
    <n v="131"/>
    <n v="1331"/>
    <n v="0"/>
  </r>
  <r>
    <x v="9"/>
    <x v="2"/>
    <s v="Сахар песок фас.5кг :1"/>
    <n v="165.05"/>
    <d v="2012-06-04T00:00:00"/>
    <n v="1331"/>
    <x v="1176"/>
    <n v="141"/>
    <n v="1311"/>
    <n v="0"/>
  </r>
  <r>
    <x v="9"/>
    <x v="2"/>
    <s v="Сахар песок фас.5кг :1"/>
    <n v="165.05"/>
    <d v="2012-06-05T00:00:00"/>
    <n v="1311"/>
    <x v="1177"/>
    <n v="184"/>
    <n v="1200"/>
    <n v="0"/>
  </r>
  <r>
    <x v="9"/>
    <x v="2"/>
    <s v="Сахар песок фас.5кг :1"/>
    <n v="165.05"/>
    <d v="2012-06-06T00:00:00"/>
    <n v="1200"/>
    <x v="984"/>
    <n v="192"/>
    <n v="1078"/>
    <n v="0"/>
  </r>
  <r>
    <x v="9"/>
    <x v="2"/>
    <s v="Сахар песок фас.5кг :1"/>
    <n v="165.05"/>
    <d v="2012-06-07T00:00:00"/>
    <n v="1078"/>
    <x v="643"/>
    <n v="177"/>
    <n v="914"/>
    <n v="0"/>
  </r>
  <r>
    <x v="9"/>
    <x v="2"/>
    <s v="Сахар песок фас.5кг :1"/>
    <n v="165.05"/>
    <d v="2012-06-08T00:00:00"/>
    <n v="914"/>
    <x v="1178"/>
    <n v="148"/>
    <n v="944"/>
    <n v="0"/>
  </r>
  <r>
    <x v="9"/>
    <x v="2"/>
    <s v="Сахар песок фас.5кг :1"/>
    <n v="165.05"/>
    <d v="2012-06-09T00:00:00"/>
    <n v="944"/>
    <x v="1179"/>
    <n v="108"/>
    <n v="1079"/>
    <n v="0"/>
  </r>
  <r>
    <x v="9"/>
    <x v="2"/>
    <s v="Сахар песок фас.5кг :1"/>
    <n v="165.05"/>
    <d v="2012-06-10T00:00:00"/>
    <n v="1079"/>
    <x v="762"/>
    <n v="96"/>
    <n v="1156"/>
    <n v="0"/>
  </r>
  <r>
    <x v="9"/>
    <x v="2"/>
    <s v="Сахар песок фас.5кг :1"/>
    <n v="165.05"/>
    <d v="2012-06-11T00:00:00"/>
    <n v="1156"/>
    <x v="1180"/>
    <n v="140"/>
    <n v="1199"/>
    <n v="0"/>
  </r>
  <r>
    <x v="9"/>
    <x v="2"/>
    <s v="Сахар песок фас.5кг :1"/>
    <n v="165.05"/>
    <d v="2012-06-12T00:00:00"/>
    <n v="1199"/>
    <x v="755"/>
    <n v="113"/>
    <n v="1163"/>
    <n v="0"/>
  </r>
  <r>
    <x v="9"/>
    <x v="2"/>
    <s v="Сахар песок фас.5кг :1"/>
    <n v="165.05"/>
    <d v="2012-06-13T00:00:00"/>
    <n v="1163"/>
    <x v="1117"/>
    <n v="142"/>
    <n v="1105"/>
    <n v="0"/>
  </r>
  <r>
    <x v="9"/>
    <x v="2"/>
    <s v="Сахар песок фас.5кг :1"/>
    <n v="165.05"/>
    <d v="2012-06-14T00:00:00"/>
    <n v="1105"/>
    <x v="1181"/>
    <n v="162"/>
    <n v="1103"/>
    <n v="0"/>
  </r>
  <r>
    <x v="9"/>
    <x v="2"/>
    <s v="Сахар песок фас.5кг :1"/>
    <n v="165.05"/>
    <d v="2012-06-15T00:00:00"/>
    <n v="1103"/>
    <x v="1180"/>
    <n v="181"/>
    <n v="1113"/>
    <n v="0"/>
  </r>
  <r>
    <x v="9"/>
    <x v="2"/>
    <s v="Сахар песок фас.5кг :1"/>
    <n v="165.05"/>
    <d v="2012-06-16T00:00:00"/>
    <n v="1113"/>
    <x v="1182"/>
    <n v="176"/>
    <n v="1079"/>
    <n v="0"/>
  </r>
  <r>
    <x v="9"/>
    <x v="2"/>
    <s v="Сахар песок фас.5кг :1"/>
    <n v="165.05"/>
    <d v="2012-06-17T00:00:00"/>
    <n v="1079"/>
    <x v="1183"/>
    <n v="172"/>
    <n v="1053"/>
    <n v="0"/>
  </r>
  <r>
    <x v="9"/>
    <x v="2"/>
    <s v="Сахар песок фас.5кг :1"/>
    <n v="165.05"/>
    <d v="2012-06-18T00:00:00"/>
    <n v="1053"/>
    <x v="1184"/>
    <n v="235"/>
    <n v="1019"/>
    <n v="0"/>
  </r>
  <r>
    <x v="9"/>
    <x v="2"/>
    <s v="Сахар песок фас.5кг :1"/>
    <n v="165.05"/>
    <d v="2012-06-19T00:00:00"/>
    <n v="1019"/>
    <x v="1185"/>
    <n v="177"/>
    <n v="1018"/>
    <n v="0"/>
  </r>
  <r>
    <x v="9"/>
    <x v="2"/>
    <s v="Сахар песок фас.5кг :1"/>
    <n v="165.05"/>
    <d v="2012-06-20T00:00:00"/>
    <n v="1018"/>
    <x v="26"/>
    <n v="290"/>
    <n v="1060"/>
    <n v="0"/>
  </r>
  <r>
    <x v="9"/>
    <x v="2"/>
    <s v="Сахар песок фас.5кг :1"/>
    <n v="165.05"/>
    <d v="2012-06-21T00:00:00"/>
    <n v="1060"/>
    <x v="1186"/>
    <n v="203"/>
    <n v="995"/>
    <n v="0"/>
  </r>
  <r>
    <x v="9"/>
    <x v="2"/>
    <s v="Сахар песок фас.5кг :1"/>
    <n v="165.05"/>
    <d v="2012-06-22T00:00:00"/>
    <n v="995"/>
    <x v="1173"/>
    <n v="285"/>
    <n v="1133"/>
    <n v="0"/>
  </r>
  <r>
    <x v="9"/>
    <x v="2"/>
    <s v="Сахар песок фас.5кг :1"/>
    <n v="165.05"/>
    <d v="2012-06-23T00:00:00"/>
    <n v="1133"/>
    <x v="1187"/>
    <n v="264"/>
    <n v="988"/>
    <n v="0"/>
  </r>
  <r>
    <x v="9"/>
    <x v="2"/>
    <s v="Сахар песок фас.5кг :1"/>
    <n v="165.05"/>
    <d v="2012-06-24T00:00:00"/>
    <n v="988"/>
    <x v="1188"/>
    <n v="271"/>
    <n v="1102"/>
    <n v="0"/>
  </r>
  <r>
    <x v="9"/>
    <x v="2"/>
    <s v="Сахар песок фас.5кг :1"/>
    <n v="165.05"/>
    <d v="2012-06-25T00:00:00"/>
    <n v="1102"/>
    <x v="1189"/>
    <n v="324"/>
    <n v="1104"/>
    <n v="0"/>
  </r>
  <r>
    <x v="9"/>
    <x v="2"/>
    <s v="Сахар песок фас.5кг :1"/>
    <n v="165.05"/>
    <d v="2012-06-26T00:00:00"/>
    <n v="1104"/>
    <x v="1190"/>
    <n v="249"/>
    <n v="1202"/>
    <n v="0"/>
  </r>
  <r>
    <x v="9"/>
    <x v="2"/>
    <s v="Сахар песок фас.5кг :1"/>
    <n v="165.05"/>
    <d v="2012-06-27T00:00:00"/>
    <n v="1202"/>
    <x v="1191"/>
    <n v="257"/>
    <n v="1285"/>
    <n v="0"/>
  </r>
  <r>
    <x v="9"/>
    <x v="2"/>
    <s v="Сахар песок фас.5кг :1"/>
    <n v="165.05"/>
    <d v="2012-06-28T00:00:00"/>
    <n v="1285"/>
    <x v="1192"/>
    <n v="347"/>
    <n v="1456"/>
    <n v="0"/>
  </r>
  <r>
    <x v="9"/>
    <x v="2"/>
    <s v="Сахар песок фас.5кг :1"/>
    <n v="165.05"/>
    <d v="2012-06-29T00:00:00"/>
    <n v="1456"/>
    <x v="1193"/>
    <n v="364"/>
    <n v="1353"/>
    <n v="0"/>
  </r>
  <r>
    <x v="9"/>
    <x v="2"/>
    <s v="Сахар песок фас.5кг :1"/>
    <n v="165.05"/>
    <d v="2012-06-30T00:00:00"/>
    <n v="1353"/>
    <x v="1194"/>
    <n v="460"/>
    <n v="1372"/>
    <n v="0"/>
  </r>
  <r>
    <x v="9"/>
    <x v="2"/>
    <s v="Сахар песок фас.5кг :1"/>
    <n v="165.05"/>
    <d v="2012-07-01T00:00:00"/>
    <n v="1372"/>
    <x v="1195"/>
    <n v="444"/>
    <n v="1221"/>
    <n v="0"/>
  </r>
  <r>
    <x v="9"/>
    <x v="2"/>
    <s v="Сахар песок фас.5кг :1"/>
    <n v="165.05"/>
    <d v="2012-07-02T00:00:00"/>
    <n v="1221"/>
    <x v="1196"/>
    <n v="588"/>
    <n v="1017"/>
    <n v="0"/>
  </r>
  <r>
    <x v="9"/>
    <x v="2"/>
    <s v="Сахар песок фас.5кг :1"/>
    <n v="165.05"/>
    <d v="2012-07-03T00:00:00"/>
    <n v="1017"/>
    <x v="1197"/>
    <n v="406"/>
    <n v="894"/>
    <n v="0"/>
  </r>
  <r>
    <x v="9"/>
    <x v="2"/>
    <s v="Сахар песок фас.5кг :1"/>
    <n v="165.05"/>
    <d v="2012-07-04T00:00:00"/>
    <n v="894"/>
    <x v="1147"/>
    <n v="428"/>
    <n v="1438"/>
    <n v="0"/>
  </r>
  <r>
    <x v="9"/>
    <x v="2"/>
    <s v="Сахар песок фас.5кг :1"/>
    <n v="165.05"/>
    <d v="2012-07-05T00:00:00"/>
    <n v="1438"/>
    <x v="1198"/>
    <n v="480"/>
    <n v="1508"/>
    <n v="0"/>
  </r>
  <r>
    <x v="9"/>
    <x v="2"/>
    <s v="Сахар песок фас.5кг :1"/>
    <n v="165.05"/>
    <d v="2012-07-06T00:00:00"/>
    <n v="1508"/>
    <x v="1199"/>
    <n v="523"/>
    <n v="1957"/>
    <n v="0"/>
  </r>
  <r>
    <x v="9"/>
    <x v="2"/>
    <s v="Сахар песок фас.5кг :1"/>
    <n v="165.05"/>
    <d v="2012-07-07T00:00:00"/>
    <n v="1957"/>
    <x v="1200"/>
    <n v="603"/>
    <n v="2019"/>
    <n v="0"/>
  </r>
  <r>
    <x v="9"/>
    <x v="2"/>
    <s v="Сахар песок фас.5кг :1"/>
    <n v="165.05"/>
    <d v="2012-07-08T00:00:00"/>
    <n v="2019"/>
    <x v="1201"/>
    <n v="659"/>
    <n v="1841"/>
    <n v="0"/>
  </r>
  <r>
    <x v="9"/>
    <x v="2"/>
    <s v="Сахар песок фас.5кг :1"/>
    <n v="165.05"/>
    <d v="2012-07-09T00:00:00"/>
    <n v="1841"/>
    <x v="1202"/>
    <n v="577"/>
    <n v="1567"/>
    <n v="0"/>
  </r>
  <r>
    <x v="9"/>
    <x v="2"/>
    <s v="Сахар песок фас.5кг :1"/>
    <n v="165.05"/>
    <d v="2012-07-10T00:00:00"/>
    <n v="1567"/>
    <x v="1203"/>
    <n v="641"/>
    <n v="2394"/>
    <n v="0"/>
  </r>
  <r>
    <x v="9"/>
    <x v="2"/>
    <s v="Сахар песок фас.5кг :1"/>
    <n v="165.05"/>
    <d v="2012-07-11T00:00:00"/>
    <n v="2394"/>
    <x v="1204"/>
    <n v="764"/>
    <n v="2015"/>
    <n v="0"/>
  </r>
  <r>
    <x v="9"/>
    <x v="2"/>
    <s v="Сахар песок фас.5кг :1"/>
    <n v="165.05"/>
    <d v="2012-07-12T00:00:00"/>
    <n v="2015"/>
    <x v="1205"/>
    <n v="607"/>
    <n v="2294"/>
    <n v="0"/>
  </r>
  <r>
    <x v="9"/>
    <x v="2"/>
    <s v="Сахар песок фас.5кг :1"/>
    <n v="165.05"/>
    <d v="2012-07-13T00:00:00"/>
    <n v="2294"/>
    <x v="255"/>
    <n v="571"/>
    <n v="2747"/>
    <n v="0"/>
  </r>
  <r>
    <x v="9"/>
    <x v="2"/>
    <s v="Сахар песок фас.5кг :1"/>
    <n v="165.05"/>
    <d v="2012-07-14T00:00:00"/>
    <n v="2747"/>
    <x v="1206"/>
    <n v="695"/>
    <n v="3226"/>
    <n v="0"/>
  </r>
  <r>
    <x v="9"/>
    <x v="2"/>
    <s v="Сахар песок фас.5кг :1"/>
    <n v="165.05"/>
    <d v="2012-07-15T00:00:00"/>
    <n v="3226"/>
    <x v="1184"/>
    <n v="649"/>
    <n v="2776"/>
    <n v="0"/>
  </r>
  <r>
    <x v="9"/>
    <x v="2"/>
    <s v="Сахар песок фас.5кг :1"/>
    <n v="165.05"/>
    <d v="2012-07-16T00:00:00"/>
    <n v="2776"/>
    <x v="20"/>
    <n v="752"/>
    <n v="2827"/>
    <n v="0"/>
  </r>
  <r>
    <x v="9"/>
    <x v="2"/>
    <s v="Сахар песок фас.5кг :1"/>
    <n v="165.05"/>
    <d v="2012-07-17T00:00:00"/>
    <n v="2827"/>
    <x v="1207"/>
    <n v="625"/>
    <n v="2764"/>
    <n v="0"/>
  </r>
  <r>
    <x v="10"/>
    <x v="0"/>
    <s v="Сахар песок фас. 10кг:1"/>
    <n v="317.08"/>
    <d v="2012-06-01T00:00:00"/>
    <n v="6"/>
    <x v="0"/>
    <n v="0"/>
    <n v="6"/>
    <n v="0"/>
  </r>
  <r>
    <x v="10"/>
    <x v="0"/>
    <s v="Сахар песок фас. 10кг:1"/>
    <n v="317.08"/>
    <d v="2012-06-02T00:00:00"/>
    <n v="6"/>
    <x v="0"/>
    <n v="0"/>
    <n v="6"/>
    <n v="0"/>
  </r>
  <r>
    <x v="10"/>
    <x v="0"/>
    <s v="Сахар песок фас. 10кг:1"/>
    <n v="317.08"/>
    <d v="2012-06-03T00:00:00"/>
    <n v="6"/>
    <x v="1208"/>
    <n v="136"/>
    <n v="2642"/>
    <n v="0"/>
  </r>
  <r>
    <x v="10"/>
    <x v="0"/>
    <s v="Сахар песок фас. 10кг:1"/>
    <n v="317.08"/>
    <d v="2012-06-04T00:00:00"/>
    <n v="2642"/>
    <x v="1209"/>
    <n v="527"/>
    <n v="3277"/>
    <n v="0"/>
  </r>
  <r>
    <x v="10"/>
    <x v="0"/>
    <s v="Сахар песок фас. 10кг:1"/>
    <n v="317.08"/>
    <d v="2012-06-05T00:00:00"/>
    <n v="3277"/>
    <x v="1210"/>
    <n v="669"/>
    <n v="2897"/>
    <n v="0"/>
  </r>
  <r>
    <x v="10"/>
    <x v="0"/>
    <s v="Сахар песок фас. 10кг:1"/>
    <n v="317.08"/>
    <d v="2012-06-06T00:00:00"/>
    <n v="2897"/>
    <x v="1211"/>
    <n v="713"/>
    <n v="2763"/>
    <n v="0"/>
  </r>
  <r>
    <x v="10"/>
    <x v="0"/>
    <s v="Сахар песок фас. 10кг:1"/>
    <n v="317.08"/>
    <d v="2012-06-07T00:00:00"/>
    <n v="2763"/>
    <x v="1205"/>
    <n v="744"/>
    <n v="2897"/>
    <n v="0"/>
  </r>
  <r>
    <x v="10"/>
    <x v="0"/>
    <s v="Сахар песок фас. 10кг:1"/>
    <n v="317.08"/>
    <d v="2012-06-08T00:00:00"/>
    <n v="2897"/>
    <x v="1212"/>
    <n v="1014"/>
    <n v="2901"/>
    <n v="0"/>
  </r>
  <r>
    <x v="10"/>
    <x v="0"/>
    <s v="Сахар песок фас. 10кг:1"/>
    <n v="317.08"/>
    <d v="2012-06-09T00:00:00"/>
    <n v="2901"/>
    <x v="1213"/>
    <n v="1146"/>
    <n v="2602"/>
    <n v="0"/>
  </r>
  <r>
    <x v="10"/>
    <x v="0"/>
    <s v="Сахар песок фас. 10кг:1"/>
    <n v="317.08"/>
    <d v="2012-06-10T00:00:00"/>
    <n v="2602"/>
    <x v="1214"/>
    <n v="930"/>
    <n v="2392"/>
    <n v="0"/>
  </r>
  <r>
    <x v="10"/>
    <x v="0"/>
    <s v="Сахар песок фас. 10кг:1"/>
    <n v="317.08"/>
    <d v="2012-06-11T00:00:00"/>
    <n v="2392"/>
    <x v="516"/>
    <n v="1051"/>
    <n v="2195"/>
    <n v="0"/>
  </r>
  <r>
    <x v="10"/>
    <x v="0"/>
    <s v="Сахар песок фас. 10кг:1"/>
    <n v="317.08"/>
    <d v="2012-06-12T00:00:00"/>
    <n v="2195"/>
    <x v="894"/>
    <n v="992"/>
    <n v="2101"/>
    <n v="0"/>
  </r>
  <r>
    <x v="10"/>
    <x v="0"/>
    <s v="Сахар песок фас. 10кг:1"/>
    <n v="317.08"/>
    <d v="2012-06-13T00:00:00"/>
    <n v="2101"/>
    <x v="1215"/>
    <n v="882"/>
    <n v="2193"/>
    <n v="0"/>
  </r>
  <r>
    <x v="10"/>
    <x v="0"/>
    <s v="Сахар песок фас. 10кг:1"/>
    <n v="317.08"/>
    <d v="2012-06-14T00:00:00"/>
    <n v="2193"/>
    <x v="1216"/>
    <n v="996"/>
    <n v="2143"/>
    <n v="0"/>
  </r>
  <r>
    <x v="10"/>
    <x v="0"/>
    <s v="Сахар песок фас. 10кг:1"/>
    <n v="317.08"/>
    <d v="2012-06-15T00:00:00"/>
    <n v="2143"/>
    <x v="1217"/>
    <n v="969"/>
    <n v="2039"/>
    <n v="0"/>
  </r>
  <r>
    <x v="10"/>
    <x v="0"/>
    <s v="Сахар песок фас. 10кг:1"/>
    <n v="317.08"/>
    <d v="2012-06-16T00:00:00"/>
    <n v="2039"/>
    <x v="1218"/>
    <n v="1064"/>
    <n v="1894"/>
    <n v="0"/>
  </r>
  <r>
    <x v="10"/>
    <x v="0"/>
    <s v="Сахар песок фас. 10кг:1"/>
    <n v="317.08"/>
    <d v="2012-06-17T00:00:00"/>
    <n v="1894"/>
    <x v="1219"/>
    <n v="1157"/>
    <n v="1738"/>
    <n v="0"/>
  </r>
  <r>
    <x v="10"/>
    <x v="0"/>
    <s v="Сахар песок фас. 10кг:1"/>
    <n v="317.08"/>
    <d v="2012-06-18T00:00:00"/>
    <n v="1738"/>
    <x v="1220"/>
    <n v="860"/>
    <n v="1965"/>
    <n v="0"/>
  </r>
  <r>
    <x v="10"/>
    <x v="0"/>
    <s v="Сахар песок фас. 10кг:1"/>
    <n v="317.08"/>
    <d v="2012-06-19T00:00:00"/>
    <n v="1965"/>
    <x v="1221"/>
    <n v="926"/>
    <n v="3284"/>
    <n v="0"/>
  </r>
  <r>
    <x v="10"/>
    <x v="0"/>
    <s v="Сахар песок фас. 10кг:1"/>
    <n v="317.08"/>
    <d v="2012-06-20T00:00:00"/>
    <n v="3284"/>
    <x v="1222"/>
    <n v="1070"/>
    <n v="3694"/>
    <n v="0"/>
  </r>
  <r>
    <x v="10"/>
    <x v="0"/>
    <s v="Сахар песок фас. 10кг:1"/>
    <n v="317.08"/>
    <d v="2012-06-21T00:00:00"/>
    <n v="3694"/>
    <x v="1223"/>
    <n v="1174"/>
    <n v="3816"/>
    <n v="0"/>
  </r>
  <r>
    <x v="10"/>
    <x v="0"/>
    <s v="Сахар песок фас. 10кг:1"/>
    <n v="317.08"/>
    <d v="2012-06-22T00:00:00"/>
    <n v="3816"/>
    <x v="1224"/>
    <n v="1389"/>
    <n v="3927"/>
    <n v="0"/>
  </r>
  <r>
    <x v="10"/>
    <x v="0"/>
    <s v="Сахар песок фас. 10кг:1"/>
    <n v="317.08"/>
    <d v="2012-06-23T00:00:00"/>
    <n v="3927"/>
    <x v="1225"/>
    <n v="1574"/>
    <n v="3974"/>
    <n v="0"/>
  </r>
  <r>
    <x v="10"/>
    <x v="0"/>
    <s v="Сахар песок фас. 10кг:1"/>
    <n v="317.08"/>
    <d v="2012-06-24T00:00:00"/>
    <n v="3974"/>
    <x v="1226"/>
    <n v="1774"/>
    <n v="4103"/>
    <n v="0"/>
  </r>
  <r>
    <x v="10"/>
    <x v="0"/>
    <s v="Сахар песок фас. 10кг:1"/>
    <n v="317.08"/>
    <d v="2012-06-25T00:00:00"/>
    <n v="4103"/>
    <x v="1063"/>
    <n v="1572"/>
    <n v="4584"/>
    <n v="0"/>
  </r>
  <r>
    <x v="10"/>
    <x v="0"/>
    <s v="Сахар песок фас. 10кг:1"/>
    <n v="317.08"/>
    <d v="2012-06-26T00:00:00"/>
    <n v="4584"/>
    <x v="1227"/>
    <n v="1511"/>
    <n v="5044"/>
    <n v="0"/>
  </r>
  <r>
    <x v="10"/>
    <x v="0"/>
    <s v="Сахар песок фас. 10кг:1"/>
    <n v="317.08"/>
    <d v="2012-06-27T00:00:00"/>
    <n v="5044"/>
    <x v="1228"/>
    <n v="1600"/>
    <n v="6106"/>
    <n v="0"/>
  </r>
  <r>
    <x v="10"/>
    <x v="0"/>
    <s v="Сахар песок фас. 10кг:1"/>
    <n v="317.08"/>
    <d v="2012-06-28T00:00:00"/>
    <n v="6106"/>
    <x v="1229"/>
    <n v="1755"/>
    <n v="6472"/>
    <n v="0"/>
  </r>
  <r>
    <x v="10"/>
    <x v="0"/>
    <s v="Сахар песок фас. 10кг:1"/>
    <n v="317.08"/>
    <d v="2012-06-29T00:00:00"/>
    <n v="6472"/>
    <x v="199"/>
    <n v="1962"/>
    <n v="6572"/>
    <n v="1"/>
  </r>
  <r>
    <x v="10"/>
    <x v="0"/>
    <s v="Сахар песок фас. 10кг:1"/>
    <n v="317.08"/>
    <d v="2012-06-30T00:00:00"/>
    <n v="6572"/>
    <x v="1230"/>
    <n v="2784"/>
    <n v="5641"/>
    <n v="0"/>
  </r>
  <r>
    <x v="10"/>
    <x v="0"/>
    <s v="Сахар песок фас. 10кг:1"/>
    <n v="317.08"/>
    <d v="2012-07-01T00:00:00"/>
    <n v="5641"/>
    <x v="1231"/>
    <n v="2694"/>
    <n v="4551"/>
    <n v="0"/>
  </r>
  <r>
    <x v="10"/>
    <x v="0"/>
    <s v="Сахар песок фас. 10кг:1"/>
    <n v="317.08"/>
    <d v="2012-07-02T00:00:00"/>
    <n v="4551"/>
    <x v="0"/>
    <n v="1899"/>
    <n v="2633"/>
    <n v="1"/>
  </r>
  <r>
    <x v="10"/>
    <x v="0"/>
    <s v="Сахар песок фас. 10кг:1"/>
    <n v="317.08"/>
    <d v="2012-07-03T00:00:00"/>
    <n v="2633"/>
    <x v="0"/>
    <n v="902"/>
    <n v="1722"/>
    <n v="0"/>
  </r>
  <r>
    <x v="10"/>
    <x v="0"/>
    <s v="Сахар песок фас. 10кг:1"/>
    <n v="317.08"/>
    <d v="2012-07-04T00:00:00"/>
    <n v="1722"/>
    <x v="1232"/>
    <n v="665"/>
    <n v="2128"/>
    <n v="0"/>
  </r>
  <r>
    <x v="10"/>
    <x v="0"/>
    <s v="Сахар песок фас. 10кг:1"/>
    <n v="317.08"/>
    <d v="2012-07-05T00:00:00"/>
    <n v="2128"/>
    <x v="0"/>
    <n v="515"/>
    <n v="1591"/>
    <n v="0"/>
  </r>
  <r>
    <x v="10"/>
    <x v="0"/>
    <s v="Сахар песок фас. 10кг:1"/>
    <n v="317.08"/>
    <d v="2012-07-06T00:00:00"/>
    <n v="1591"/>
    <x v="0"/>
    <n v="341"/>
    <n v="1247"/>
    <n v="0"/>
  </r>
  <r>
    <x v="10"/>
    <x v="0"/>
    <s v="Сахар песок фас. 10кг:1"/>
    <n v="317.08"/>
    <d v="2012-07-07T00:00:00"/>
    <n v="1247"/>
    <x v="0"/>
    <n v="311"/>
    <n v="918"/>
    <n v="0"/>
  </r>
  <r>
    <x v="10"/>
    <x v="0"/>
    <s v="Сахар песок фас. 10кг:1"/>
    <n v="317.08"/>
    <d v="2012-07-08T00:00:00"/>
    <n v="918"/>
    <x v="1233"/>
    <n v="665"/>
    <n v="3516"/>
    <n v="0"/>
  </r>
  <r>
    <x v="10"/>
    <x v="0"/>
    <s v="Сахар песок фас. 10кг:1"/>
    <n v="317.08"/>
    <d v="2012-07-09T00:00:00"/>
    <n v="3516"/>
    <x v="1234"/>
    <n v="1393"/>
    <n v="5653"/>
    <n v="0"/>
  </r>
  <r>
    <x v="10"/>
    <x v="0"/>
    <s v="Сахар песок фас. 10кг:1"/>
    <n v="317.08"/>
    <d v="2012-07-10T00:00:00"/>
    <n v="5653"/>
    <x v="1235"/>
    <n v="1835"/>
    <n v="8000"/>
    <n v="0"/>
  </r>
  <r>
    <x v="10"/>
    <x v="0"/>
    <s v="Сахар песок фас. 10кг:1"/>
    <n v="317.08"/>
    <d v="2012-07-11T00:00:00"/>
    <n v="8000"/>
    <x v="208"/>
    <n v="2385"/>
    <n v="8822"/>
    <n v="0"/>
  </r>
  <r>
    <x v="10"/>
    <x v="0"/>
    <s v="Сахар песок фас. 10кг:1"/>
    <n v="317.08"/>
    <d v="2012-07-12T00:00:00"/>
    <n v="8822"/>
    <x v="599"/>
    <n v="2048"/>
    <n v="8362"/>
    <n v="0"/>
  </r>
  <r>
    <x v="10"/>
    <x v="0"/>
    <s v="Сахар песок фас. 10кг:1"/>
    <n v="317.08"/>
    <d v="2012-07-13T00:00:00"/>
    <n v="8362"/>
    <x v="1236"/>
    <n v="1423"/>
    <n v="9703"/>
    <n v="0"/>
  </r>
  <r>
    <x v="10"/>
    <x v="0"/>
    <s v="Сахар песок фас. 10кг:1"/>
    <n v="317.08"/>
    <d v="2012-07-14T00:00:00"/>
    <n v="9703"/>
    <x v="1237"/>
    <n v="1640"/>
    <n v="10233"/>
    <n v="0"/>
  </r>
  <r>
    <x v="10"/>
    <x v="0"/>
    <s v="Сахар песок фас. 10кг:1"/>
    <n v="317.08"/>
    <d v="2012-07-15T00:00:00"/>
    <n v="10233"/>
    <x v="1238"/>
    <n v="1838"/>
    <n v="10099"/>
    <n v="0"/>
  </r>
  <r>
    <x v="10"/>
    <x v="0"/>
    <s v="Сахар песок фас. 10кг:1"/>
    <n v="317.08"/>
    <d v="2012-07-16T00:00:00"/>
    <n v="10099"/>
    <x v="1239"/>
    <n v="1544"/>
    <n v="10048"/>
    <n v="0"/>
  </r>
  <r>
    <x v="10"/>
    <x v="0"/>
    <s v="Сахар песок фас. 10кг:1"/>
    <n v="317.08"/>
    <d v="2012-07-17T00:00:00"/>
    <n v="10048"/>
    <x v="259"/>
    <n v="1397"/>
    <n v="10288"/>
    <n v="0"/>
  </r>
  <r>
    <x v="10"/>
    <x v="1"/>
    <s v="Сахар песок фас.1кг:6"/>
    <n v="33.659999999999997"/>
    <d v="2012-06-01T00:00:00"/>
    <n v="75429"/>
    <x v="1240"/>
    <n v="16218"/>
    <n v="75251"/>
    <n v="0"/>
  </r>
  <r>
    <x v="10"/>
    <x v="1"/>
    <s v="Сахар песок фас.1кг:6"/>
    <n v="33.659999999999997"/>
    <d v="2012-06-02T00:00:00"/>
    <n v="75251"/>
    <x v="439"/>
    <n v="15738"/>
    <n v="77146"/>
    <n v="0"/>
  </r>
  <r>
    <x v="10"/>
    <x v="1"/>
    <s v="Сахар песок фас.1кг:6"/>
    <n v="33.659999999999997"/>
    <d v="2012-06-03T00:00:00"/>
    <n v="77146"/>
    <x v="1241"/>
    <n v="16217"/>
    <n v="82311"/>
    <n v="0"/>
  </r>
  <r>
    <x v="10"/>
    <x v="1"/>
    <s v="Сахар песок фас.1кг:6"/>
    <n v="33.659999999999997"/>
    <d v="2012-06-04T00:00:00"/>
    <n v="82311"/>
    <x v="1242"/>
    <n v="17507"/>
    <n v="85249"/>
    <n v="0"/>
  </r>
  <r>
    <x v="10"/>
    <x v="1"/>
    <s v="Сахар песок фас.1кг:6"/>
    <n v="33.659999999999997"/>
    <d v="2012-06-05T00:00:00"/>
    <n v="85249"/>
    <x v="1243"/>
    <n v="16963"/>
    <n v="90127"/>
    <n v="0"/>
  </r>
  <r>
    <x v="10"/>
    <x v="1"/>
    <s v="Сахар песок фас.1кг:6"/>
    <n v="33.659999999999997"/>
    <d v="2012-06-06T00:00:00"/>
    <n v="90127"/>
    <x v="1244"/>
    <n v="16979"/>
    <n v="73745"/>
    <n v="0"/>
  </r>
  <r>
    <x v="10"/>
    <x v="1"/>
    <s v="Сахар песок фас.1кг:6"/>
    <n v="33.659999999999997"/>
    <d v="2012-06-07T00:00:00"/>
    <n v="73745"/>
    <x v="1245"/>
    <n v="18137"/>
    <n v="92870"/>
    <n v="3"/>
  </r>
  <r>
    <x v="10"/>
    <x v="1"/>
    <s v="Сахар песок фас.1кг:6"/>
    <n v="33.659999999999997"/>
    <d v="2012-06-08T00:00:00"/>
    <n v="92870"/>
    <x v="1246"/>
    <n v="20656"/>
    <n v="101801"/>
    <n v="0"/>
  </r>
  <r>
    <x v="10"/>
    <x v="1"/>
    <s v="Сахар песок фас.1кг:6"/>
    <n v="33.659999999999997"/>
    <d v="2012-06-09T00:00:00"/>
    <n v="101801"/>
    <x v="1247"/>
    <n v="18630"/>
    <n v="103244"/>
    <n v="2"/>
  </r>
  <r>
    <x v="10"/>
    <x v="1"/>
    <s v="Сахар песок фас.1кг:6"/>
    <n v="33.659999999999997"/>
    <d v="2012-06-10T00:00:00"/>
    <n v="103244"/>
    <x v="1248"/>
    <n v="17786"/>
    <n v="104225"/>
    <n v="0"/>
  </r>
  <r>
    <x v="10"/>
    <x v="1"/>
    <s v="Сахар песок фас.1кг:6"/>
    <n v="33.659999999999997"/>
    <d v="2012-06-11T00:00:00"/>
    <n v="104225"/>
    <x v="1249"/>
    <n v="18137"/>
    <n v="103153"/>
    <n v="0"/>
  </r>
  <r>
    <x v="10"/>
    <x v="1"/>
    <s v="Сахар песок фас.1кг:6"/>
    <n v="33.659999999999997"/>
    <d v="2012-06-12T00:00:00"/>
    <n v="103153"/>
    <x v="1250"/>
    <n v="17736"/>
    <n v="101104"/>
    <n v="0"/>
  </r>
  <r>
    <x v="10"/>
    <x v="1"/>
    <s v="Сахар песок фас.1кг:6"/>
    <n v="33.659999999999997"/>
    <d v="2012-06-13T00:00:00"/>
    <n v="101104"/>
    <x v="1251"/>
    <n v="18498"/>
    <n v="100588"/>
    <n v="0"/>
  </r>
  <r>
    <x v="10"/>
    <x v="1"/>
    <s v="Сахар песок фас.1кг:6"/>
    <n v="33.659999999999997"/>
    <d v="2012-06-14T00:00:00"/>
    <n v="100588"/>
    <x v="1252"/>
    <n v="19472"/>
    <n v="97795"/>
    <n v="4"/>
  </r>
  <r>
    <x v="10"/>
    <x v="1"/>
    <s v="Сахар песок фас.1кг:6"/>
    <n v="33.659999999999997"/>
    <d v="2012-06-15T00:00:00"/>
    <n v="97795"/>
    <x v="1253"/>
    <n v="21001"/>
    <n v="95097"/>
    <n v="1"/>
  </r>
  <r>
    <x v="10"/>
    <x v="1"/>
    <s v="Сахар песок фас.1кг:6"/>
    <n v="33.659999999999997"/>
    <d v="2012-06-16T00:00:00"/>
    <n v="95097"/>
    <x v="1254"/>
    <n v="21224"/>
    <n v="91802"/>
    <n v="0"/>
  </r>
  <r>
    <x v="10"/>
    <x v="1"/>
    <s v="Сахар песок фас.1кг:6"/>
    <n v="33.659999999999997"/>
    <d v="2012-06-17T00:00:00"/>
    <n v="91802"/>
    <x v="1255"/>
    <n v="22603"/>
    <n v="91190"/>
    <n v="1"/>
  </r>
  <r>
    <x v="10"/>
    <x v="1"/>
    <s v="Сахар песок фас.1кг:6"/>
    <n v="33.659999999999997"/>
    <d v="2012-06-18T00:00:00"/>
    <n v="91190"/>
    <x v="1256"/>
    <n v="22882"/>
    <n v="90470"/>
    <n v="1"/>
  </r>
  <r>
    <x v="10"/>
    <x v="1"/>
    <s v="Сахар песок фас.1кг:6"/>
    <n v="33.659999999999997"/>
    <d v="2012-06-19T00:00:00"/>
    <n v="90470"/>
    <x v="1257"/>
    <n v="22022"/>
    <n v="103127"/>
    <n v="3"/>
  </r>
  <r>
    <x v="10"/>
    <x v="1"/>
    <s v="Сахар песок фас.1кг:6"/>
    <n v="33.659999999999997"/>
    <d v="2012-06-20T00:00:00"/>
    <n v="103127"/>
    <x v="1258"/>
    <n v="22057"/>
    <n v="112130"/>
    <n v="1"/>
  </r>
  <r>
    <x v="10"/>
    <x v="1"/>
    <s v="Сахар песок фас.1кг:6"/>
    <n v="33.659999999999997"/>
    <d v="2012-06-21T00:00:00"/>
    <n v="112130"/>
    <x v="1259"/>
    <n v="22399"/>
    <n v="119024"/>
    <n v="0"/>
  </r>
  <r>
    <x v="10"/>
    <x v="1"/>
    <s v="Сахар песок фас.1кг:6"/>
    <n v="33.659999999999997"/>
    <d v="2012-06-22T00:00:00"/>
    <n v="119024"/>
    <x v="1260"/>
    <n v="19900"/>
    <n v="123517"/>
    <n v="6"/>
  </r>
  <r>
    <x v="10"/>
    <x v="1"/>
    <s v="Сахар песок фас.1кг:6"/>
    <n v="33.659999999999997"/>
    <d v="2012-06-23T00:00:00"/>
    <n v="123517"/>
    <x v="1261"/>
    <n v="19139"/>
    <n v="133527"/>
    <n v="0"/>
  </r>
  <r>
    <x v="10"/>
    <x v="1"/>
    <s v="Сахар песок фас.1кг:6"/>
    <n v="33.659999999999997"/>
    <d v="2012-06-24T00:00:00"/>
    <n v="133527"/>
    <x v="1262"/>
    <n v="19757"/>
    <n v="135921"/>
    <n v="0"/>
  </r>
  <r>
    <x v="10"/>
    <x v="1"/>
    <s v="Сахар песок фас.1кг:6"/>
    <n v="33.659999999999997"/>
    <d v="2012-06-25T00:00:00"/>
    <n v="135921"/>
    <x v="1263"/>
    <n v="19860"/>
    <n v="136049"/>
    <n v="4"/>
  </r>
  <r>
    <x v="10"/>
    <x v="1"/>
    <s v="Сахар песок фас.1кг:6"/>
    <n v="33.659999999999997"/>
    <d v="2012-06-26T00:00:00"/>
    <n v="136049"/>
    <x v="1264"/>
    <n v="17868"/>
    <n v="125869"/>
    <n v="0"/>
  </r>
  <r>
    <x v="10"/>
    <x v="1"/>
    <s v="Сахар песок фас.1кг:6"/>
    <n v="33.659999999999997"/>
    <d v="2012-06-27T00:00:00"/>
    <n v="125869"/>
    <x v="1265"/>
    <n v="18113"/>
    <n v="132070"/>
    <n v="0"/>
  </r>
  <r>
    <x v="10"/>
    <x v="1"/>
    <s v="Сахар песок фас.1кг:6"/>
    <n v="33.659999999999997"/>
    <d v="2012-06-28T00:00:00"/>
    <n v="132070"/>
    <x v="1266"/>
    <n v="18904"/>
    <n v="133727"/>
    <n v="0"/>
  </r>
  <r>
    <x v="10"/>
    <x v="1"/>
    <s v="Сахар песок фас.1кг:6"/>
    <n v="33.659999999999997"/>
    <d v="2012-06-29T00:00:00"/>
    <n v="133727"/>
    <x v="1267"/>
    <n v="21625"/>
    <n v="126922"/>
    <n v="0"/>
  </r>
  <r>
    <x v="10"/>
    <x v="1"/>
    <s v="Сахар песок фас.1кг:6"/>
    <n v="33.659999999999997"/>
    <d v="2012-06-30T00:00:00"/>
    <n v="126922"/>
    <x v="1268"/>
    <n v="24099"/>
    <n v="118223"/>
    <n v="5"/>
  </r>
  <r>
    <x v="10"/>
    <x v="1"/>
    <s v="Сахар песок фас.1кг:6"/>
    <n v="33.659999999999997"/>
    <d v="2012-07-01T00:00:00"/>
    <n v="118223"/>
    <x v="1269"/>
    <n v="30833"/>
    <n v="108963"/>
    <n v="2"/>
  </r>
  <r>
    <x v="10"/>
    <x v="1"/>
    <s v="Сахар песок фас.1кг:6"/>
    <n v="33.659999999999997"/>
    <d v="2012-07-02T00:00:00"/>
    <n v="108963"/>
    <x v="1270"/>
    <n v="34568"/>
    <n v="101650"/>
    <n v="0"/>
  </r>
  <r>
    <x v="10"/>
    <x v="1"/>
    <s v="Сахар песок фас.1кг:6"/>
    <n v="33.659999999999997"/>
    <d v="2012-07-03T00:00:00"/>
    <n v="101650"/>
    <x v="1271"/>
    <n v="30615"/>
    <n v="111005"/>
    <n v="0"/>
  </r>
  <r>
    <x v="10"/>
    <x v="1"/>
    <s v="Сахар песок фас.1кг:6"/>
    <n v="33.659999999999997"/>
    <d v="2012-07-04T00:00:00"/>
    <n v="111005"/>
    <x v="1272"/>
    <n v="29871"/>
    <n v="129998"/>
    <n v="0"/>
  </r>
  <r>
    <x v="10"/>
    <x v="1"/>
    <s v="Сахар песок фас.1кг:6"/>
    <n v="33.659999999999997"/>
    <d v="2012-07-05T00:00:00"/>
    <n v="129998"/>
    <x v="1273"/>
    <n v="29509"/>
    <n v="116121"/>
    <n v="0"/>
  </r>
  <r>
    <x v="10"/>
    <x v="1"/>
    <s v="Сахар песок фас.1кг:6"/>
    <n v="33.659999999999997"/>
    <d v="2012-07-06T00:00:00"/>
    <n v="116121"/>
    <x v="1274"/>
    <n v="30096"/>
    <n v="134584"/>
    <n v="1"/>
  </r>
  <r>
    <x v="10"/>
    <x v="1"/>
    <s v="Сахар песок фас.1кг:6"/>
    <n v="33.659999999999997"/>
    <d v="2012-07-07T00:00:00"/>
    <n v="134584"/>
    <x v="1275"/>
    <n v="32156"/>
    <n v="109056"/>
    <n v="0"/>
  </r>
  <r>
    <x v="10"/>
    <x v="1"/>
    <s v="Сахар песок фас.1кг:6"/>
    <n v="33.659999999999997"/>
    <d v="2012-07-08T00:00:00"/>
    <n v="109056"/>
    <x v="1276"/>
    <n v="32763"/>
    <n v="139261"/>
    <n v="1"/>
  </r>
  <r>
    <x v="10"/>
    <x v="1"/>
    <s v="Сахар песок фас.1кг:6"/>
    <n v="33.659999999999997"/>
    <d v="2012-07-09T00:00:00"/>
    <n v="139261"/>
    <x v="1277"/>
    <n v="35875"/>
    <n v="132655"/>
    <n v="0"/>
  </r>
  <r>
    <x v="10"/>
    <x v="1"/>
    <s v="Сахар песок фас.1кг:6"/>
    <n v="33.659999999999997"/>
    <d v="2012-07-10T00:00:00"/>
    <n v="132655"/>
    <x v="1278"/>
    <n v="31442"/>
    <n v="118377"/>
    <n v="0"/>
  </r>
  <r>
    <x v="10"/>
    <x v="1"/>
    <s v="Сахар песок фас.1кг:6"/>
    <n v="33.659999999999997"/>
    <d v="2012-07-11T00:00:00"/>
    <n v="118377"/>
    <x v="1279"/>
    <n v="26908"/>
    <n v="125368"/>
    <n v="0"/>
  </r>
  <r>
    <x v="10"/>
    <x v="1"/>
    <s v="Сахар песок фас.1кг:6"/>
    <n v="33.659999999999997"/>
    <d v="2012-07-12T00:00:00"/>
    <n v="125368"/>
    <x v="1280"/>
    <n v="25001"/>
    <n v="136194"/>
    <n v="18"/>
  </r>
  <r>
    <x v="10"/>
    <x v="1"/>
    <s v="Сахар песок фас.1кг:6"/>
    <n v="33.659999999999997"/>
    <d v="2012-07-13T00:00:00"/>
    <n v="136194"/>
    <x v="1281"/>
    <n v="24913"/>
    <n v="129620"/>
    <n v="0"/>
  </r>
  <r>
    <x v="10"/>
    <x v="1"/>
    <s v="Сахар песок фас.1кг:6"/>
    <n v="33.659999999999997"/>
    <d v="2012-07-14T00:00:00"/>
    <n v="129620"/>
    <x v="1282"/>
    <n v="21470"/>
    <n v="179443"/>
    <n v="0"/>
  </r>
  <r>
    <x v="10"/>
    <x v="1"/>
    <s v="Сахар песок фас.1кг:6"/>
    <n v="33.659999999999997"/>
    <d v="2012-07-15T00:00:00"/>
    <n v="179443"/>
    <x v="1283"/>
    <n v="18054"/>
    <n v="179466"/>
    <n v="0"/>
  </r>
  <r>
    <x v="10"/>
    <x v="1"/>
    <s v="Сахар песок фас.1кг:6"/>
    <n v="33.659999999999997"/>
    <d v="2012-07-16T00:00:00"/>
    <n v="179466"/>
    <x v="1284"/>
    <n v="18074"/>
    <n v="171557"/>
    <n v="0"/>
  </r>
  <r>
    <x v="10"/>
    <x v="1"/>
    <s v="Сахар песок фас.1кг:6"/>
    <n v="33.659999999999997"/>
    <d v="2012-07-17T00:00:00"/>
    <n v="171557"/>
    <x v="768"/>
    <n v="15844"/>
    <n v="155709"/>
    <n v="2"/>
  </r>
  <r>
    <x v="10"/>
    <x v="2"/>
    <s v="Сахар песок фас.5кг :1"/>
    <n v="165.05"/>
    <d v="2012-06-01T00:00:00"/>
    <n v="10010"/>
    <x v="1285"/>
    <n v="2703"/>
    <n v="9905"/>
    <n v="0"/>
  </r>
  <r>
    <x v="10"/>
    <x v="2"/>
    <s v="Сахар песок фас.5кг :1"/>
    <n v="165.05"/>
    <d v="2012-06-02T00:00:00"/>
    <n v="9905"/>
    <x v="1286"/>
    <n v="3058"/>
    <n v="9697"/>
    <n v="0"/>
  </r>
  <r>
    <x v="10"/>
    <x v="2"/>
    <s v="Сахар песок фас.5кг :1"/>
    <n v="165.05"/>
    <d v="2012-06-03T00:00:00"/>
    <n v="9697"/>
    <x v="1287"/>
    <n v="3066"/>
    <n v="10218"/>
    <n v="0"/>
  </r>
  <r>
    <x v="10"/>
    <x v="2"/>
    <s v="Сахар песок фас.5кг :1"/>
    <n v="165.05"/>
    <d v="2012-06-04T00:00:00"/>
    <n v="10218"/>
    <x v="1288"/>
    <n v="2662"/>
    <n v="11242"/>
    <n v="0"/>
  </r>
  <r>
    <x v="10"/>
    <x v="2"/>
    <s v="Сахар песок фас.5кг :1"/>
    <n v="165.05"/>
    <d v="2012-06-05T00:00:00"/>
    <n v="11242"/>
    <x v="1289"/>
    <n v="2744"/>
    <n v="12614"/>
    <n v="0"/>
  </r>
  <r>
    <x v="10"/>
    <x v="2"/>
    <s v="Сахар песок фас.5кг :1"/>
    <n v="165.05"/>
    <d v="2012-06-06T00:00:00"/>
    <n v="12614"/>
    <x v="1290"/>
    <n v="3129"/>
    <n v="12776"/>
    <n v="0"/>
  </r>
  <r>
    <x v="10"/>
    <x v="2"/>
    <s v="Сахар песок фас.5кг :1"/>
    <n v="165.05"/>
    <d v="2012-06-07T00:00:00"/>
    <n v="12776"/>
    <x v="1291"/>
    <n v="3486"/>
    <n v="12725"/>
    <n v="0"/>
  </r>
  <r>
    <x v="10"/>
    <x v="2"/>
    <s v="Сахар песок фас.5кг :1"/>
    <n v="165.05"/>
    <d v="2012-06-08T00:00:00"/>
    <n v="12725"/>
    <x v="1292"/>
    <n v="3950"/>
    <n v="12304"/>
    <n v="0"/>
  </r>
  <r>
    <x v="10"/>
    <x v="2"/>
    <s v="Сахар песок фас.5кг :1"/>
    <n v="165.05"/>
    <d v="2012-06-09T00:00:00"/>
    <n v="12304"/>
    <x v="1293"/>
    <n v="4667"/>
    <n v="12364"/>
    <n v="0"/>
  </r>
  <r>
    <x v="10"/>
    <x v="2"/>
    <s v="Сахар песок фас.5кг :1"/>
    <n v="165.05"/>
    <d v="2012-06-10T00:00:00"/>
    <n v="12364"/>
    <x v="237"/>
    <n v="4960"/>
    <n v="9375"/>
    <n v="0"/>
  </r>
  <r>
    <x v="10"/>
    <x v="2"/>
    <s v="Сахар песок фас.5кг :1"/>
    <n v="165.05"/>
    <d v="2012-06-11T00:00:00"/>
    <n v="9375"/>
    <x v="1294"/>
    <n v="4483"/>
    <n v="9830"/>
    <n v="0"/>
  </r>
  <r>
    <x v="10"/>
    <x v="2"/>
    <s v="Сахар песок фас.5кг :1"/>
    <n v="165.05"/>
    <d v="2012-06-12T00:00:00"/>
    <n v="9830"/>
    <x v="1295"/>
    <n v="4469"/>
    <n v="10220"/>
    <n v="1"/>
  </r>
  <r>
    <x v="10"/>
    <x v="2"/>
    <s v="Сахар песок фас.5кг :1"/>
    <n v="165.05"/>
    <d v="2012-06-13T00:00:00"/>
    <n v="10220"/>
    <x v="1296"/>
    <n v="3914"/>
    <n v="10731"/>
    <n v="0"/>
  </r>
  <r>
    <x v="10"/>
    <x v="2"/>
    <s v="Сахар песок фас.5кг :1"/>
    <n v="165.05"/>
    <d v="2012-06-14T00:00:00"/>
    <n v="10731"/>
    <x v="1297"/>
    <n v="3947"/>
    <n v="6884"/>
    <n v="0"/>
  </r>
  <r>
    <x v="10"/>
    <x v="2"/>
    <s v="Сахар песок фас.5кг :1"/>
    <n v="165.05"/>
    <d v="2012-06-15T00:00:00"/>
    <n v="6884"/>
    <x v="1298"/>
    <n v="3358"/>
    <n v="6961"/>
    <n v="0"/>
  </r>
  <r>
    <x v="10"/>
    <x v="2"/>
    <s v="Сахар песок фас.5кг :1"/>
    <n v="165.05"/>
    <d v="2012-06-16T00:00:00"/>
    <n v="6961"/>
    <x v="1299"/>
    <n v="4101"/>
    <n v="10267"/>
    <n v="0"/>
  </r>
  <r>
    <x v="10"/>
    <x v="2"/>
    <s v="Сахар песок фас.5кг :1"/>
    <n v="165.05"/>
    <d v="2012-06-17T00:00:00"/>
    <n v="10267"/>
    <x v="1300"/>
    <n v="5032"/>
    <n v="8696"/>
    <n v="0"/>
  </r>
  <r>
    <x v="10"/>
    <x v="2"/>
    <s v="Сахар песок фас.5кг :1"/>
    <n v="165.05"/>
    <d v="2012-06-18T00:00:00"/>
    <n v="8696"/>
    <x v="1301"/>
    <n v="4695"/>
    <n v="8505"/>
    <n v="0"/>
  </r>
  <r>
    <x v="10"/>
    <x v="2"/>
    <s v="Сахар песок фас.5кг :1"/>
    <n v="165.05"/>
    <d v="2012-06-19T00:00:00"/>
    <n v="8505"/>
    <x v="1302"/>
    <n v="4142"/>
    <n v="13431"/>
    <n v="0"/>
  </r>
  <r>
    <x v="10"/>
    <x v="2"/>
    <s v="Сахар песок фас.5кг :1"/>
    <n v="165.05"/>
    <d v="2012-06-20T00:00:00"/>
    <n v="13431"/>
    <x v="1303"/>
    <n v="4526"/>
    <n v="15711"/>
    <n v="5"/>
  </r>
  <r>
    <x v="10"/>
    <x v="2"/>
    <s v="Сахар песок фас.5кг :1"/>
    <n v="165.05"/>
    <d v="2012-06-21T00:00:00"/>
    <n v="15711"/>
    <x v="1304"/>
    <n v="4539"/>
    <n v="16161"/>
    <n v="0"/>
  </r>
  <r>
    <x v="10"/>
    <x v="2"/>
    <s v="Сахар песок фас.5кг :1"/>
    <n v="165.05"/>
    <d v="2012-06-22T00:00:00"/>
    <n v="16161"/>
    <x v="1305"/>
    <n v="4785"/>
    <n v="16490"/>
    <n v="0"/>
  </r>
  <r>
    <x v="10"/>
    <x v="2"/>
    <s v="Сахар песок фас.5кг :1"/>
    <n v="165.05"/>
    <d v="2012-06-23T00:00:00"/>
    <n v="16490"/>
    <x v="1306"/>
    <n v="4991"/>
    <n v="17802"/>
    <n v="0"/>
  </r>
  <r>
    <x v="10"/>
    <x v="2"/>
    <s v="Сахар песок фас.5кг :1"/>
    <n v="165.05"/>
    <d v="2012-06-24T00:00:00"/>
    <n v="17802"/>
    <x v="1307"/>
    <n v="5461"/>
    <n v="17683"/>
    <n v="0"/>
  </r>
  <r>
    <x v="10"/>
    <x v="2"/>
    <s v="Сахар песок фас.5кг :1"/>
    <n v="165.05"/>
    <d v="2012-06-25T00:00:00"/>
    <n v="17683"/>
    <x v="1308"/>
    <n v="5115"/>
    <n v="19132"/>
    <n v="0"/>
  </r>
  <r>
    <x v="10"/>
    <x v="2"/>
    <s v="Сахар песок фас.5кг :1"/>
    <n v="165.05"/>
    <d v="2012-06-26T00:00:00"/>
    <n v="19132"/>
    <x v="1309"/>
    <n v="4626"/>
    <n v="18656"/>
    <n v="0"/>
  </r>
  <r>
    <x v="10"/>
    <x v="2"/>
    <s v="Сахар песок фас.5кг :1"/>
    <n v="165.05"/>
    <d v="2012-06-27T00:00:00"/>
    <n v="18656"/>
    <x v="1310"/>
    <n v="4602"/>
    <n v="21696"/>
    <n v="0"/>
  </r>
  <r>
    <x v="10"/>
    <x v="2"/>
    <s v="Сахар песок фас.5кг :1"/>
    <n v="165.05"/>
    <d v="2012-06-28T00:00:00"/>
    <n v="21696"/>
    <x v="1311"/>
    <n v="4911"/>
    <n v="20949"/>
    <n v="0"/>
  </r>
  <r>
    <x v="10"/>
    <x v="2"/>
    <s v="Сахар песок фас.5кг :1"/>
    <n v="165.05"/>
    <d v="2012-06-29T00:00:00"/>
    <n v="20949"/>
    <x v="239"/>
    <n v="5062"/>
    <n v="15868"/>
    <n v="0"/>
  </r>
  <r>
    <x v="10"/>
    <x v="2"/>
    <s v="Сахар песок фас.5кг :1"/>
    <n v="165.05"/>
    <d v="2012-06-30T00:00:00"/>
    <n v="15868"/>
    <x v="0"/>
    <n v="5250"/>
    <n v="10630"/>
    <n v="0"/>
  </r>
  <r>
    <x v="10"/>
    <x v="2"/>
    <s v="Сахар песок фас.5кг :1"/>
    <n v="165.05"/>
    <d v="2012-07-01T00:00:00"/>
    <n v="10630"/>
    <x v="1312"/>
    <n v="3963"/>
    <n v="6686"/>
    <n v="0"/>
  </r>
  <r>
    <x v="10"/>
    <x v="2"/>
    <s v="Сахар песок фас.5кг :1"/>
    <n v="165.05"/>
    <d v="2012-07-02T00:00:00"/>
    <n v="6686"/>
    <x v="1313"/>
    <n v="3277"/>
    <n v="5639"/>
    <n v="0"/>
  </r>
  <r>
    <x v="10"/>
    <x v="2"/>
    <s v="Сахар песок фас.5кг :1"/>
    <n v="165.05"/>
    <d v="2012-07-03T00:00:00"/>
    <n v="5639"/>
    <x v="1314"/>
    <n v="4283"/>
    <n v="8686"/>
    <n v="0"/>
  </r>
  <r>
    <x v="10"/>
    <x v="2"/>
    <s v="Сахар песок фас.5кг :1"/>
    <n v="165.05"/>
    <d v="2012-07-04T00:00:00"/>
    <n v="8686"/>
    <x v="1315"/>
    <n v="5561"/>
    <n v="13716"/>
    <n v="0"/>
  </r>
  <r>
    <x v="10"/>
    <x v="2"/>
    <s v="Сахар песок фас.5кг :1"/>
    <n v="165.05"/>
    <d v="2012-07-05T00:00:00"/>
    <n v="13716"/>
    <x v="1316"/>
    <n v="5930"/>
    <n v="15232"/>
    <n v="0"/>
  </r>
  <r>
    <x v="10"/>
    <x v="2"/>
    <s v="Сахар песок фас.5кг :1"/>
    <n v="165.05"/>
    <d v="2012-07-06T00:00:00"/>
    <n v="15232"/>
    <x v="637"/>
    <n v="5976"/>
    <n v="9227"/>
    <n v="0"/>
  </r>
  <r>
    <x v="10"/>
    <x v="2"/>
    <s v="Сахар песок фас.5кг :1"/>
    <n v="165.05"/>
    <d v="2012-07-07T00:00:00"/>
    <n v="9227"/>
    <x v="0"/>
    <n v="4707"/>
    <n v="4540"/>
    <n v="0"/>
  </r>
  <r>
    <x v="10"/>
    <x v="2"/>
    <s v="Сахар песок фас.5кг :1"/>
    <n v="165.05"/>
    <d v="2012-07-08T00:00:00"/>
    <n v="4540"/>
    <x v="0"/>
    <n v="2279"/>
    <n v="2255"/>
    <n v="0"/>
  </r>
  <r>
    <x v="10"/>
    <x v="2"/>
    <s v="Сахар песок фас.5кг :1"/>
    <n v="165.05"/>
    <d v="2012-07-09T00:00:00"/>
    <n v="2255"/>
    <x v="0"/>
    <n v="835"/>
    <n v="1389"/>
    <n v="0"/>
  </r>
  <r>
    <x v="10"/>
    <x v="2"/>
    <s v="Сахар песок фас.5кг :1"/>
    <n v="165.05"/>
    <d v="2012-07-10T00:00:00"/>
    <n v="1389"/>
    <x v="0"/>
    <n v="338"/>
    <n v="1054"/>
    <n v="0"/>
  </r>
  <r>
    <x v="10"/>
    <x v="2"/>
    <s v="Сахар песок фас.5кг :1"/>
    <n v="165.05"/>
    <d v="2012-07-11T00:00:00"/>
    <n v="1054"/>
    <x v="0"/>
    <n v="199"/>
    <n v="852"/>
    <n v="3"/>
  </r>
  <r>
    <x v="10"/>
    <x v="2"/>
    <s v="Сахар песок фас.5кг :1"/>
    <n v="165.05"/>
    <d v="2012-07-12T00:00:00"/>
    <n v="852"/>
    <x v="1317"/>
    <n v="970"/>
    <n v="7343"/>
    <n v="0"/>
  </r>
  <r>
    <x v="10"/>
    <x v="2"/>
    <s v="Сахар песок фас.5кг :1"/>
    <n v="165.05"/>
    <d v="2012-07-13T00:00:00"/>
    <n v="7343"/>
    <x v="1318"/>
    <n v="3054"/>
    <n v="11822"/>
    <n v="0"/>
  </r>
  <r>
    <x v="10"/>
    <x v="2"/>
    <s v="Сахар песок фас.5кг :1"/>
    <n v="165.05"/>
    <d v="2012-07-14T00:00:00"/>
    <n v="11822"/>
    <x v="1319"/>
    <n v="3825"/>
    <n v="12025"/>
    <n v="0"/>
  </r>
  <r>
    <x v="10"/>
    <x v="2"/>
    <s v="Сахар песок фас.5кг :1"/>
    <n v="165.05"/>
    <d v="2012-07-15T00:00:00"/>
    <n v="12025"/>
    <x v="1320"/>
    <n v="3182"/>
    <n v="19898"/>
    <n v="0"/>
  </r>
  <r>
    <x v="10"/>
    <x v="2"/>
    <s v="Сахар песок фас.5кг :1"/>
    <n v="165.05"/>
    <d v="2012-07-16T00:00:00"/>
    <n v="19898"/>
    <x v="1321"/>
    <n v="3037"/>
    <n v="22000"/>
    <n v="0"/>
  </r>
  <r>
    <x v="10"/>
    <x v="2"/>
    <s v="Сахар песок фас.5кг :1"/>
    <n v="165.05"/>
    <d v="2012-07-17T00:00:00"/>
    <n v="22000"/>
    <x v="1322"/>
    <n v="2650"/>
    <n v="21918"/>
    <n v="1"/>
  </r>
  <r>
    <x v="11"/>
    <x v="0"/>
    <s v="Сахар песок фас. 10кг:1"/>
    <n v="317.08"/>
    <d v="2012-06-01T00:00:00"/>
    <n v="0"/>
    <x v="0"/>
    <n v="0"/>
    <n v="0"/>
    <n v="0"/>
  </r>
  <r>
    <x v="11"/>
    <x v="0"/>
    <s v="Сахар песок фас. 10кг:1"/>
    <n v="317.08"/>
    <d v="2012-06-02T00:00:00"/>
    <n v="0"/>
    <x v="0"/>
    <n v="0"/>
    <n v="0"/>
    <n v="0"/>
  </r>
  <r>
    <x v="11"/>
    <x v="0"/>
    <s v="Сахар песок фас. 10кг:1"/>
    <n v="317.08"/>
    <d v="2012-06-03T00:00:00"/>
    <n v="0"/>
    <x v="0"/>
    <n v="0"/>
    <n v="6"/>
    <n v="0"/>
  </r>
  <r>
    <x v="11"/>
    <x v="0"/>
    <s v="Сахар песок фас. 10кг:1"/>
    <n v="317.08"/>
    <d v="2012-06-04T00:00:00"/>
    <n v="6"/>
    <x v="627"/>
    <n v="1"/>
    <n v="7"/>
    <n v="0"/>
  </r>
  <r>
    <x v="11"/>
    <x v="0"/>
    <s v="Сахар песок фас. 10кг:1"/>
    <n v="317.08"/>
    <d v="2012-06-05T00:00:00"/>
    <n v="7"/>
    <x v="0"/>
    <n v="3"/>
    <n v="4"/>
    <n v="0"/>
  </r>
  <r>
    <x v="11"/>
    <x v="0"/>
    <s v="Сахар песок фас. 10кг:1"/>
    <n v="317.08"/>
    <d v="2012-06-06T00:00:00"/>
    <n v="4"/>
    <x v="0"/>
    <n v="1"/>
    <n v="3"/>
    <n v="0"/>
  </r>
  <r>
    <x v="11"/>
    <x v="0"/>
    <s v="Сахар песок фас. 10кг:1"/>
    <n v="317.08"/>
    <d v="2012-06-07T00:00:00"/>
    <n v="3"/>
    <x v="0"/>
    <n v="0"/>
    <n v="3"/>
    <n v="0"/>
  </r>
  <r>
    <x v="11"/>
    <x v="0"/>
    <s v="Сахар песок фас. 10кг:1"/>
    <n v="317.08"/>
    <d v="2012-06-08T00:00:00"/>
    <n v="3"/>
    <x v="0"/>
    <n v="0"/>
    <n v="3"/>
    <n v="0"/>
  </r>
  <r>
    <x v="11"/>
    <x v="0"/>
    <s v="Сахар песок фас. 10кг:1"/>
    <n v="317.08"/>
    <d v="2012-06-09T00:00:00"/>
    <n v="3"/>
    <x v="0"/>
    <n v="0"/>
    <n v="3"/>
    <n v="0"/>
  </r>
  <r>
    <x v="11"/>
    <x v="0"/>
    <s v="Сахар песок фас. 10кг:1"/>
    <n v="317.08"/>
    <d v="2012-06-10T00:00:00"/>
    <n v="3"/>
    <x v="0"/>
    <n v="0"/>
    <n v="3"/>
    <n v="0"/>
  </r>
  <r>
    <x v="11"/>
    <x v="0"/>
    <s v="Сахар песок фас. 10кг:1"/>
    <n v="317.08"/>
    <d v="2012-06-11T00:00:00"/>
    <n v="3"/>
    <x v="627"/>
    <n v="5"/>
    <n v="6"/>
    <n v="0"/>
  </r>
  <r>
    <x v="11"/>
    <x v="0"/>
    <s v="Сахар песок фас. 10кг:1"/>
    <n v="317.08"/>
    <d v="2012-06-12T00:00:00"/>
    <n v="6"/>
    <x v="475"/>
    <n v="82"/>
    <n v="1232"/>
    <n v="0"/>
  </r>
  <r>
    <x v="11"/>
    <x v="0"/>
    <s v="Сахар песок фас. 10кг:1"/>
    <n v="317.08"/>
    <d v="2012-06-13T00:00:00"/>
    <n v="1232"/>
    <x v="1323"/>
    <n v="352"/>
    <n v="2333"/>
    <n v="0"/>
  </r>
  <r>
    <x v="11"/>
    <x v="0"/>
    <s v="Сахар песок фас. 10кг:1"/>
    <n v="317.08"/>
    <d v="2012-06-14T00:00:00"/>
    <n v="2333"/>
    <x v="1324"/>
    <n v="430"/>
    <n v="2078"/>
    <n v="0"/>
  </r>
  <r>
    <x v="11"/>
    <x v="0"/>
    <s v="Сахар песок фас. 10кг:1"/>
    <n v="317.08"/>
    <d v="2012-06-15T00:00:00"/>
    <n v="2078"/>
    <x v="1325"/>
    <n v="392"/>
    <n v="1928"/>
    <n v="0"/>
  </r>
  <r>
    <x v="11"/>
    <x v="0"/>
    <s v="Сахар песок фас. 10кг:1"/>
    <n v="317.08"/>
    <d v="2012-06-16T00:00:00"/>
    <n v="1928"/>
    <x v="1326"/>
    <n v="446"/>
    <n v="1641"/>
    <n v="0"/>
  </r>
  <r>
    <x v="11"/>
    <x v="0"/>
    <s v="Сахар песок фас. 10кг:1"/>
    <n v="317.08"/>
    <d v="2012-06-17T00:00:00"/>
    <n v="1641"/>
    <x v="1327"/>
    <n v="427"/>
    <n v="1382"/>
    <n v="0"/>
  </r>
  <r>
    <x v="11"/>
    <x v="0"/>
    <s v="Сахар песок фас. 10кг:1"/>
    <n v="317.08"/>
    <d v="2012-06-18T00:00:00"/>
    <n v="1382"/>
    <x v="1328"/>
    <n v="326"/>
    <n v="1329"/>
    <n v="0"/>
  </r>
  <r>
    <x v="11"/>
    <x v="0"/>
    <s v="Сахар песок фас. 10кг:1"/>
    <n v="317.08"/>
    <d v="2012-06-19T00:00:00"/>
    <n v="1329"/>
    <x v="1329"/>
    <n v="391"/>
    <n v="1356"/>
    <n v="0"/>
  </r>
  <r>
    <x v="11"/>
    <x v="0"/>
    <s v="Сахар песок фас. 10кг:1"/>
    <n v="317.08"/>
    <d v="2012-06-20T00:00:00"/>
    <n v="1356"/>
    <x v="1330"/>
    <n v="385"/>
    <n v="1220"/>
    <n v="0"/>
  </r>
  <r>
    <x v="11"/>
    <x v="0"/>
    <s v="Сахар песок фас. 10кг:1"/>
    <n v="317.08"/>
    <d v="2012-06-21T00:00:00"/>
    <n v="1220"/>
    <x v="6"/>
    <n v="359"/>
    <n v="1253"/>
    <n v="0"/>
  </r>
  <r>
    <x v="11"/>
    <x v="0"/>
    <s v="Сахар песок фас. 10кг:1"/>
    <n v="317.08"/>
    <d v="2012-06-22T00:00:00"/>
    <n v="1253"/>
    <x v="496"/>
    <n v="337"/>
    <n v="1270"/>
    <n v="0"/>
  </r>
  <r>
    <x v="11"/>
    <x v="0"/>
    <s v="Сахар песок фас. 10кг:1"/>
    <n v="317.08"/>
    <d v="2012-06-23T00:00:00"/>
    <n v="1270"/>
    <x v="1331"/>
    <n v="367"/>
    <n v="1419"/>
    <n v="0"/>
  </r>
  <r>
    <x v="11"/>
    <x v="0"/>
    <s v="Сахар песок фас. 10кг:1"/>
    <n v="317.08"/>
    <d v="2012-06-24T00:00:00"/>
    <n v="1419"/>
    <x v="27"/>
    <n v="363"/>
    <n v="1386"/>
    <n v="0"/>
  </r>
  <r>
    <x v="11"/>
    <x v="0"/>
    <s v="Сахар песок фас. 10кг:1"/>
    <n v="317.08"/>
    <d v="2012-06-25T00:00:00"/>
    <n v="1386"/>
    <x v="43"/>
    <n v="321"/>
    <n v="1418"/>
    <n v="0"/>
  </r>
  <r>
    <x v="11"/>
    <x v="0"/>
    <s v="Сахар песок фас. 10кг:1"/>
    <n v="317.08"/>
    <d v="2012-06-26T00:00:00"/>
    <n v="1418"/>
    <x v="1332"/>
    <n v="305"/>
    <n v="1552"/>
    <n v="0"/>
  </r>
  <r>
    <x v="11"/>
    <x v="0"/>
    <s v="Сахар песок фас. 10кг:1"/>
    <n v="317.08"/>
    <d v="2012-06-27T00:00:00"/>
    <n v="1552"/>
    <x v="5"/>
    <n v="370"/>
    <n v="1567"/>
    <n v="0"/>
  </r>
  <r>
    <x v="11"/>
    <x v="0"/>
    <s v="Сахар песок фас. 10кг:1"/>
    <n v="317.08"/>
    <d v="2012-06-28T00:00:00"/>
    <n v="1567"/>
    <x v="1333"/>
    <n v="394"/>
    <n v="1425"/>
    <n v="0"/>
  </r>
  <r>
    <x v="11"/>
    <x v="0"/>
    <s v="Сахар песок фас. 10кг:1"/>
    <n v="317.08"/>
    <d v="2012-06-29T00:00:00"/>
    <n v="1425"/>
    <x v="1334"/>
    <n v="317"/>
    <n v="1337"/>
    <n v="0"/>
  </r>
  <r>
    <x v="11"/>
    <x v="0"/>
    <s v="Сахар песок фас. 10кг:1"/>
    <n v="317.08"/>
    <d v="2012-06-30T00:00:00"/>
    <n v="1337"/>
    <x v="1335"/>
    <n v="439"/>
    <n v="1245"/>
    <n v="0"/>
  </r>
  <r>
    <x v="11"/>
    <x v="0"/>
    <s v="Сахар песок фас. 10кг:1"/>
    <n v="317.08"/>
    <d v="2012-07-01T00:00:00"/>
    <n v="1245"/>
    <x v="7"/>
    <n v="362"/>
    <n v="1258"/>
    <n v="0"/>
  </r>
  <r>
    <x v="11"/>
    <x v="0"/>
    <s v="Сахар песок фас. 10кг:1"/>
    <n v="317.08"/>
    <d v="2012-07-02T00:00:00"/>
    <n v="1258"/>
    <x v="1336"/>
    <n v="350"/>
    <n v="1226"/>
    <n v="0"/>
  </r>
  <r>
    <x v="11"/>
    <x v="0"/>
    <s v="Сахар песок фас. 10кг:1"/>
    <n v="317.08"/>
    <d v="2012-07-03T00:00:00"/>
    <n v="1226"/>
    <x v="1337"/>
    <n v="388"/>
    <n v="1307"/>
    <n v="0"/>
  </r>
  <r>
    <x v="11"/>
    <x v="0"/>
    <s v="Сахар песок фас. 10кг:1"/>
    <n v="317.08"/>
    <d v="2012-07-04T00:00:00"/>
    <n v="1307"/>
    <x v="1338"/>
    <n v="342"/>
    <n v="1411"/>
    <n v="0"/>
  </r>
  <r>
    <x v="11"/>
    <x v="0"/>
    <s v="Сахар песок фас. 10кг:1"/>
    <n v="317.08"/>
    <d v="2012-07-05T00:00:00"/>
    <n v="1411"/>
    <x v="1194"/>
    <n v="397"/>
    <n v="1496"/>
    <n v="0"/>
  </r>
  <r>
    <x v="11"/>
    <x v="0"/>
    <s v="Сахар песок фас. 10кг:1"/>
    <n v="317.08"/>
    <d v="2012-07-06T00:00:00"/>
    <n v="1496"/>
    <x v="1339"/>
    <n v="346"/>
    <n v="1415"/>
    <n v="0"/>
  </r>
  <r>
    <x v="11"/>
    <x v="0"/>
    <s v="Сахар песок фас. 10кг:1"/>
    <n v="317.08"/>
    <d v="2012-07-07T00:00:00"/>
    <n v="1415"/>
    <x v="1340"/>
    <n v="401"/>
    <n v="1378"/>
    <n v="0"/>
  </r>
  <r>
    <x v="11"/>
    <x v="0"/>
    <s v="Сахар песок фас. 10кг:1"/>
    <n v="317.08"/>
    <d v="2012-07-08T00:00:00"/>
    <n v="1378"/>
    <x v="26"/>
    <n v="353"/>
    <n v="1391"/>
    <n v="0"/>
  </r>
  <r>
    <x v="11"/>
    <x v="0"/>
    <s v="Сахар песок фас. 10кг:1"/>
    <n v="317.08"/>
    <d v="2012-07-09T00:00:00"/>
    <n v="1391"/>
    <x v="1341"/>
    <n v="375"/>
    <n v="1421"/>
    <n v="0"/>
  </r>
  <r>
    <x v="11"/>
    <x v="0"/>
    <s v="Сахар песок фас. 10кг:1"/>
    <n v="317.08"/>
    <d v="2012-07-10T00:00:00"/>
    <n v="1421"/>
    <x v="371"/>
    <n v="307"/>
    <n v="1408"/>
    <n v="0"/>
  </r>
  <r>
    <x v="11"/>
    <x v="0"/>
    <s v="Сахар песок фас. 10кг:1"/>
    <n v="317.08"/>
    <d v="2012-07-11T00:00:00"/>
    <n v="1408"/>
    <x v="1342"/>
    <n v="365"/>
    <n v="1356"/>
    <n v="0"/>
  </r>
  <r>
    <x v="11"/>
    <x v="0"/>
    <s v="Сахар песок фас. 10кг:1"/>
    <n v="317.08"/>
    <d v="2012-07-12T00:00:00"/>
    <n v="1356"/>
    <x v="1343"/>
    <n v="417"/>
    <n v="1249"/>
    <n v="0"/>
  </r>
  <r>
    <x v="11"/>
    <x v="0"/>
    <s v="Сахар песок фас. 10кг:1"/>
    <n v="317.08"/>
    <d v="2012-07-13T00:00:00"/>
    <n v="1249"/>
    <x v="1344"/>
    <n v="306"/>
    <n v="1153"/>
    <n v="0"/>
  </r>
  <r>
    <x v="11"/>
    <x v="0"/>
    <s v="Сахар песок фас. 10кг:1"/>
    <n v="317.08"/>
    <d v="2012-07-14T00:00:00"/>
    <n v="1153"/>
    <x v="1001"/>
    <n v="317"/>
    <n v="1240"/>
    <n v="0"/>
  </r>
  <r>
    <x v="11"/>
    <x v="0"/>
    <s v="Сахар песок фас. 10кг:1"/>
    <n v="317.08"/>
    <d v="2012-07-15T00:00:00"/>
    <n v="1240"/>
    <x v="1345"/>
    <n v="288"/>
    <n v="1323"/>
    <n v="0"/>
  </r>
  <r>
    <x v="11"/>
    <x v="0"/>
    <s v="Сахар песок фас. 10кг:1"/>
    <n v="317.08"/>
    <d v="2012-07-16T00:00:00"/>
    <n v="1323"/>
    <x v="271"/>
    <n v="273"/>
    <n v="1395"/>
    <n v="0"/>
  </r>
  <r>
    <x v="11"/>
    <x v="0"/>
    <s v="Сахар песок фас. 10кг:1"/>
    <n v="317.08"/>
    <d v="2012-07-17T00:00:00"/>
    <n v="1395"/>
    <x v="1336"/>
    <n v="262"/>
    <n v="1451"/>
    <n v="0"/>
  </r>
  <r>
    <x v="11"/>
    <x v="1"/>
    <s v="Сахар песок фас.1кг:6"/>
    <n v="33.659999999999997"/>
    <d v="2012-06-01T00:00:00"/>
    <n v="62584"/>
    <x v="1346"/>
    <n v="11869"/>
    <n v="56678"/>
    <n v="0"/>
  </r>
  <r>
    <x v="11"/>
    <x v="1"/>
    <s v="Сахар песок фас.1кг:6"/>
    <n v="33.659999999999997"/>
    <d v="2012-06-02T00:00:00"/>
    <n v="56678"/>
    <x v="1347"/>
    <n v="12514"/>
    <n v="61258"/>
    <n v="0"/>
  </r>
  <r>
    <x v="11"/>
    <x v="1"/>
    <s v="Сахар песок фас.1кг:6"/>
    <n v="33.659999999999997"/>
    <d v="2012-06-03T00:00:00"/>
    <n v="61258"/>
    <x v="1348"/>
    <n v="12014"/>
    <n v="69172"/>
    <n v="2"/>
  </r>
  <r>
    <x v="11"/>
    <x v="1"/>
    <s v="Сахар песок фас.1кг:6"/>
    <n v="33.659999999999997"/>
    <d v="2012-06-04T00:00:00"/>
    <n v="69172"/>
    <x v="1349"/>
    <n v="13239"/>
    <n v="70079"/>
    <n v="2"/>
  </r>
  <r>
    <x v="11"/>
    <x v="1"/>
    <s v="Сахар песок фас.1кг:6"/>
    <n v="33.659999999999997"/>
    <d v="2012-06-05T00:00:00"/>
    <n v="70079"/>
    <x v="1350"/>
    <n v="13297"/>
    <n v="70397"/>
    <n v="0"/>
  </r>
  <r>
    <x v="11"/>
    <x v="1"/>
    <s v="Сахар песок фас.1кг:6"/>
    <n v="33.659999999999997"/>
    <d v="2012-06-06T00:00:00"/>
    <n v="70397"/>
    <x v="1351"/>
    <n v="12651"/>
    <n v="71909"/>
    <n v="0"/>
  </r>
  <r>
    <x v="11"/>
    <x v="1"/>
    <s v="Сахар песок фас.1кг:6"/>
    <n v="33.659999999999997"/>
    <d v="2012-06-07T00:00:00"/>
    <n v="71909"/>
    <x v="1352"/>
    <n v="13067"/>
    <n v="78068"/>
    <n v="0"/>
  </r>
  <r>
    <x v="11"/>
    <x v="1"/>
    <s v="Сахар песок фас.1кг:6"/>
    <n v="33.659999999999997"/>
    <d v="2012-06-08T00:00:00"/>
    <n v="78068"/>
    <x v="1353"/>
    <n v="12278"/>
    <n v="80282"/>
    <n v="0"/>
  </r>
  <r>
    <x v="11"/>
    <x v="1"/>
    <s v="Сахар песок фас.1кг:6"/>
    <n v="33.659999999999997"/>
    <d v="2012-06-09T00:00:00"/>
    <n v="80282"/>
    <x v="1354"/>
    <n v="13583"/>
    <n v="82516"/>
    <n v="0"/>
  </r>
  <r>
    <x v="11"/>
    <x v="1"/>
    <s v="Сахар песок фас.1кг:6"/>
    <n v="33.659999999999997"/>
    <d v="2012-06-10T00:00:00"/>
    <n v="82516"/>
    <x v="1355"/>
    <n v="14055"/>
    <n v="80347"/>
    <n v="2"/>
  </r>
  <r>
    <x v="11"/>
    <x v="1"/>
    <s v="Сахар песок фас.1кг:6"/>
    <n v="33.659999999999997"/>
    <d v="2012-06-11T00:00:00"/>
    <n v="80347"/>
    <x v="1356"/>
    <n v="13813"/>
    <n v="77597"/>
    <n v="2"/>
  </r>
  <r>
    <x v="11"/>
    <x v="1"/>
    <s v="Сахар песок фас.1кг:6"/>
    <n v="33.659999999999997"/>
    <d v="2012-06-12T00:00:00"/>
    <n v="77597"/>
    <x v="1357"/>
    <n v="12889"/>
    <n v="76855"/>
    <n v="1"/>
  </r>
  <r>
    <x v="11"/>
    <x v="1"/>
    <s v="Сахар песок фас.1кг:6"/>
    <n v="33.659999999999997"/>
    <d v="2012-06-13T00:00:00"/>
    <n v="76855"/>
    <x v="1358"/>
    <n v="13039"/>
    <n v="78035"/>
    <n v="0"/>
  </r>
  <r>
    <x v="11"/>
    <x v="1"/>
    <s v="Сахар песок фас.1кг:6"/>
    <n v="33.659999999999997"/>
    <d v="2012-06-14T00:00:00"/>
    <n v="78035"/>
    <x v="1359"/>
    <n v="11825"/>
    <n v="78222"/>
    <n v="0"/>
  </r>
  <r>
    <x v="11"/>
    <x v="1"/>
    <s v="Сахар песок фас.1кг:6"/>
    <n v="33.659999999999997"/>
    <d v="2012-06-15T00:00:00"/>
    <n v="78222"/>
    <x v="1360"/>
    <n v="12669"/>
    <n v="79720"/>
    <n v="0"/>
  </r>
  <r>
    <x v="11"/>
    <x v="1"/>
    <s v="Сахар песок фас.1кг:6"/>
    <n v="33.659999999999997"/>
    <d v="2012-06-16T00:00:00"/>
    <n v="79720"/>
    <x v="1361"/>
    <n v="13509"/>
    <n v="75216"/>
    <n v="0"/>
  </r>
  <r>
    <x v="11"/>
    <x v="1"/>
    <s v="Сахар песок фас.1кг:6"/>
    <n v="33.659999999999997"/>
    <d v="2012-06-17T00:00:00"/>
    <n v="75216"/>
    <x v="1362"/>
    <n v="13698"/>
    <n v="68135"/>
    <n v="0"/>
  </r>
  <r>
    <x v="11"/>
    <x v="1"/>
    <s v="Сахар песок фас.1кг:6"/>
    <n v="33.659999999999997"/>
    <d v="2012-06-18T00:00:00"/>
    <n v="68135"/>
    <x v="1363"/>
    <n v="13726"/>
    <n v="70993"/>
    <n v="0"/>
  </r>
  <r>
    <x v="11"/>
    <x v="1"/>
    <s v="Сахар песок фас.1кг:6"/>
    <n v="33.659999999999997"/>
    <d v="2012-06-19T00:00:00"/>
    <n v="70993"/>
    <x v="1364"/>
    <n v="13918"/>
    <n v="71042"/>
    <n v="1"/>
  </r>
  <r>
    <x v="11"/>
    <x v="1"/>
    <s v="Сахар песок фас.1кг:6"/>
    <n v="33.659999999999997"/>
    <d v="2012-06-20T00:00:00"/>
    <n v="71042"/>
    <x v="1365"/>
    <n v="14210"/>
    <n v="69922"/>
    <n v="1"/>
  </r>
  <r>
    <x v="11"/>
    <x v="1"/>
    <s v="Сахар песок фас.1кг:6"/>
    <n v="33.659999999999997"/>
    <d v="2012-06-21T00:00:00"/>
    <n v="69922"/>
    <x v="1366"/>
    <n v="13552"/>
    <n v="70907"/>
    <n v="1"/>
  </r>
  <r>
    <x v="11"/>
    <x v="1"/>
    <s v="Сахар песок фас.1кг:6"/>
    <n v="33.659999999999997"/>
    <d v="2012-06-22T00:00:00"/>
    <n v="70907"/>
    <x v="1367"/>
    <n v="12538"/>
    <n v="87021"/>
    <n v="0"/>
  </r>
  <r>
    <x v="11"/>
    <x v="1"/>
    <s v="Сахар песок фас.1кг:6"/>
    <n v="33.659999999999997"/>
    <d v="2012-06-23T00:00:00"/>
    <n v="87021"/>
    <x v="1368"/>
    <n v="12601"/>
    <n v="88374"/>
    <n v="0"/>
  </r>
  <r>
    <x v="11"/>
    <x v="1"/>
    <s v="Сахар песок фас.1кг:6"/>
    <n v="33.659999999999997"/>
    <d v="2012-06-24T00:00:00"/>
    <n v="88374"/>
    <x v="1369"/>
    <n v="12801"/>
    <n v="94181"/>
    <n v="11"/>
  </r>
  <r>
    <x v="11"/>
    <x v="1"/>
    <s v="Сахар песок фас.1кг:6"/>
    <n v="33.659999999999997"/>
    <d v="2012-06-25T00:00:00"/>
    <n v="94181"/>
    <x v="1370"/>
    <n v="12341"/>
    <n v="95327"/>
    <n v="0"/>
  </r>
  <r>
    <x v="11"/>
    <x v="1"/>
    <s v="Сахар песок фас.1кг:6"/>
    <n v="33.659999999999997"/>
    <d v="2012-06-26T00:00:00"/>
    <n v="95327"/>
    <x v="1371"/>
    <n v="12521"/>
    <n v="94108"/>
    <n v="0"/>
  </r>
  <r>
    <x v="11"/>
    <x v="1"/>
    <s v="Сахар песок фас.1кг:6"/>
    <n v="33.659999999999997"/>
    <d v="2012-06-27T00:00:00"/>
    <n v="94108"/>
    <x v="1372"/>
    <n v="13790"/>
    <n v="91552"/>
    <n v="0"/>
  </r>
  <r>
    <x v="11"/>
    <x v="1"/>
    <s v="Сахар песок фас.1кг:6"/>
    <n v="33.659999999999997"/>
    <d v="2012-06-28T00:00:00"/>
    <n v="91552"/>
    <x v="1373"/>
    <n v="12954"/>
    <n v="89349"/>
    <n v="1"/>
  </r>
  <r>
    <x v="11"/>
    <x v="1"/>
    <s v="Сахар песок фас.1кг:6"/>
    <n v="33.659999999999997"/>
    <d v="2012-06-29T00:00:00"/>
    <n v="89349"/>
    <x v="1374"/>
    <n v="13571"/>
    <n v="88792"/>
    <n v="0"/>
  </r>
  <r>
    <x v="11"/>
    <x v="1"/>
    <s v="Сахар песок фас.1кг:6"/>
    <n v="33.659999999999997"/>
    <d v="2012-06-30T00:00:00"/>
    <n v="88792"/>
    <x v="1375"/>
    <n v="15548"/>
    <n v="85429"/>
    <n v="0"/>
  </r>
  <r>
    <x v="11"/>
    <x v="1"/>
    <s v="Сахар песок фас.1кг:6"/>
    <n v="33.659999999999997"/>
    <d v="2012-07-01T00:00:00"/>
    <n v="85429"/>
    <x v="1376"/>
    <n v="15538"/>
    <n v="82694"/>
    <n v="6"/>
  </r>
  <r>
    <x v="11"/>
    <x v="1"/>
    <s v="Сахар песок фас.1кг:6"/>
    <n v="33.659999999999997"/>
    <d v="2012-07-02T00:00:00"/>
    <n v="82694"/>
    <x v="1377"/>
    <n v="14714"/>
    <n v="84563"/>
    <n v="1"/>
  </r>
  <r>
    <x v="11"/>
    <x v="1"/>
    <s v="Сахар песок фас.1кг:6"/>
    <n v="33.659999999999997"/>
    <d v="2012-07-03T00:00:00"/>
    <n v="84563"/>
    <x v="1378"/>
    <n v="15062"/>
    <n v="87492"/>
    <n v="2"/>
  </r>
  <r>
    <x v="11"/>
    <x v="1"/>
    <s v="Сахар песок фас.1кг:6"/>
    <n v="33.659999999999997"/>
    <d v="2012-07-04T00:00:00"/>
    <n v="87492"/>
    <x v="1379"/>
    <n v="14423"/>
    <n v="89829"/>
    <n v="0"/>
  </r>
  <r>
    <x v="11"/>
    <x v="1"/>
    <s v="Сахар песок фас.1кг:6"/>
    <n v="33.659999999999997"/>
    <d v="2012-07-05T00:00:00"/>
    <n v="89829"/>
    <x v="1380"/>
    <n v="14804"/>
    <n v="92157"/>
    <n v="0"/>
  </r>
  <r>
    <x v="11"/>
    <x v="1"/>
    <s v="Сахар песок фас.1кг:6"/>
    <n v="33.659999999999997"/>
    <d v="2012-07-06T00:00:00"/>
    <n v="92157"/>
    <x v="1381"/>
    <n v="13147"/>
    <n v="94212"/>
    <n v="1"/>
  </r>
  <r>
    <x v="11"/>
    <x v="1"/>
    <s v="Сахар песок фас.1кг:6"/>
    <n v="33.659999999999997"/>
    <d v="2012-07-07T00:00:00"/>
    <n v="94212"/>
    <x v="1382"/>
    <n v="14839"/>
    <n v="95353"/>
    <n v="2"/>
  </r>
  <r>
    <x v="11"/>
    <x v="1"/>
    <s v="Сахар песок фас.1кг:6"/>
    <n v="33.659999999999997"/>
    <d v="2012-07-08T00:00:00"/>
    <n v="95353"/>
    <x v="1383"/>
    <n v="14301"/>
    <n v="95043"/>
    <n v="1"/>
  </r>
  <r>
    <x v="11"/>
    <x v="1"/>
    <s v="Сахар песок фас.1кг:6"/>
    <n v="33.659999999999997"/>
    <d v="2012-07-09T00:00:00"/>
    <n v="95043"/>
    <x v="1384"/>
    <n v="14010"/>
    <n v="97514"/>
    <n v="6"/>
  </r>
  <r>
    <x v="11"/>
    <x v="1"/>
    <s v="Сахар песок фас.1кг:6"/>
    <n v="33.659999999999997"/>
    <d v="2012-07-10T00:00:00"/>
    <n v="97514"/>
    <x v="1385"/>
    <n v="14807"/>
    <n v="95398"/>
    <n v="0"/>
  </r>
  <r>
    <x v="11"/>
    <x v="1"/>
    <s v="Сахар песок фас.1кг:6"/>
    <n v="33.659999999999997"/>
    <d v="2012-07-11T00:00:00"/>
    <n v="95398"/>
    <x v="1386"/>
    <n v="14503"/>
    <n v="94193"/>
    <n v="0"/>
  </r>
  <r>
    <x v="11"/>
    <x v="1"/>
    <s v="Сахар песок фас.1кг:6"/>
    <n v="33.659999999999997"/>
    <d v="2012-07-12T00:00:00"/>
    <n v="94193"/>
    <x v="1387"/>
    <n v="13074"/>
    <n v="97294"/>
    <n v="1"/>
  </r>
  <r>
    <x v="11"/>
    <x v="1"/>
    <s v="Сахар песок фас.1кг:6"/>
    <n v="33.659999999999997"/>
    <d v="2012-07-13T00:00:00"/>
    <n v="97294"/>
    <x v="1388"/>
    <n v="12389"/>
    <n v="99094"/>
    <n v="0"/>
  </r>
  <r>
    <x v="11"/>
    <x v="1"/>
    <s v="Сахар песок фас.1кг:6"/>
    <n v="33.659999999999997"/>
    <d v="2012-07-14T00:00:00"/>
    <n v="99094"/>
    <x v="1389"/>
    <n v="12570"/>
    <n v="98069"/>
    <n v="0"/>
  </r>
  <r>
    <x v="11"/>
    <x v="1"/>
    <s v="Сахар песок фас.1кг:6"/>
    <n v="33.659999999999997"/>
    <d v="2012-07-15T00:00:00"/>
    <n v="98069"/>
    <x v="1390"/>
    <n v="11990"/>
    <n v="97094"/>
    <n v="1"/>
  </r>
  <r>
    <x v="11"/>
    <x v="1"/>
    <s v="Сахар песок фас.1кг:6"/>
    <n v="33.659999999999997"/>
    <d v="2012-07-16T00:00:00"/>
    <n v="97094"/>
    <x v="1391"/>
    <n v="11820"/>
    <n v="94555"/>
    <n v="4"/>
  </r>
  <r>
    <x v="11"/>
    <x v="1"/>
    <s v="Сахар песок фас.1кг:6"/>
    <n v="33.659999999999997"/>
    <d v="2012-07-17T00:00:00"/>
    <n v="94555"/>
    <x v="1392"/>
    <n v="11467"/>
    <n v="93094"/>
    <n v="1"/>
  </r>
  <r>
    <x v="11"/>
    <x v="2"/>
    <s v="Сахар песок фас.5кг :1"/>
    <n v="165.05"/>
    <d v="2012-06-01T00:00:00"/>
    <n v="3673"/>
    <x v="194"/>
    <n v="2138"/>
    <n v="4717"/>
    <n v="0"/>
  </r>
  <r>
    <x v="11"/>
    <x v="2"/>
    <s v="Сахар песок фас.5кг :1"/>
    <n v="165.05"/>
    <d v="2012-06-02T00:00:00"/>
    <n v="4717"/>
    <x v="1393"/>
    <n v="2644"/>
    <n v="6107"/>
    <n v="0"/>
  </r>
  <r>
    <x v="11"/>
    <x v="2"/>
    <s v="Сахар песок фас.5кг :1"/>
    <n v="165.05"/>
    <d v="2012-06-03T00:00:00"/>
    <n v="6107"/>
    <x v="630"/>
    <n v="2640"/>
    <n v="3484"/>
    <n v="0"/>
  </r>
  <r>
    <x v="11"/>
    <x v="2"/>
    <s v="Сахар песок фас.5кг :1"/>
    <n v="165.05"/>
    <d v="2012-06-04T00:00:00"/>
    <n v="3484"/>
    <x v="1394"/>
    <n v="2155"/>
    <n v="5466"/>
    <n v="0"/>
  </r>
  <r>
    <x v="11"/>
    <x v="2"/>
    <s v="Сахар песок фас.5кг :1"/>
    <n v="165.05"/>
    <d v="2012-06-05T00:00:00"/>
    <n v="5466"/>
    <x v="1395"/>
    <n v="2636"/>
    <n v="5990"/>
    <n v="0"/>
  </r>
  <r>
    <x v="11"/>
    <x v="2"/>
    <s v="Сахар песок фас.5кг :1"/>
    <n v="165.05"/>
    <d v="2012-06-06T00:00:00"/>
    <n v="5990"/>
    <x v="1396"/>
    <n v="3005"/>
    <n v="4810"/>
    <n v="0"/>
  </r>
  <r>
    <x v="11"/>
    <x v="2"/>
    <s v="Сахар песок фас.5кг :1"/>
    <n v="165.05"/>
    <d v="2012-06-07T00:00:00"/>
    <n v="4810"/>
    <x v="1397"/>
    <n v="3094"/>
    <n v="9138"/>
    <n v="0"/>
  </r>
  <r>
    <x v="11"/>
    <x v="2"/>
    <s v="Сахар песок фас.5кг :1"/>
    <n v="165.05"/>
    <d v="2012-06-08T00:00:00"/>
    <n v="9138"/>
    <x v="1398"/>
    <n v="3593"/>
    <n v="9156"/>
    <n v="0"/>
  </r>
  <r>
    <x v="11"/>
    <x v="2"/>
    <s v="Сахар песок фас.5кг :1"/>
    <n v="165.05"/>
    <d v="2012-06-09T00:00:00"/>
    <n v="9156"/>
    <x v="1399"/>
    <n v="3832"/>
    <n v="8347"/>
    <n v="0"/>
  </r>
  <r>
    <x v="11"/>
    <x v="2"/>
    <s v="Сахар песок фас.5кг :1"/>
    <n v="165.05"/>
    <d v="2012-06-10T00:00:00"/>
    <n v="8347"/>
    <x v="1400"/>
    <n v="3924"/>
    <n v="8011"/>
    <n v="0"/>
  </r>
  <r>
    <x v="11"/>
    <x v="2"/>
    <s v="Сахар песок фас.5кг :1"/>
    <n v="165.05"/>
    <d v="2012-06-11T00:00:00"/>
    <n v="8011"/>
    <x v="1401"/>
    <n v="3384"/>
    <n v="6667"/>
    <n v="0"/>
  </r>
  <r>
    <x v="11"/>
    <x v="2"/>
    <s v="Сахар песок фас.5кг :1"/>
    <n v="165.05"/>
    <d v="2012-06-12T00:00:00"/>
    <n v="6667"/>
    <x v="1402"/>
    <n v="3236"/>
    <n v="5415"/>
    <n v="0"/>
  </r>
  <r>
    <x v="11"/>
    <x v="2"/>
    <s v="Сахар песок фас.5кг :1"/>
    <n v="165.05"/>
    <d v="2012-06-13T00:00:00"/>
    <n v="5415"/>
    <x v="1403"/>
    <n v="2489"/>
    <n v="6564"/>
    <n v="0"/>
  </r>
  <r>
    <x v="11"/>
    <x v="2"/>
    <s v="Сахар песок фас.5кг :1"/>
    <n v="165.05"/>
    <d v="2012-06-14T00:00:00"/>
    <n v="6564"/>
    <x v="1404"/>
    <n v="2346"/>
    <n v="6862"/>
    <n v="0"/>
  </r>
  <r>
    <x v="11"/>
    <x v="2"/>
    <s v="Сахар песок фас.5кг :1"/>
    <n v="165.05"/>
    <d v="2012-06-15T00:00:00"/>
    <n v="6862"/>
    <x v="1405"/>
    <n v="2582"/>
    <n v="10605"/>
    <n v="0"/>
  </r>
  <r>
    <x v="11"/>
    <x v="2"/>
    <s v="Сахар песок фас.5кг :1"/>
    <n v="165.05"/>
    <d v="2012-06-16T00:00:00"/>
    <n v="10605"/>
    <x v="1406"/>
    <n v="3306"/>
    <n v="10214"/>
    <n v="0"/>
  </r>
  <r>
    <x v="11"/>
    <x v="2"/>
    <s v="Сахар песок фас.5кг :1"/>
    <n v="165.05"/>
    <d v="2012-06-17T00:00:00"/>
    <n v="10214"/>
    <x v="1407"/>
    <n v="3367"/>
    <n v="8731"/>
    <n v="0"/>
  </r>
  <r>
    <x v="11"/>
    <x v="2"/>
    <s v="Сахар песок фас.5кг :1"/>
    <n v="165.05"/>
    <d v="2012-06-18T00:00:00"/>
    <n v="8731"/>
    <x v="731"/>
    <n v="2969"/>
    <n v="8506"/>
    <n v="0"/>
  </r>
  <r>
    <x v="11"/>
    <x v="2"/>
    <s v="Сахар песок фас.5кг :1"/>
    <n v="165.05"/>
    <d v="2012-06-19T00:00:00"/>
    <n v="8506"/>
    <x v="473"/>
    <n v="2931"/>
    <n v="7373"/>
    <n v="1"/>
  </r>
  <r>
    <x v="11"/>
    <x v="2"/>
    <s v="Сахар песок фас.5кг :1"/>
    <n v="165.05"/>
    <d v="2012-06-20T00:00:00"/>
    <n v="7373"/>
    <x v="591"/>
    <n v="2774"/>
    <n v="6515"/>
    <n v="0"/>
  </r>
  <r>
    <x v="11"/>
    <x v="2"/>
    <s v="Сахар песок фас.5кг :1"/>
    <n v="165.05"/>
    <d v="2012-06-21T00:00:00"/>
    <n v="6515"/>
    <x v="1408"/>
    <n v="2497"/>
    <n v="10411"/>
    <n v="0"/>
  </r>
  <r>
    <x v="11"/>
    <x v="2"/>
    <s v="Сахар песок фас.5кг :1"/>
    <n v="165.05"/>
    <d v="2012-06-22T00:00:00"/>
    <n v="10411"/>
    <x v="1409"/>
    <n v="2639"/>
    <n v="13312"/>
    <n v="0"/>
  </r>
  <r>
    <x v="11"/>
    <x v="2"/>
    <s v="Сахар песок фас.5кг :1"/>
    <n v="165.05"/>
    <d v="2012-06-23T00:00:00"/>
    <n v="13312"/>
    <x v="1410"/>
    <n v="3010"/>
    <n v="13288"/>
    <n v="0"/>
  </r>
  <r>
    <x v="11"/>
    <x v="2"/>
    <s v="Сахар песок фас.5кг :1"/>
    <n v="165.05"/>
    <d v="2012-06-24T00:00:00"/>
    <n v="13288"/>
    <x v="1399"/>
    <n v="2934"/>
    <n v="13412"/>
    <n v="0"/>
  </r>
  <r>
    <x v="11"/>
    <x v="2"/>
    <s v="Сахар песок фас.5кг :1"/>
    <n v="165.05"/>
    <d v="2012-06-25T00:00:00"/>
    <n v="13412"/>
    <x v="1411"/>
    <n v="2627"/>
    <n v="14428"/>
    <n v="0"/>
  </r>
  <r>
    <x v="11"/>
    <x v="2"/>
    <s v="Сахар песок фас.5кг :1"/>
    <n v="165.05"/>
    <d v="2012-06-26T00:00:00"/>
    <n v="14428"/>
    <x v="490"/>
    <n v="2682"/>
    <n v="14152"/>
    <n v="0"/>
  </r>
  <r>
    <x v="11"/>
    <x v="2"/>
    <s v="Сахар песок фас.5кг :1"/>
    <n v="165.05"/>
    <d v="2012-06-27T00:00:00"/>
    <n v="14152"/>
    <x v="1412"/>
    <n v="2584"/>
    <n v="13716"/>
    <n v="0"/>
  </r>
  <r>
    <x v="11"/>
    <x v="2"/>
    <s v="Сахар песок фас.5кг :1"/>
    <n v="165.05"/>
    <d v="2012-06-28T00:00:00"/>
    <n v="13716"/>
    <x v="1413"/>
    <n v="2834"/>
    <n v="13164"/>
    <n v="0"/>
  </r>
  <r>
    <x v="11"/>
    <x v="2"/>
    <s v="Сахар песок фас.5кг :1"/>
    <n v="165.05"/>
    <d v="2012-06-29T00:00:00"/>
    <n v="13164"/>
    <x v="1414"/>
    <n v="2808"/>
    <n v="12723"/>
    <n v="0"/>
  </r>
  <r>
    <x v="11"/>
    <x v="2"/>
    <s v="Сахар песок фас.5кг :1"/>
    <n v="165.05"/>
    <d v="2012-06-30T00:00:00"/>
    <n v="12723"/>
    <x v="1415"/>
    <n v="3417"/>
    <n v="12122"/>
    <n v="0"/>
  </r>
  <r>
    <x v="11"/>
    <x v="2"/>
    <s v="Сахар песок фас.5кг :1"/>
    <n v="165.05"/>
    <d v="2012-07-01T00:00:00"/>
    <n v="12122"/>
    <x v="1416"/>
    <n v="3160"/>
    <n v="12009"/>
    <n v="1"/>
  </r>
  <r>
    <x v="11"/>
    <x v="2"/>
    <s v="Сахар песок фас.5кг :1"/>
    <n v="165.05"/>
    <d v="2012-07-02T00:00:00"/>
    <n v="12009"/>
    <x v="1417"/>
    <n v="2857"/>
    <n v="12892"/>
    <n v="0"/>
  </r>
  <r>
    <x v="11"/>
    <x v="2"/>
    <s v="Сахар песок фас.5кг :1"/>
    <n v="165.05"/>
    <d v="2012-07-03T00:00:00"/>
    <n v="12892"/>
    <x v="1418"/>
    <n v="3058"/>
    <n v="13354"/>
    <n v="0"/>
  </r>
  <r>
    <x v="11"/>
    <x v="2"/>
    <s v="Сахар песок фас.5кг :1"/>
    <n v="165.05"/>
    <d v="2012-07-04T00:00:00"/>
    <n v="13354"/>
    <x v="1419"/>
    <n v="2923"/>
    <n v="12719"/>
    <n v="0"/>
  </r>
  <r>
    <x v="11"/>
    <x v="2"/>
    <s v="Сахар песок фас.5кг :1"/>
    <n v="165.05"/>
    <d v="2012-07-05T00:00:00"/>
    <n v="12719"/>
    <x v="1420"/>
    <n v="2761"/>
    <n v="13296"/>
    <n v="0"/>
  </r>
  <r>
    <x v="11"/>
    <x v="2"/>
    <s v="Сахар песок фас.5кг :1"/>
    <n v="165.05"/>
    <d v="2012-07-06T00:00:00"/>
    <n v="13296"/>
    <x v="1421"/>
    <n v="2580"/>
    <n v="13736"/>
    <n v="0"/>
  </r>
  <r>
    <x v="11"/>
    <x v="2"/>
    <s v="Сахар песок фас.5кг :1"/>
    <n v="165.05"/>
    <d v="2012-07-07T00:00:00"/>
    <n v="13736"/>
    <x v="929"/>
    <n v="3138"/>
    <n v="13492"/>
    <n v="1"/>
  </r>
  <r>
    <x v="11"/>
    <x v="2"/>
    <s v="Сахар песок фас.5кг :1"/>
    <n v="165.05"/>
    <d v="2012-07-08T00:00:00"/>
    <n v="13492"/>
    <x v="1422"/>
    <n v="3206"/>
    <n v="12799"/>
    <n v="4"/>
  </r>
  <r>
    <x v="11"/>
    <x v="2"/>
    <s v="Сахар песок фас.5кг :1"/>
    <n v="165.05"/>
    <d v="2012-07-09T00:00:00"/>
    <n v="12799"/>
    <x v="1423"/>
    <n v="2774"/>
    <n v="12993"/>
    <n v="1"/>
  </r>
  <r>
    <x v="11"/>
    <x v="2"/>
    <s v="Сахар песок фас.5кг :1"/>
    <n v="165.05"/>
    <d v="2012-07-10T00:00:00"/>
    <n v="12993"/>
    <x v="1424"/>
    <n v="2700"/>
    <n v="13345"/>
    <n v="0"/>
  </r>
  <r>
    <x v="11"/>
    <x v="2"/>
    <s v="Сахар песок фас.5кг :1"/>
    <n v="165.05"/>
    <d v="2012-07-11T00:00:00"/>
    <n v="13345"/>
    <x v="1425"/>
    <n v="2717"/>
    <n v="13437"/>
    <n v="0"/>
  </r>
  <r>
    <x v="11"/>
    <x v="2"/>
    <s v="Сахар песок фас.5кг :1"/>
    <n v="165.05"/>
    <d v="2012-07-12T00:00:00"/>
    <n v="13437"/>
    <x v="1426"/>
    <n v="2759"/>
    <n v="13077"/>
    <n v="1"/>
  </r>
  <r>
    <x v="11"/>
    <x v="2"/>
    <s v="Сахар песок фас.5кг :1"/>
    <n v="165.05"/>
    <d v="2012-07-13T00:00:00"/>
    <n v="13077"/>
    <x v="1427"/>
    <n v="2442"/>
    <n v="13121"/>
    <n v="0"/>
  </r>
  <r>
    <x v="11"/>
    <x v="2"/>
    <s v="Сахар песок фас.5кг :1"/>
    <n v="165.05"/>
    <d v="2012-07-14T00:00:00"/>
    <n v="13121"/>
    <x v="1428"/>
    <n v="2690"/>
    <n v="13414"/>
    <n v="0"/>
  </r>
  <r>
    <x v="11"/>
    <x v="2"/>
    <s v="Сахар песок фас.5кг :1"/>
    <n v="165.05"/>
    <d v="2012-07-15T00:00:00"/>
    <n v="13414"/>
    <x v="1404"/>
    <n v="2598"/>
    <n v="13474"/>
    <n v="0"/>
  </r>
  <r>
    <x v="11"/>
    <x v="2"/>
    <s v="Сахар песок фас.5кг :1"/>
    <n v="165.05"/>
    <d v="2012-07-16T00:00:00"/>
    <n v="13474"/>
    <x v="1429"/>
    <n v="2248"/>
    <n v="13322"/>
    <n v="0"/>
  </r>
  <r>
    <x v="11"/>
    <x v="2"/>
    <s v="Сахар песок фас.5кг :1"/>
    <n v="165.05"/>
    <d v="2012-07-17T00:00:00"/>
    <n v="13322"/>
    <x v="1430"/>
    <n v="2221"/>
    <n v="13358"/>
    <n v="0"/>
  </r>
  <r>
    <x v="12"/>
    <x v="0"/>
    <s v="Сахар песок фас. 10кг:1"/>
    <n v="317.08"/>
    <d v="2012-06-01T00:00:00"/>
    <n v="7"/>
    <x v="0"/>
    <n v="0"/>
    <n v="7"/>
    <n v="0"/>
  </r>
  <r>
    <x v="12"/>
    <x v="0"/>
    <s v="Сахар песок фас. 10кг:1"/>
    <n v="317.08"/>
    <d v="2012-06-02T00:00:00"/>
    <n v="7"/>
    <x v="0"/>
    <n v="0"/>
    <n v="7"/>
    <n v="0"/>
  </r>
  <r>
    <x v="12"/>
    <x v="0"/>
    <s v="Сахар песок фас. 10кг:1"/>
    <n v="317.08"/>
    <d v="2012-06-03T00:00:00"/>
    <n v="7"/>
    <x v="0"/>
    <n v="0"/>
    <n v="7"/>
    <n v="0"/>
  </r>
  <r>
    <x v="12"/>
    <x v="0"/>
    <s v="Сахар песок фас. 10кг:1"/>
    <n v="317.08"/>
    <d v="2012-06-04T00:00:00"/>
    <n v="7"/>
    <x v="0"/>
    <n v="0"/>
    <n v="7"/>
    <n v="0"/>
  </r>
  <r>
    <x v="12"/>
    <x v="0"/>
    <s v="Сахар песок фас. 10кг:1"/>
    <n v="317.08"/>
    <d v="2012-06-05T00:00:00"/>
    <n v="7"/>
    <x v="0"/>
    <n v="1"/>
    <n v="6"/>
    <n v="0"/>
  </r>
  <r>
    <x v="12"/>
    <x v="0"/>
    <s v="Сахар песок фас. 10кг:1"/>
    <n v="317.08"/>
    <d v="2012-06-06T00:00:00"/>
    <n v="6"/>
    <x v="0"/>
    <n v="1"/>
    <n v="5"/>
    <n v="0"/>
  </r>
  <r>
    <x v="12"/>
    <x v="0"/>
    <s v="Сахар песок фас. 10кг:1"/>
    <n v="317.08"/>
    <d v="2012-06-07T00:00:00"/>
    <n v="5"/>
    <x v="0"/>
    <n v="0"/>
    <n v="5"/>
    <n v="0"/>
  </r>
  <r>
    <x v="12"/>
    <x v="0"/>
    <s v="Сахар песок фас. 10кг:1"/>
    <n v="317.08"/>
    <d v="2012-06-08T00:00:00"/>
    <n v="5"/>
    <x v="1431"/>
    <n v="41"/>
    <n v="2463"/>
    <n v="0"/>
  </r>
  <r>
    <x v="12"/>
    <x v="0"/>
    <s v="Сахар песок фас. 10кг:1"/>
    <n v="317.08"/>
    <d v="2012-06-09T00:00:00"/>
    <n v="2463"/>
    <x v="1432"/>
    <n v="333"/>
    <n v="4729"/>
    <n v="0"/>
  </r>
  <r>
    <x v="12"/>
    <x v="0"/>
    <s v="Сахар песок фас. 10кг:1"/>
    <n v="317.08"/>
    <d v="2012-06-10T00:00:00"/>
    <n v="4729"/>
    <x v="1433"/>
    <n v="581"/>
    <n v="4358"/>
    <n v="0"/>
  </r>
  <r>
    <x v="12"/>
    <x v="0"/>
    <s v="Сахар песок фас. 10кг:1"/>
    <n v="317.08"/>
    <d v="2012-06-11T00:00:00"/>
    <n v="4358"/>
    <x v="1434"/>
    <n v="782"/>
    <n v="3691"/>
    <n v="0"/>
  </r>
  <r>
    <x v="12"/>
    <x v="0"/>
    <s v="Сахар песок фас. 10кг:1"/>
    <n v="317.08"/>
    <d v="2012-06-12T00:00:00"/>
    <n v="3691"/>
    <x v="1435"/>
    <n v="721"/>
    <n v="3670"/>
    <n v="0"/>
  </r>
  <r>
    <x v="12"/>
    <x v="0"/>
    <s v="Сахар песок фас. 10кг:1"/>
    <n v="317.08"/>
    <d v="2012-06-13T00:00:00"/>
    <n v="3670"/>
    <x v="1436"/>
    <n v="734"/>
    <n v="3606"/>
    <n v="0"/>
  </r>
  <r>
    <x v="12"/>
    <x v="0"/>
    <s v="Сахар песок фас. 10кг:1"/>
    <n v="317.08"/>
    <d v="2012-06-14T00:00:00"/>
    <n v="3606"/>
    <x v="511"/>
    <n v="805"/>
    <n v="3392"/>
    <n v="0"/>
  </r>
  <r>
    <x v="12"/>
    <x v="0"/>
    <s v="Сахар песок фас. 10кг:1"/>
    <n v="317.08"/>
    <d v="2012-06-15T00:00:00"/>
    <n v="3392"/>
    <x v="1437"/>
    <n v="849"/>
    <n v="3206"/>
    <n v="0"/>
  </r>
  <r>
    <x v="12"/>
    <x v="0"/>
    <s v="Сахар песок фас. 10кг:1"/>
    <n v="317.08"/>
    <d v="2012-06-16T00:00:00"/>
    <n v="3206"/>
    <x v="1438"/>
    <n v="846"/>
    <n v="3092"/>
    <n v="0"/>
  </r>
  <r>
    <x v="12"/>
    <x v="0"/>
    <s v="Сахар песок фас. 10кг:1"/>
    <n v="317.08"/>
    <d v="2012-06-17T00:00:00"/>
    <n v="3092"/>
    <x v="1439"/>
    <n v="750"/>
    <n v="3119"/>
    <n v="0"/>
  </r>
  <r>
    <x v="12"/>
    <x v="0"/>
    <s v="Сахар песок фас. 10кг:1"/>
    <n v="317.08"/>
    <d v="2012-06-18T00:00:00"/>
    <n v="3119"/>
    <x v="1005"/>
    <n v="636"/>
    <n v="3179"/>
    <n v="0"/>
  </r>
  <r>
    <x v="12"/>
    <x v="0"/>
    <s v="Сахар песок фас. 10кг:1"/>
    <n v="317.08"/>
    <d v="2012-06-19T00:00:00"/>
    <n v="3179"/>
    <x v="1440"/>
    <n v="535"/>
    <n v="3520"/>
    <n v="0"/>
  </r>
  <r>
    <x v="12"/>
    <x v="0"/>
    <s v="Сахар песок фас. 10кг:1"/>
    <n v="317.08"/>
    <d v="2012-06-20T00:00:00"/>
    <n v="3520"/>
    <x v="402"/>
    <n v="568"/>
    <n v="3824"/>
    <n v="0"/>
  </r>
  <r>
    <x v="12"/>
    <x v="0"/>
    <s v="Сахар песок фас. 10кг:1"/>
    <n v="317.08"/>
    <d v="2012-06-21T00:00:00"/>
    <n v="3824"/>
    <x v="519"/>
    <n v="661"/>
    <n v="4256"/>
    <n v="0"/>
  </r>
  <r>
    <x v="12"/>
    <x v="0"/>
    <s v="Сахар песок фас. 10кг:1"/>
    <n v="317.08"/>
    <d v="2012-06-22T00:00:00"/>
    <n v="4256"/>
    <x v="1441"/>
    <n v="703"/>
    <n v="4166"/>
    <n v="0"/>
  </r>
  <r>
    <x v="12"/>
    <x v="0"/>
    <s v="Сахар песок фас. 10кг:1"/>
    <n v="317.08"/>
    <d v="2012-06-23T00:00:00"/>
    <n v="4166"/>
    <x v="1442"/>
    <n v="831"/>
    <n v="3958"/>
    <n v="0"/>
  </r>
  <r>
    <x v="12"/>
    <x v="0"/>
    <s v="Сахар песок фас. 10кг:1"/>
    <n v="317.08"/>
    <d v="2012-06-24T00:00:00"/>
    <n v="3958"/>
    <x v="1443"/>
    <n v="920"/>
    <n v="3836"/>
    <n v="0"/>
  </r>
  <r>
    <x v="12"/>
    <x v="0"/>
    <s v="Сахар песок фас. 10кг:1"/>
    <n v="317.08"/>
    <d v="2012-06-25T00:00:00"/>
    <n v="3836"/>
    <x v="1444"/>
    <n v="831"/>
    <n v="4081"/>
    <n v="0"/>
  </r>
  <r>
    <x v="12"/>
    <x v="0"/>
    <s v="Сахар песок фас. 10кг:1"/>
    <n v="317.08"/>
    <d v="2012-06-26T00:00:00"/>
    <n v="4081"/>
    <x v="1445"/>
    <n v="795"/>
    <n v="4250"/>
    <n v="0"/>
  </r>
  <r>
    <x v="12"/>
    <x v="0"/>
    <s v="Сахар песок фас. 10кг:1"/>
    <n v="317.08"/>
    <d v="2012-06-27T00:00:00"/>
    <n v="4250"/>
    <x v="1446"/>
    <n v="859"/>
    <n v="4423"/>
    <n v="0"/>
  </r>
  <r>
    <x v="12"/>
    <x v="0"/>
    <s v="Сахар песок фас. 10кг:1"/>
    <n v="317.08"/>
    <d v="2012-06-28T00:00:00"/>
    <n v="4423"/>
    <x v="1447"/>
    <n v="782"/>
    <n v="4469"/>
    <n v="0"/>
  </r>
  <r>
    <x v="12"/>
    <x v="0"/>
    <s v="Сахар песок фас. 10кг:1"/>
    <n v="317.08"/>
    <d v="2012-06-29T00:00:00"/>
    <n v="4469"/>
    <x v="1448"/>
    <n v="779"/>
    <n v="4688"/>
    <n v="0"/>
  </r>
  <r>
    <x v="12"/>
    <x v="0"/>
    <s v="Сахар песок фас. 10кг:1"/>
    <n v="317.08"/>
    <d v="2012-06-30T00:00:00"/>
    <n v="4688"/>
    <x v="1449"/>
    <n v="973"/>
    <n v="4465"/>
    <n v="0"/>
  </r>
  <r>
    <x v="12"/>
    <x v="0"/>
    <s v="Сахар песок фас. 10кг:1"/>
    <n v="317.08"/>
    <d v="2012-07-01T00:00:00"/>
    <n v="4465"/>
    <x v="1450"/>
    <n v="964"/>
    <n v="4136"/>
    <n v="0"/>
  </r>
  <r>
    <x v="12"/>
    <x v="0"/>
    <s v="Сахар песок фас. 10кг:1"/>
    <n v="317.08"/>
    <d v="2012-07-02T00:00:00"/>
    <n v="4136"/>
    <x v="1451"/>
    <n v="937"/>
    <n v="4112"/>
    <n v="0"/>
  </r>
  <r>
    <x v="12"/>
    <x v="0"/>
    <s v="Сахар песок фас. 10кг:1"/>
    <n v="317.08"/>
    <d v="2012-07-03T00:00:00"/>
    <n v="4112"/>
    <x v="1452"/>
    <n v="840"/>
    <n v="4106"/>
    <n v="0"/>
  </r>
  <r>
    <x v="12"/>
    <x v="0"/>
    <s v="Сахар песок фас. 10кг:1"/>
    <n v="317.08"/>
    <d v="2012-07-04T00:00:00"/>
    <n v="4106"/>
    <x v="1453"/>
    <n v="922"/>
    <n v="3982"/>
    <n v="0"/>
  </r>
  <r>
    <x v="12"/>
    <x v="0"/>
    <s v="Сахар песок фас. 10кг:1"/>
    <n v="317.08"/>
    <d v="2012-07-05T00:00:00"/>
    <n v="3982"/>
    <x v="1454"/>
    <n v="879"/>
    <n v="4128"/>
    <n v="0"/>
  </r>
  <r>
    <x v="12"/>
    <x v="0"/>
    <s v="Сахар песок фас. 10кг:1"/>
    <n v="317.08"/>
    <d v="2012-07-06T00:00:00"/>
    <n v="4128"/>
    <x v="1455"/>
    <n v="868"/>
    <n v="4143"/>
    <n v="0"/>
  </r>
  <r>
    <x v="12"/>
    <x v="0"/>
    <s v="Сахар песок фас. 10кг:1"/>
    <n v="317.08"/>
    <d v="2012-07-07T00:00:00"/>
    <n v="4143"/>
    <x v="1456"/>
    <n v="908"/>
    <n v="3769"/>
    <n v="0"/>
  </r>
  <r>
    <x v="12"/>
    <x v="0"/>
    <s v="Сахар песок фас. 10кг:1"/>
    <n v="317.08"/>
    <d v="2012-07-08T00:00:00"/>
    <n v="3769"/>
    <x v="1457"/>
    <n v="728"/>
    <n v="3530"/>
    <n v="0"/>
  </r>
  <r>
    <x v="12"/>
    <x v="0"/>
    <s v="Сахар песок фас. 10кг:1"/>
    <n v="317.08"/>
    <d v="2012-07-09T00:00:00"/>
    <n v="3530"/>
    <x v="1458"/>
    <n v="723"/>
    <n v="4220"/>
    <n v="0"/>
  </r>
  <r>
    <x v="12"/>
    <x v="0"/>
    <s v="Сахар песок фас. 10кг:1"/>
    <n v="317.08"/>
    <d v="2012-07-10T00:00:00"/>
    <n v="4220"/>
    <x v="1459"/>
    <n v="709"/>
    <n v="4173"/>
    <n v="0"/>
  </r>
  <r>
    <x v="12"/>
    <x v="0"/>
    <s v="Сахар песок фас. 10кг:1"/>
    <n v="317.08"/>
    <d v="2012-07-11T00:00:00"/>
    <n v="4173"/>
    <x v="1460"/>
    <n v="765"/>
    <n v="3806"/>
    <n v="0"/>
  </r>
  <r>
    <x v="12"/>
    <x v="0"/>
    <s v="Сахар песок фас. 10кг:1"/>
    <n v="317.08"/>
    <d v="2012-07-12T00:00:00"/>
    <n v="3806"/>
    <x v="650"/>
    <n v="565"/>
    <n v="3276"/>
    <n v="0"/>
  </r>
  <r>
    <x v="12"/>
    <x v="0"/>
    <s v="Сахар песок фас. 10кг:1"/>
    <n v="317.08"/>
    <d v="2012-07-13T00:00:00"/>
    <n v="3276"/>
    <x v="526"/>
    <n v="485"/>
    <n v="3526"/>
    <n v="0"/>
  </r>
  <r>
    <x v="12"/>
    <x v="0"/>
    <s v="Сахар песок фас. 10кг:1"/>
    <n v="317.08"/>
    <d v="2012-07-14T00:00:00"/>
    <n v="3526"/>
    <x v="1461"/>
    <n v="519"/>
    <n v="3820"/>
    <n v="0"/>
  </r>
  <r>
    <x v="12"/>
    <x v="0"/>
    <s v="Сахар песок фас. 10кг:1"/>
    <n v="317.08"/>
    <d v="2012-07-15T00:00:00"/>
    <n v="3820"/>
    <x v="1118"/>
    <n v="519"/>
    <n v="3364"/>
    <n v="0"/>
  </r>
  <r>
    <x v="12"/>
    <x v="0"/>
    <s v="Сахар песок фас. 10кг:1"/>
    <n v="317.08"/>
    <d v="2012-07-16T00:00:00"/>
    <n v="3364"/>
    <x v="0"/>
    <n v="345"/>
    <n v="3022"/>
    <n v="0"/>
  </r>
  <r>
    <x v="12"/>
    <x v="0"/>
    <s v="Сахар песок фас. 10кг:1"/>
    <n v="317.08"/>
    <d v="2012-07-17T00:00:00"/>
    <n v="3022"/>
    <x v="0"/>
    <n v="251"/>
    <n v="2763"/>
    <n v="0"/>
  </r>
  <r>
    <x v="12"/>
    <x v="1"/>
    <s v="Сахар песок фас.1кг:6"/>
    <n v="33.659999999999997"/>
    <d v="2012-06-01T00:00:00"/>
    <n v="69152"/>
    <x v="1462"/>
    <n v="9417"/>
    <n v="68173"/>
    <n v="0"/>
  </r>
  <r>
    <x v="12"/>
    <x v="1"/>
    <s v="Сахар песок фас.1кг:6"/>
    <n v="33.659999999999997"/>
    <d v="2012-06-02T00:00:00"/>
    <n v="68173"/>
    <x v="1463"/>
    <n v="9786"/>
    <n v="66411"/>
    <n v="0"/>
  </r>
  <r>
    <x v="12"/>
    <x v="1"/>
    <s v="Сахар песок фас.1кг:6"/>
    <n v="33.659999999999997"/>
    <d v="2012-06-03T00:00:00"/>
    <n v="66411"/>
    <x v="1464"/>
    <n v="10343"/>
    <n v="67041"/>
    <n v="0"/>
  </r>
  <r>
    <x v="12"/>
    <x v="1"/>
    <s v="Сахар песок фас.1кг:6"/>
    <n v="33.659999999999997"/>
    <d v="2012-06-04T00:00:00"/>
    <n v="67041"/>
    <x v="1465"/>
    <n v="12000"/>
    <n v="66822"/>
    <n v="0"/>
  </r>
  <r>
    <x v="12"/>
    <x v="1"/>
    <s v="Сахар песок фас.1кг:6"/>
    <n v="33.659999999999997"/>
    <d v="2012-06-05T00:00:00"/>
    <n v="66822"/>
    <x v="1466"/>
    <n v="12240"/>
    <n v="57151"/>
    <n v="0"/>
  </r>
  <r>
    <x v="12"/>
    <x v="1"/>
    <s v="Сахар песок фас.1кг:6"/>
    <n v="33.659999999999997"/>
    <d v="2012-06-06T00:00:00"/>
    <n v="57151"/>
    <x v="1467"/>
    <n v="11894"/>
    <n v="60141"/>
    <n v="0"/>
  </r>
  <r>
    <x v="12"/>
    <x v="1"/>
    <s v="Сахар песок фас.1кг:6"/>
    <n v="33.659999999999997"/>
    <d v="2012-06-07T00:00:00"/>
    <n v="60141"/>
    <x v="1468"/>
    <n v="12830"/>
    <n v="73370"/>
    <n v="1"/>
  </r>
  <r>
    <x v="12"/>
    <x v="1"/>
    <s v="Сахар песок фас.1кг:6"/>
    <n v="33.659999999999997"/>
    <d v="2012-06-08T00:00:00"/>
    <n v="73370"/>
    <x v="1469"/>
    <n v="13879"/>
    <n v="74270"/>
    <n v="0"/>
  </r>
  <r>
    <x v="12"/>
    <x v="1"/>
    <s v="Сахар песок фас.1кг:6"/>
    <n v="33.659999999999997"/>
    <d v="2012-06-09T00:00:00"/>
    <n v="74270"/>
    <x v="1470"/>
    <n v="14195"/>
    <n v="73891"/>
    <n v="0"/>
  </r>
  <r>
    <x v="12"/>
    <x v="1"/>
    <s v="Сахар песок фас.1кг:6"/>
    <n v="33.659999999999997"/>
    <d v="2012-06-10T00:00:00"/>
    <n v="73891"/>
    <x v="1471"/>
    <n v="14255"/>
    <n v="71784"/>
    <n v="0"/>
  </r>
  <r>
    <x v="12"/>
    <x v="1"/>
    <s v="Сахар песок фас.1кг:6"/>
    <n v="33.659999999999997"/>
    <d v="2012-06-11T00:00:00"/>
    <n v="71784"/>
    <x v="1472"/>
    <n v="13270"/>
    <n v="70725"/>
    <n v="0"/>
  </r>
  <r>
    <x v="12"/>
    <x v="1"/>
    <s v="Сахар песок фас.1кг:6"/>
    <n v="33.659999999999997"/>
    <d v="2012-06-12T00:00:00"/>
    <n v="70725"/>
    <x v="1473"/>
    <n v="13827"/>
    <n v="68425"/>
    <n v="1"/>
  </r>
  <r>
    <x v="12"/>
    <x v="1"/>
    <s v="Сахар песок фас.1кг:6"/>
    <n v="33.659999999999997"/>
    <d v="2012-06-13T00:00:00"/>
    <n v="68425"/>
    <x v="1474"/>
    <n v="15867"/>
    <n v="57206"/>
    <n v="0"/>
  </r>
  <r>
    <x v="12"/>
    <x v="1"/>
    <s v="Сахар песок фас.1кг:6"/>
    <n v="33.659999999999997"/>
    <d v="2012-06-14T00:00:00"/>
    <n v="57206"/>
    <x v="1475"/>
    <n v="13620"/>
    <n v="56645"/>
    <n v="2"/>
  </r>
  <r>
    <x v="12"/>
    <x v="1"/>
    <s v="Сахар песок фас.1кг:6"/>
    <n v="33.659999999999997"/>
    <d v="2012-06-15T00:00:00"/>
    <n v="56645"/>
    <x v="1476"/>
    <n v="13315"/>
    <n v="62202"/>
    <n v="0"/>
  </r>
  <r>
    <x v="12"/>
    <x v="1"/>
    <s v="Сахар песок фас.1кг:6"/>
    <n v="33.659999999999997"/>
    <d v="2012-06-16T00:00:00"/>
    <n v="62202"/>
    <x v="1477"/>
    <n v="14105"/>
    <n v="62784"/>
    <n v="0"/>
  </r>
  <r>
    <x v="12"/>
    <x v="1"/>
    <s v="Сахар песок фас.1кг:6"/>
    <n v="33.659999999999997"/>
    <d v="2012-06-17T00:00:00"/>
    <n v="62784"/>
    <x v="1478"/>
    <n v="15597"/>
    <n v="62865"/>
    <n v="0"/>
  </r>
  <r>
    <x v="12"/>
    <x v="1"/>
    <s v="Сахар песок фас.1кг:6"/>
    <n v="33.659999999999997"/>
    <d v="2012-06-18T00:00:00"/>
    <n v="62865"/>
    <x v="1351"/>
    <n v="16462"/>
    <n v="60637"/>
    <n v="0"/>
  </r>
  <r>
    <x v="12"/>
    <x v="1"/>
    <s v="Сахар песок фас.1кг:6"/>
    <n v="33.659999999999997"/>
    <d v="2012-06-19T00:00:00"/>
    <n v="60637"/>
    <x v="1479"/>
    <n v="13570"/>
    <n v="57847"/>
    <n v="0"/>
  </r>
  <r>
    <x v="12"/>
    <x v="1"/>
    <s v="Сахар песок фас.1кг:6"/>
    <n v="33.659999999999997"/>
    <d v="2012-06-20T00:00:00"/>
    <n v="57847"/>
    <x v="1480"/>
    <n v="13315"/>
    <n v="44898"/>
    <n v="0"/>
  </r>
  <r>
    <x v="12"/>
    <x v="1"/>
    <s v="Сахар песок фас.1кг:6"/>
    <n v="33.659999999999997"/>
    <d v="2012-06-21T00:00:00"/>
    <n v="44898"/>
    <x v="1481"/>
    <n v="11685"/>
    <n v="54630"/>
    <n v="0"/>
  </r>
  <r>
    <x v="12"/>
    <x v="1"/>
    <s v="Сахар песок фас.1кг:6"/>
    <n v="33.659999999999997"/>
    <d v="2012-06-22T00:00:00"/>
    <n v="54630"/>
    <x v="1482"/>
    <n v="9544"/>
    <n v="67110"/>
    <n v="0"/>
  </r>
  <r>
    <x v="12"/>
    <x v="1"/>
    <s v="Сахар песок фас.1кг:6"/>
    <n v="33.659999999999997"/>
    <d v="2012-06-23T00:00:00"/>
    <n v="67110"/>
    <x v="1483"/>
    <n v="9654"/>
    <n v="83095"/>
    <n v="0"/>
  </r>
  <r>
    <x v="12"/>
    <x v="1"/>
    <s v="Сахар песок фас.1кг:6"/>
    <n v="33.659999999999997"/>
    <d v="2012-06-24T00:00:00"/>
    <n v="83095"/>
    <x v="1484"/>
    <n v="11790"/>
    <n v="94913"/>
    <n v="2"/>
  </r>
  <r>
    <x v="12"/>
    <x v="1"/>
    <s v="Сахар песок фас.1кг:6"/>
    <n v="33.659999999999997"/>
    <d v="2012-06-25T00:00:00"/>
    <n v="94913"/>
    <x v="1485"/>
    <n v="13358"/>
    <n v="96401"/>
    <n v="0"/>
  </r>
  <r>
    <x v="12"/>
    <x v="1"/>
    <s v="Сахар песок фас.1кг:6"/>
    <n v="33.659999999999997"/>
    <d v="2012-06-26T00:00:00"/>
    <n v="96401"/>
    <x v="1486"/>
    <n v="12293"/>
    <n v="95452"/>
    <n v="1"/>
  </r>
  <r>
    <x v="12"/>
    <x v="1"/>
    <s v="Сахар песок фас.1кг:6"/>
    <n v="33.659999999999997"/>
    <d v="2012-06-27T00:00:00"/>
    <n v="95452"/>
    <x v="1487"/>
    <n v="12097"/>
    <n v="97863"/>
    <n v="0"/>
  </r>
  <r>
    <x v="12"/>
    <x v="1"/>
    <s v="Сахар песок фас.1кг:6"/>
    <n v="33.659999999999997"/>
    <d v="2012-06-28T00:00:00"/>
    <n v="97863"/>
    <x v="1488"/>
    <n v="11891"/>
    <n v="95279"/>
    <n v="0"/>
  </r>
  <r>
    <x v="12"/>
    <x v="1"/>
    <s v="Сахар песок фас.1кг:6"/>
    <n v="33.659999999999997"/>
    <d v="2012-06-29T00:00:00"/>
    <n v="95279"/>
    <x v="1489"/>
    <n v="10903"/>
    <n v="94699"/>
    <n v="0"/>
  </r>
  <r>
    <x v="12"/>
    <x v="1"/>
    <s v="Сахар песок фас.1кг:6"/>
    <n v="33.659999999999997"/>
    <d v="2012-06-30T00:00:00"/>
    <n v="94699"/>
    <x v="1490"/>
    <n v="11632"/>
    <n v="93949"/>
    <n v="0"/>
  </r>
  <r>
    <x v="12"/>
    <x v="1"/>
    <s v="Сахар песок фас.1кг:6"/>
    <n v="33.659999999999997"/>
    <d v="2012-07-01T00:00:00"/>
    <n v="93949"/>
    <x v="1491"/>
    <n v="13199"/>
    <n v="89972"/>
    <n v="0"/>
  </r>
  <r>
    <x v="12"/>
    <x v="1"/>
    <s v="Сахар песок фас.1кг:6"/>
    <n v="33.659999999999997"/>
    <d v="2012-07-02T00:00:00"/>
    <n v="89972"/>
    <x v="1492"/>
    <n v="14998"/>
    <n v="84678"/>
    <n v="0"/>
  </r>
  <r>
    <x v="12"/>
    <x v="1"/>
    <s v="Сахар песок фас.1кг:6"/>
    <n v="33.659999999999997"/>
    <d v="2012-07-03T00:00:00"/>
    <n v="84678"/>
    <x v="1493"/>
    <n v="14581"/>
    <n v="80699"/>
    <n v="0"/>
  </r>
  <r>
    <x v="12"/>
    <x v="1"/>
    <s v="Сахар песок фас.1кг:6"/>
    <n v="33.659999999999997"/>
    <d v="2012-07-04T00:00:00"/>
    <n v="80699"/>
    <x v="1494"/>
    <n v="14994"/>
    <n v="81958"/>
    <n v="0"/>
  </r>
  <r>
    <x v="12"/>
    <x v="1"/>
    <s v="Сахар песок фас.1кг:6"/>
    <n v="33.659999999999997"/>
    <d v="2012-07-05T00:00:00"/>
    <n v="81958"/>
    <x v="1495"/>
    <n v="14189"/>
    <n v="74666"/>
    <n v="0"/>
  </r>
  <r>
    <x v="12"/>
    <x v="1"/>
    <s v="Сахар песок фас.1кг:6"/>
    <n v="33.659999999999997"/>
    <d v="2012-07-06T00:00:00"/>
    <n v="74666"/>
    <x v="639"/>
    <n v="13397"/>
    <n v="61219"/>
    <n v="0"/>
  </r>
  <r>
    <x v="12"/>
    <x v="1"/>
    <s v="Сахар песок фас.1кг:6"/>
    <n v="33.659999999999997"/>
    <d v="2012-07-07T00:00:00"/>
    <n v="61219"/>
    <x v="1496"/>
    <n v="12898"/>
    <n v="79197"/>
    <n v="0"/>
  </r>
  <r>
    <x v="12"/>
    <x v="1"/>
    <s v="Сахар песок фас.1кг:6"/>
    <n v="33.659999999999997"/>
    <d v="2012-07-08T00:00:00"/>
    <n v="79197"/>
    <x v="1497"/>
    <n v="13493"/>
    <n v="83630"/>
    <n v="0"/>
  </r>
  <r>
    <x v="12"/>
    <x v="1"/>
    <s v="Сахар песок фас.1кг:6"/>
    <n v="33.659999999999997"/>
    <d v="2012-07-09T00:00:00"/>
    <n v="83630"/>
    <x v="1498"/>
    <n v="13033"/>
    <n v="71388"/>
    <n v="0"/>
  </r>
  <r>
    <x v="12"/>
    <x v="1"/>
    <s v="Сахар песок фас.1кг:6"/>
    <n v="33.659999999999997"/>
    <d v="2012-07-10T00:00:00"/>
    <n v="71388"/>
    <x v="1499"/>
    <n v="11278"/>
    <n v="79928"/>
    <n v="0"/>
  </r>
  <r>
    <x v="12"/>
    <x v="1"/>
    <s v="Сахар песок фас.1кг:6"/>
    <n v="33.659999999999997"/>
    <d v="2012-07-11T00:00:00"/>
    <n v="79928"/>
    <x v="1500"/>
    <n v="10591"/>
    <n v="98735"/>
    <n v="0"/>
  </r>
  <r>
    <x v="12"/>
    <x v="1"/>
    <s v="Сахар песок фас.1кг:6"/>
    <n v="33.659999999999997"/>
    <d v="2012-07-12T00:00:00"/>
    <n v="98735"/>
    <x v="1501"/>
    <n v="11109"/>
    <n v="100008"/>
    <n v="1"/>
  </r>
  <r>
    <x v="12"/>
    <x v="1"/>
    <s v="Сахар песок фас.1кг:6"/>
    <n v="33.659999999999997"/>
    <d v="2012-07-13T00:00:00"/>
    <n v="100008"/>
    <x v="1502"/>
    <n v="9279"/>
    <n v="99958"/>
    <n v="3"/>
  </r>
  <r>
    <x v="12"/>
    <x v="1"/>
    <s v="Сахар песок фас.1кг:6"/>
    <n v="33.659999999999997"/>
    <d v="2012-07-14T00:00:00"/>
    <n v="99958"/>
    <x v="1503"/>
    <n v="9812"/>
    <n v="97067"/>
    <n v="0"/>
  </r>
  <r>
    <x v="12"/>
    <x v="1"/>
    <s v="Сахар песок фас.1кг:6"/>
    <n v="33.659999999999997"/>
    <d v="2012-07-15T00:00:00"/>
    <n v="97067"/>
    <x v="1504"/>
    <n v="10042"/>
    <n v="92981"/>
    <n v="0"/>
  </r>
  <r>
    <x v="12"/>
    <x v="1"/>
    <s v="Сахар песок фас.1кг:6"/>
    <n v="33.659999999999997"/>
    <d v="2012-07-16T00:00:00"/>
    <n v="92981"/>
    <x v="1505"/>
    <n v="10961"/>
    <n v="87410"/>
    <n v="0"/>
  </r>
  <r>
    <x v="12"/>
    <x v="1"/>
    <s v="Сахар песок фас.1кг:6"/>
    <n v="33.659999999999997"/>
    <d v="2012-07-17T00:00:00"/>
    <n v="87410"/>
    <x v="1506"/>
    <n v="9761"/>
    <n v="84029"/>
    <n v="0"/>
  </r>
  <r>
    <x v="12"/>
    <x v="2"/>
    <s v="Сахар песок фас.5кг :1"/>
    <n v="165.05"/>
    <d v="2012-06-01T00:00:00"/>
    <n v="10761"/>
    <x v="1507"/>
    <n v="1518"/>
    <n v="10518"/>
    <n v="0"/>
  </r>
  <r>
    <x v="12"/>
    <x v="2"/>
    <s v="Сахар песок фас.5кг :1"/>
    <n v="165.05"/>
    <d v="2012-06-02T00:00:00"/>
    <n v="10518"/>
    <x v="1508"/>
    <n v="1654"/>
    <n v="10159"/>
    <n v="0"/>
  </r>
  <r>
    <x v="12"/>
    <x v="2"/>
    <s v="Сахар песок фас.5кг :1"/>
    <n v="165.05"/>
    <d v="2012-06-03T00:00:00"/>
    <n v="10159"/>
    <x v="1509"/>
    <n v="1770"/>
    <n v="10138"/>
    <n v="0"/>
  </r>
  <r>
    <x v="12"/>
    <x v="2"/>
    <s v="Сахар песок фас.5кг :1"/>
    <n v="165.05"/>
    <d v="2012-06-04T00:00:00"/>
    <n v="10138"/>
    <x v="1510"/>
    <n v="1982"/>
    <n v="9910"/>
    <n v="0"/>
  </r>
  <r>
    <x v="12"/>
    <x v="2"/>
    <s v="Сахар песок фас.5кг :1"/>
    <n v="165.05"/>
    <d v="2012-06-05T00:00:00"/>
    <n v="9910"/>
    <x v="1511"/>
    <n v="2076"/>
    <n v="9640"/>
    <n v="0"/>
  </r>
  <r>
    <x v="12"/>
    <x v="2"/>
    <s v="Сахар песок фас.5кг :1"/>
    <n v="165.05"/>
    <d v="2012-06-06T00:00:00"/>
    <n v="9640"/>
    <x v="193"/>
    <n v="2368"/>
    <n v="10002"/>
    <n v="0"/>
  </r>
  <r>
    <x v="12"/>
    <x v="2"/>
    <s v="Сахар песок фас.5кг :1"/>
    <n v="165.05"/>
    <d v="2012-06-07T00:00:00"/>
    <n v="10002"/>
    <x v="1512"/>
    <n v="2388"/>
    <n v="10386"/>
    <n v="0"/>
  </r>
  <r>
    <x v="12"/>
    <x v="2"/>
    <s v="Сахар песок фас.5кг :1"/>
    <n v="165.05"/>
    <d v="2012-06-08T00:00:00"/>
    <n v="10386"/>
    <x v="1513"/>
    <n v="2731"/>
    <n v="10335"/>
    <n v="0"/>
  </r>
  <r>
    <x v="12"/>
    <x v="2"/>
    <s v="Сахар песок фас.5кг :1"/>
    <n v="165.05"/>
    <d v="2012-06-09T00:00:00"/>
    <n v="10335"/>
    <x v="1514"/>
    <n v="2357"/>
    <n v="10778"/>
    <n v="0"/>
  </r>
  <r>
    <x v="12"/>
    <x v="2"/>
    <s v="Сахар песок фас.5кг :1"/>
    <n v="165.05"/>
    <d v="2012-06-10T00:00:00"/>
    <n v="10778"/>
    <x v="1108"/>
    <n v="2916"/>
    <n v="8380"/>
    <n v="0"/>
  </r>
  <r>
    <x v="12"/>
    <x v="2"/>
    <s v="Сахар песок фас.5кг :1"/>
    <n v="165.05"/>
    <d v="2012-06-11T00:00:00"/>
    <n v="8380"/>
    <x v="638"/>
    <n v="1434"/>
    <n v="6471"/>
    <n v="0"/>
  </r>
  <r>
    <x v="12"/>
    <x v="2"/>
    <s v="Сахар песок фас.5кг :1"/>
    <n v="165.05"/>
    <d v="2012-06-12T00:00:00"/>
    <n v="6471"/>
    <x v="636"/>
    <n v="1535"/>
    <n v="4960"/>
    <n v="0"/>
  </r>
  <r>
    <x v="12"/>
    <x v="2"/>
    <s v="Сахар песок фас.5кг :1"/>
    <n v="165.05"/>
    <d v="2012-06-13T00:00:00"/>
    <n v="4960"/>
    <x v="653"/>
    <n v="1121"/>
    <n v="3871"/>
    <n v="0"/>
  </r>
  <r>
    <x v="12"/>
    <x v="2"/>
    <s v="Сахар песок фас.5кг :1"/>
    <n v="165.05"/>
    <d v="2012-06-14T00:00:00"/>
    <n v="3871"/>
    <x v="628"/>
    <n v="745"/>
    <n v="3176"/>
    <n v="0"/>
  </r>
  <r>
    <x v="12"/>
    <x v="2"/>
    <s v="Сахар песок фас.5кг :1"/>
    <n v="165.05"/>
    <d v="2012-06-15T00:00:00"/>
    <n v="3176"/>
    <x v="1515"/>
    <n v="770"/>
    <n v="5550"/>
    <n v="0"/>
  </r>
  <r>
    <x v="12"/>
    <x v="2"/>
    <s v="Сахар песок фас.5кг :1"/>
    <n v="165.05"/>
    <d v="2012-06-16T00:00:00"/>
    <n v="5550"/>
    <x v="1516"/>
    <n v="1412"/>
    <n v="10047"/>
    <n v="0"/>
  </r>
  <r>
    <x v="12"/>
    <x v="2"/>
    <s v="Сахар песок фас.5кг :1"/>
    <n v="165.05"/>
    <d v="2012-06-17T00:00:00"/>
    <n v="10047"/>
    <x v="1517"/>
    <n v="2145"/>
    <n v="8643"/>
    <n v="0"/>
  </r>
  <r>
    <x v="12"/>
    <x v="2"/>
    <s v="Сахар песок фас.5кг :1"/>
    <n v="165.05"/>
    <d v="2012-06-18T00:00:00"/>
    <n v="8643"/>
    <x v="1518"/>
    <n v="1890"/>
    <n v="7998"/>
    <n v="0"/>
  </r>
  <r>
    <x v="12"/>
    <x v="2"/>
    <s v="Сахар песок фас.5кг :1"/>
    <n v="165.05"/>
    <d v="2012-06-19T00:00:00"/>
    <n v="7998"/>
    <x v="1519"/>
    <n v="1677"/>
    <n v="11789"/>
    <n v="0"/>
  </r>
  <r>
    <x v="12"/>
    <x v="2"/>
    <s v="Сахар песок фас.5кг :1"/>
    <n v="165.05"/>
    <d v="2012-06-20T00:00:00"/>
    <n v="11789"/>
    <x v="1520"/>
    <n v="2095"/>
    <n v="12415"/>
    <n v="0"/>
  </r>
  <r>
    <x v="12"/>
    <x v="2"/>
    <s v="Сахар песок фас.5кг :1"/>
    <n v="165.05"/>
    <d v="2012-06-21T00:00:00"/>
    <n v="12415"/>
    <x v="1521"/>
    <n v="2329"/>
    <n v="10195"/>
    <n v="0"/>
  </r>
  <r>
    <x v="12"/>
    <x v="2"/>
    <s v="Сахар песок фас.5кг :1"/>
    <n v="165.05"/>
    <d v="2012-06-22T00:00:00"/>
    <n v="10195"/>
    <x v="1522"/>
    <n v="2285"/>
    <n v="10103"/>
    <n v="0"/>
  </r>
  <r>
    <x v="12"/>
    <x v="2"/>
    <s v="Сахар песок фас.5кг :1"/>
    <n v="165.05"/>
    <d v="2012-06-23T00:00:00"/>
    <n v="10103"/>
    <x v="1523"/>
    <n v="2245"/>
    <n v="11216"/>
    <n v="0"/>
  </r>
  <r>
    <x v="12"/>
    <x v="2"/>
    <s v="Сахар песок фас.5кг :1"/>
    <n v="165.05"/>
    <d v="2012-06-24T00:00:00"/>
    <n v="11216"/>
    <x v="1524"/>
    <n v="2813"/>
    <n v="11441"/>
    <n v="0"/>
  </r>
  <r>
    <x v="12"/>
    <x v="2"/>
    <s v="Сахар песок фас.5кг :1"/>
    <n v="165.05"/>
    <d v="2012-06-25T00:00:00"/>
    <n v="11441"/>
    <x v="1525"/>
    <n v="3015"/>
    <n v="10703"/>
    <n v="0"/>
  </r>
  <r>
    <x v="12"/>
    <x v="2"/>
    <s v="Сахар песок фас.5кг :1"/>
    <n v="165.05"/>
    <d v="2012-06-26T00:00:00"/>
    <n v="10703"/>
    <x v="1526"/>
    <n v="2611"/>
    <n v="11223"/>
    <n v="0"/>
  </r>
  <r>
    <x v="12"/>
    <x v="2"/>
    <s v="Сахар песок фас.5кг :1"/>
    <n v="165.05"/>
    <d v="2012-06-27T00:00:00"/>
    <n v="11223"/>
    <x v="850"/>
    <n v="2620"/>
    <n v="12309"/>
    <n v="0"/>
  </r>
  <r>
    <x v="12"/>
    <x v="2"/>
    <s v="Сахар песок фас.5кг :1"/>
    <n v="165.05"/>
    <d v="2012-06-28T00:00:00"/>
    <n v="12309"/>
    <x v="1527"/>
    <n v="2452"/>
    <n v="13893"/>
    <n v="0"/>
  </r>
  <r>
    <x v="12"/>
    <x v="2"/>
    <s v="Сахар песок фас.5кг :1"/>
    <n v="165.05"/>
    <d v="2012-06-29T00:00:00"/>
    <n v="13893"/>
    <x v="1522"/>
    <n v="2749"/>
    <n v="13321"/>
    <n v="0"/>
  </r>
  <r>
    <x v="12"/>
    <x v="2"/>
    <s v="Сахар песок фас.5кг :1"/>
    <n v="165.05"/>
    <d v="2012-06-30T00:00:00"/>
    <n v="13321"/>
    <x v="1528"/>
    <n v="2733"/>
    <n v="10517"/>
    <n v="0"/>
  </r>
  <r>
    <x v="12"/>
    <x v="2"/>
    <s v="Сахар песок фас.5кг :1"/>
    <n v="165.05"/>
    <d v="2012-07-01T00:00:00"/>
    <n v="10517"/>
    <x v="1529"/>
    <n v="2603"/>
    <n v="7910"/>
    <n v="0"/>
  </r>
  <r>
    <x v="12"/>
    <x v="2"/>
    <s v="Сахар песок фас.5кг :1"/>
    <n v="165.05"/>
    <d v="2012-07-02T00:00:00"/>
    <n v="7910"/>
    <x v="1112"/>
    <n v="1940"/>
    <n v="6040"/>
    <n v="0"/>
  </r>
  <r>
    <x v="12"/>
    <x v="2"/>
    <s v="Сахар песок фас.5кг :1"/>
    <n v="165.05"/>
    <d v="2012-07-03T00:00:00"/>
    <n v="6040"/>
    <x v="1530"/>
    <n v="1643"/>
    <n v="4523"/>
    <n v="0"/>
  </r>
  <r>
    <x v="12"/>
    <x v="2"/>
    <s v="Сахар песок фас.5кг :1"/>
    <n v="165.05"/>
    <d v="2012-07-04T00:00:00"/>
    <n v="4523"/>
    <x v="1531"/>
    <n v="1445"/>
    <n v="9511"/>
    <n v="0"/>
  </r>
  <r>
    <x v="12"/>
    <x v="2"/>
    <s v="Сахар песок фас.5кг :1"/>
    <n v="165.05"/>
    <d v="2012-07-05T00:00:00"/>
    <n v="9511"/>
    <x v="454"/>
    <n v="1727"/>
    <n v="7778"/>
    <n v="0"/>
  </r>
  <r>
    <x v="12"/>
    <x v="2"/>
    <s v="Сахар песок фас.5кг :1"/>
    <n v="165.05"/>
    <d v="2012-07-06T00:00:00"/>
    <n v="7778"/>
    <x v="1532"/>
    <n v="1833"/>
    <n v="7934"/>
    <n v="0"/>
  </r>
  <r>
    <x v="12"/>
    <x v="2"/>
    <s v="Сахар песок фас.5кг :1"/>
    <n v="165.05"/>
    <d v="2012-07-07T00:00:00"/>
    <n v="7934"/>
    <x v="1533"/>
    <n v="1837"/>
    <n v="13057"/>
    <n v="0"/>
  </r>
  <r>
    <x v="12"/>
    <x v="2"/>
    <s v="Сахар песок фас.5кг :1"/>
    <n v="165.05"/>
    <d v="2012-07-08T00:00:00"/>
    <n v="13057"/>
    <x v="1534"/>
    <n v="2593"/>
    <n v="12603"/>
    <n v="0"/>
  </r>
  <r>
    <x v="12"/>
    <x v="2"/>
    <s v="Сахар песок фас.5кг :1"/>
    <n v="165.05"/>
    <d v="2012-07-09T00:00:00"/>
    <n v="12603"/>
    <x v="1535"/>
    <n v="2778"/>
    <n v="10843"/>
    <n v="0"/>
  </r>
  <r>
    <x v="12"/>
    <x v="2"/>
    <s v="Сахар песок фас.5кг :1"/>
    <n v="165.05"/>
    <d v="2012-07-10T00:00:00"/>
    <n v="10843"/>
    <x v="1536"/>
    <n v="2379"/>
    <n v="11054"/>
    <n v="0"/>
  </r>
  <r>
    <x v="12"/>
    <x v="2"/>
    <s v="Сахар песок фас.5кг :1"/>
    <n v="165.05"/>
    <d v="2012-07-11T00:00:00"/>
    <n v="11054"/>
    <x v="1537"/>
    <n v="2211"/>
    <n v="11405"/>
    <n v="0"/>
  </r>
  <r>
    <x v="12"/>
    <x v="2"/>
    <s v="Сахар песок фас.5кг :1"/>
    <n v="165.05"/>
    <d v="2012-07-12T00:00:00"/>
    <n v="11405"/>
    <x v="1538"/>
    <n v="2233"/>
    <n v="12774"/>
    <n v="0"/>
  </r>
  <r>
    <x v="12"/>
    <x v="2"/>
    <s v="Сахар песок фас.5кг :1"/>
    <n v="165.05"/>
    <d v="2012-07-13T00:00:00"/>
    <n v="12774"/>
    <x v="1539"/>
    <n v="2331"/>
    <n v="12444"/>
    <n v="0"/>
  </r>
  <r>
    <x v="12"/>
    <x v="2"/>
    <s v="Сахар песок фас.5кг :1"/>
    <n v="165.05"/>
    <d v="2012-07-14T00:00:00"/>
    <n v="12444"/>
    <x v="1540"/>
    <n v="1962"/>
    <n v="13200"/>
    <n v="0"/>
  </r>
  <r>
    <x v="12"/>
    <x v="2"/>
    <s v="Сахар песок фас.5кг :1"/>
    <n v="165.05"/>
    <d v="2012-07-15T00:00:00"/>
    <n v="13200"/>
    <x v="1541"/>
    <n v="1953"/>
    <n v="12989"/>
    <n v="0"/>
  </r>
  <r>
    <x v="12"/>
    <x v="2"/>
    <s v="Сахар песок фас.5кг :1"/>
    <n v="165.05"/>
    <d v="2012-07-16T00:00:00"/>
    <n v="12989"/>
    <x v="1542"/>
    <n v="1717"/>
    <n v="11262"/>
    <n v="0"/>
  </r>
  <r>
    <x v="12"/>
    <x v="2"/>
    <s v="Сахар песок фас.5кг :1"/>
    <n v="165.05"/>
    <d v="2012-07-17T00:00:00"/>
    <n v="11262"/>
    <x v="0"/>
    <n v="1541"/>
    <n v="9706"/>
    <n v="0"/>
  </r>
  <r>
    <x v="13"/>
    <x v="0"/>
    <s v="Сахар песок фас. 10кг:1"/>
    <n v="317.08"/>
    <d v="2012-06-01T00:00:00"/>
    <n v="3282"/>
    <x v="386"/>
    <n v="696"/>
    <n v="3179"/>
    <n v="0"/>
  </r>
  <r>
    <x v="13"/>
    <x v="0"/>
    <s v="Сахар песок фас. 10кг:1"/>
    <n v="317.08"/>
    <d v="2012-06-02T00:00:00"/>
    <n v="3179"/>
    <x v="22"/>
    <n v="773"/>
    <n v="3051"/>
    <n v="0"/>
  </r>
  <r>
    <x v="13"/>
    <x v="0"/>
    <s v="Сахар песок фас. 10кг:1"/>
    <n v="317.08"/>
    <d v="2012-06-03T00:00:00"/>
    <n v="3051"/>
    <x v="1543"/>
    <n v="758"/>
    <n v="3167"/>
    <n v="0"/>
  </r>
  <r>
    <x v="13"/>
    <x v="0"/>
    <s v="Сахар песок фас. 10кг:1"/>
    <n v="317.08"/>
    <d v="2012-06-04T00:00:00"/>
    <n v="3167"/>
    <x v="1544"/>
    <n v="781"/>
    <n v="3244"/>
    <n v="0"/>
  </r>
  <r>
    <x v="13"/>
    <x v="0"/>
    <s v="Сахар песок фас. 10кг:1"/>
    <n v="317.08"/>
    <d v="2012-06-05T00:00:00"/>
    <n v="3244"/>
    <x v="1545"/>
    <n v="1018"/>
    <n v="2998"/>
    <n v="0"/>
  </r>
  <r>
    <x v="13"/>
    <x v="0"/>
    <s v="Сахар песок фас. 10кг:1"/>
    <n v="317.08"/>
    <d v="2012-06-06T00:00:00"/>
    <n v="2998"/>
    <x v="1546"/>
    <n v="1137"/>
    <n v="2957"/>
    <n v="0"/>
  </r>
  <r>
    <x v="13"/>
    <x v="0"/>
    <s v="Сахар песок фас. 10кг:1"/>
    <n v="317.08"/>
    <d v="2012-06-07T00:00:00"/>
    <n v="2957"/>
    <x v="1547"/>
    <n v="1083"/>
    <n v="3186"/>
    <n v="0"/>
  </r>
  <r>
    <x v="13"/>
    <x v="0"/>
    <s v="Сахар песок фас. 10кг:1"/>
    <n v="317.08"/>
    <d v="2012-06-08T00:00:00"/>
    <n v="3186"/>
    <x v="1548"/>
    <n v="1441"/>
    <n v="3215"/>
    <n v="0"/>
  </r>
  <r>
    <x v="13"/>
    <x v="0"/>
    <s v="Сахар песок фас. 10кг:1"/>
    <n v="317.08"/>
    <d v="2012-06-09T00:00:00"/>
    <n v="3215"/>
    <x v="1549"/>
    <n v="1537"/>
    <n v="3374"/>
    <n v="0"/>
  </r>
  <r>
    <x v="13"/>
    <x v="0"/>
    <s v="Сахар песок фас. 10кг:1"/>
    <n v="317.08"/>
    <d v="2012-06-10T00:00:00"/>
    <n v="3374"/>
    <x v="1550"/>
    <n v="1171"/>
    <n v="3057"/>
    <n v="0"/>
  </r>
  <r>
    <x v="13"/>
    <x v="0"/>
    <s v="Сахар песок фас. 10кг:1"/>
    <n v="317.08"/>
    <d v="2012-06-11T00:00:00"/>
    <n v="3057"/>
    <x v="1551"/>
    <n v="1189"/>
    <n v="2882"/>
    <n v="0"/>
  </r>
  <r>
    <x v="13"/>
    <x v="0"/>
    <s v="Сахар песок фас. 10кг:1"/>
    <n v="317.08"/>
    <d v="2012-06-12T00:00:00"/>
    <n v="2882"/>
    <x v="1552"/>
    <n v="1101"/>
    <n v="2669"/>
    <n v="0"/>
  </r>
  <r>
    <x v="13"/>
    <x v="0"/>
    <s v="Сахар песок фас. 10кг:1"/>
    <n v="317.08"/>
    <d v="2012-06-13T00:00:00"/>
    <n v="2669"/>
    <x v="1553"/>
    <n v="953"/>
    <n v="2837"/>
    <n v="0"/>
  </r>
  <r>
    <x v="13"/>
    <x v="0"/>
    <s v="Сахар песок фас. 10кг:1"/>
    <n v="317.08"/>
    <d v="2012-06-14T00:00:00"/>
    <n v="2837"/>
    <x v="1554"/>
    <n v="1101"/>
    <n v="2605"/>
    <n v="0"/>
  </r>
  <r>
    <x v="13"/>
    <x v="0"/>
    <s v="Сахар песок фас. 10кг:1"/>
    <n v="317.08"/>
    <d v="2012-06-15T00:00:00"/>
    <n v="2605"/>
    <x v="1555"/>
    <n v="1110"/>
    <n v="2373"/>
    <n v="0"/>
  </r>
  <r>
    <x v="13"/>
    <x v="0"/>
    <s v="Сахар песок фас. 10кг:1"/>
    <n v="317.08"/>
    <d v="2012-06-16T00:00:00"/>
    <n v="2373"/>
    <x v="1556"/>
    <n v="1194"/>
    <n v="2328"/>
    <n v="0"/>
  </r>
  <r>
    <x v="13"/>
    <x v="0"/>
    <s v="Сахар песок фас. 10кг:1"/>
    <n v="317.08"/>
    <d v="2012-06-17T00:00:00"/>
    <n v="2328"/>
    <x v="1557"/>
    <n v="1180"/>
    <n v="2274"/>
    <n v="0"/>
  </r>
  <r>
    <x v="13"/>
    <x v="0"/>
    <s v="Сахар песок фас. 10кг:1"/>
    <n v="317.08"/>
    <d v="2012-06-18T00:00:00"/>
    <n v="2274"/>
    <x v="1558"/>
    <n v="1218"/>
    <n v="2375"/>
    <n v="0"/>
  </r>
  <r>
    <x v="13"/>
    <x v="0"/>
    <s v="Сахар песок фас. 10кг:1"/>
    <n v="317.08"/>
    <d v="2012-06-19T00:00:00"/>
    <n v="2375"/>
    <x v="1559"/>
    <n v="1152"/>
    <n v="3287"/>
    <n v="0"/>
  </r>
  <r>
    <x v="13"/>
    <x v="0"/>
    <s v="Сахар песок фас. 10кг:1"/>
    <n v="317.08"/>
    <d v="2012-06-20T00:00:00"/>
    <n v="3287"/>
    <x v="1226"/>
    <n v="1243"/>
    <n v="3946"/>
    <n v="0"/>
  </r>
  <r>
    <x v="13"/>
    <x v="0"/>
    <s v="Сахар песок фас. 10кг:1"/>
    <n v="317.08"/>
    <d v="2012-06-21T00:00:00"/>
    <n v="3946"/>
    <x v="1560"/>
    <n v="1444"/>
    <n v="4782"/>
    <n v="0"/>
  </r>
  <r>
    <x v="13"/>
    <x v="0"/>
    <s v="Сахар песок фас. 10кг:1"/>
    <n v="317.08"/>
    <d v="2012-06-22T00:00:00"/>
    <n v="4782"/>
    <x v="248"/>
    <n v="1603"/>
    <n v="4523"/>
    <n v="1"/>
  </r>
  <r>
    <x v="13"/>
    <x v="0"/>
    <s v="Сахар песок фас. 10кг:1"/>
    <n v="317.08"/>
    <d v="2012-06-23T00:00:00"/>
    <n v="4523"/>
    <x v="1561"/>
    <n v="1689"/>
    <n v="4462"/>
    <n v="0"/>
  </r>
  <r>
    <x v="13"/>
    <x v="0"/>
    <s v="Сахар песок фас. 10кг:1"/>
    <n v="317.08"/>
    <d v="2012-06-24T00:00:00"/>
    <n v="4462"/>
    <x v="1562"/>
    <n v="1864"/>
    <n v="4925"/>
    <n v="0"/>
  </r>
  <r>
    <x v="13"/>
    <x v="0"/>
    <s v="Сахар песок фас. 10кг:1"/>
    <n v="317.08"/>
    <d v="2012-06-25T00:00:00"/>
    <n v="4925"/>
    <x v="1563"/>
    <n v="1882"/>
    <n v="5767"/>
    <n v="0"/>
  </r>
  <r>
    <x v="13"/>
    <x v="0"/>
    <s v="Сахар песок фас. 10кг:1"/>
    <n v="317.08"/>
    <d v="2012-06-26T00:00:00"/>
    <n v="5767"/>
    <x v="1564"/>
    <n v="1777"/>
    <n v="4309"/>
    <n v="0"/>
  </r>
  <r>
    <x v="13"/>
    <x v="0"/>
    <s v="Сахар песок фас. 10кг:1"/>
    <n v="317.08"/>
    <d v="2012-06-27T00:00:00"/>
    <n v="4309"/>
    <x v="510"/>
    <n v="1249"/>
    <n v="3600"/>
    <n v="0"/>
  </r>
  <r>
    <x v="13"/>
    <x v="0"/>
    <s v="Сахар песок фас. 10кг:1"/>
    <n v="317.08"/>
    <d v="2012-06-28T00:00:00"/>
    <n v="3600"/>
    <x v="1565"/>
    <n v="1187"/>
    <n v="4620"/>
    <n v="1"/>
  </r>
  <r>
    <x v="13"/>
    <x v="0"/>
    <s v="Сахар песок фас. 10кг:1"/>
    <n v="317.08"/>
    <d v="2012-06-29T00:00:00"/>
    <n v="4620"/>
    <x v="394"/>
    <n v="1365"/>
    <n v="3642"/>
    <n v="0"/>
  </r>
  <r>
    <x v="13"/>
    <x v="0"/>
    <s v="Сахар песок фас. 10кг:1"/>
    <n v="317.08"/>
    <d v="2012-06-30T00:00:00"/>
    <n v="3642"/>
    <x v="1566"/>
    <n v="2137"/>
    <n v="5685"/>
    <n v="0"/>
  </r>
  <r>
    <x v="13"/>
    <x v="0"/>
    <s v="Сахар песок фас. 10кг:1"/>
    <n v="317.08"/>
    <d v="2012-07-01T00:00:00"/>
    <n v="5685"/>
    <x v="1567"/>
    <n v="3361"/>
    <n v="5827"/>
    <n v="0"/>
  </r>
  <r>
    <x v="13"/>
    <x v="0"/>
    <s v="Сахар песок фас. 10кг:1"/>
    <n v="317.08"/>
    <d v="2012-07-02T00:00:00"/>
    <n v="5827"/>
    <x v="1568"/>
    <n v="3236"/>
    <n v="5652"/>
    <n v="0"/>
  </r>
  <r>
    <x v="13"/>
    <x v="0"/>
    <s v="Сахар песок фас. 10кг:1"/>
    <n v="317.08"/>
    <d v="2012-07-03T00:00:00"/>
    <n v="5652"/>
    <x v="1569"/>
    <n v="2762"/>
    <n v="6039"/>
    <n v="0"/>
  </r>
  <r>
    <x v="13"/>
    <x v="0"/>
    <s v="Сахар песок фас. 10кг:1"/>
    <n v="317.08"/>
    <d v="2012-07-04T00:00:00"/>
    <n v="6039"/>
    <x v="1570"/>
    <n v="2311"/>
    <n v="5519"/>
    <n v="0"/>
  </r>
  <r>
    <x v="13"/>
    <x v="0"/>
    <s v="Сахар песок фас. 10кг:1"/>
    <n v="317.08"/>
    <d v="2012-07-05T00:00:00"/>
    <n v="5519"/>
    <x v="1571"/>
    <n v="2193"/>
    <n v="8401"/>
    <n v="0"/>
  </r>
  <r>
    <x v="13"/>
    <x v="0"/>
    <s v="Сахар песок фас. 10кг:1"/>
    <n v="317.08"/>
    <d v="2012-07-06T00:00:00"/>
    <n v="8401"/>
    <x v="1572"/>
    <n v="2828"/>
    <n v="10653"/>
    <n v="0"/>
  </r>
  <r>
    <x v="13"/>
    <x v="0"/>
    <s v="Сахар песок фас. 10кг:1"/>
    <n v="317.08"/>
    <d v="2012-07-07T00:00:00"/>
    <n v="10653"/>
    <x v="1573"/>
    <n v="3684"/>
    <n v="9660"/>
    <n v="0"/>
  </r>
  <r>
    <x v="13"/>
    <x v="0"/>
    <s v="Сахар песок фас. 10кг:1"/>
    <n v="317.08"/>
    <d v="2012-07-08T00:00:00"/>
    <n v="9660"/>
    <x v="1574"/>
    <n v="3088"/>
    <n v="10677"/>
    <n v="0"/>
  </r>
  <r>
    <x v="13"/>
    <x v="0"/>
    <s v="Сахар песок фас. 10кг:1"/>
    <n v="317.08"/>
    <d v="2012-07-09T00:00:00"/>
    <n v="10677"/>
    <x v="1575"/>
    <n v="2450"/>
    <n v="12511"/>
    <n v="0"/>
  </r>
  <r>
    <x v="13"/>
    <x v="0"/>
    <s v="Сахар песок фас. 10кг:1"/>
    <n v="317.08"/>
    <d v="2012-07-10T00:00:00"/>
    <n v="12511"/>
    <x v="1576"/>
    <n v="2323"/>
    <n v="13603"/>
    <n v="0"/>
  </r>
  <r>
    <x v="13"/>
    <x v="0"/>
    <s v="Сахар песок фас. 10кг:1"/>
    <n v="317.08"/>
    <d v="2012-07-11T00:00:00"/>
    <n v="13603"/>
    <x v="638"/>
    <n v="2132"/>
    <n v="11437"/>
    <n v="1"/>
  </r>
  <r>
    <x v="13"/>
    <x v="0"/>
    <s v="Сахар песок фас. 10кг:1"/>
    <n v="317.08"/>
    <d v="2012-07-12T00:00:00"/>
    <n v="11437"/>
    <x v="1577"/>
    <n v="1653"/>
    <n v="13594"/>
    <n v="0"/>
  </r>
  <r>
    <x v="13"/>
    <x v="0"/>
    <s v="Сахар песок фас. 10кг:1"/>
    <n v="317.08"/>
    <d v="2012-07-13T00:00:00"/>
    <n v="13594"/>
    <x v="1578"/>
    <n v="1469"/>
    <n v="15260"/>
    <n v="0"/>
  </r>
  <r>
    <x v="13"/>
    <x v="0"/>
    <s v="Сахар песок фас. 10кг:1"/>
    <n v="317.08"/>
    <d v="2012-07-14T00:00:00"/>
    <n v="15260"/>
    <x v="1579"/>
    <n v="1870"/>
    <n v="15618"/>
    <n v="0"/>
  </r>
  <r>
    <x v="13"/>
    <x v="0"/>
    <s v="Сахар песок фас. 10кг:1"/>
    <n v="317.08"/>
    <d v="2012-07-15T00:00:00"/>
    <n v="15618"/>
    <x v="1580"/>
    <n v="1690"/>
    <n v="14664"/>
    <n v="1"/>
  </r>
  <r>
    <x v="13"/>
    <x v="0"/>
    <s v="Сахар песок фас. 10кг:1"/>
    <n v="317.08"/>
    <d v="2012-07-16T00:00:00"/>
    <n v="14664"/>
    <x v="1581"/>
    <n v="1234"/>
    <n v="14060"/>
    <n v="0"/>
  </r>
  <r>
    <x v="13"/>
    <x v="0"/>
    <s v="Сахар песок фас. 10кг:1"/>
    <n v="317.08"/>
    <d v="2012-07-17T00:00:00"/>
    <n v="14060"/>
    <x v="1582"/>
    <n v="1032"/>
    <n v="14011"/>
    <n v="0"/>
  </r>
  <r>
    <x v="13"/>
    <x v="1"/>
    <s v="Сахар песок фас.1кг:6"/>
    <n v="33.659999999999997"/>
    <d v="2012-06-01T00:00:00"/>
    <n v="87712"/>
    <x v="1583"/>
    <n v="15678"/>
    <n v="90891"/>
    <n v="5"/>
  </r>
  <r>
    <x v="13"/>
    <x v="1"/>
    <s v="Сахар песок фас.1кг:6"/>
    <n v="33.659999999999997"/>
    <d v="2012-06-02T00:00:00"/>
    <n v="90891"/>
    <x v="1584"/>
    <n v="15329"/>
    <n v="94019"/>
    <n v="1"/>
  </r>
  <r>
    <x v="13"/>
    <x v="1"/>
    <s v="Сахар песок фас.1кг:6"/>
    <n v="33.659999999999997"/>
    <d v="2012-06-03T00:00:00"/>
    <n v="94019"/>
    <x v="1585"/>
    <n v="16022"/>
    <n v="99374"/>
    <n v="0"/>
  </r>
  <r>
    <x v="13"/>
    <x v="1"/>
    <s v="Сахар песок фас.1кг:6"/>
    <n v="33.659999999999997"/>
    <d v="2012-06-04T00:00:00"/>
    <n v="99374"/>
    <x v="1586"/>
    <n v="17174"/>
    <n v="97865"/>
    <n v="0"/>
  </r>
  <r>
    <x v="13"/>
    <x v="1"/>
    <s v="Сахар песок фас.1кг:6"/>
    <n v="33.659999999999997"/>
    <d v="2012-06-05T00:00:00"/>
    <n v="97865"/>
    <x v="1587"/>
    <n v="17607"/>
    <n v="96018"/>
    <n v="2"/>
  </r>
  <r>
    <x v="13"/>
    <x v="1"/>
    <s v="Сахар песок фас.1кг:6"/>
    <n v="33.659999999999997"/>
    <d v="2012-06-06T00:00:00"/>
    <n v="96018"/>
    <x v="1588"/>
    <n v="17686"/>
    <n v="101641"/>
    <n v="0"/>
  </r>
  <r>
    <x v="13"/>
    <x v="1"/>
    <s v="Сахар песок фас.1кг:6"/>
    <n v="33.659999999999997"/>
    <d v="2012-06-07T00:00:00"/>
    <n v="101641"/>
    <x v="1589"/>
    <n v="18891"/>
    <n v="101294"/>
    <n v="1"/>
  </r>
  <r>
    <x v="13"/>
    <x v="1"/>
    <s v="Сахар песок фас.1кг:6"/>
    <n v="33.659999999999997"/>
    <d v="2012-06-08T00:00:00"/>
    <n v="101294"/>
    <x v="1590"/>
    <n v="23602"/>
    <n v="89031"/>
    <n v="5"/>
  </r>
  <r>
    <x v="13"/>
    <x v="1"/>
    <s v="Сахар песок фас.1кг:6"/>
    <n v="33.659999999999997"/>
    <d v="2012-06-09T00:00:00"/>
    <n v="89031"/>
    <x v="1591"/>
    <n v="22119"/>
    <n v="92589"/>
    <n v="1"/>
  </r>
  <r>
    <x v="13"/>
    <x v="1"/>
    <s v="Сахар песок фас.1кг:6"/>
    <n v="33.659999999999997"/>
    <d v="2012-06-10T00:00:00"/>
    <n v="92589"/>
    <x v="1592"/>
    <n v="20741"/>
    <n v="88535"/>
    <n v="0"/>
  </r>
  <r>
    <x v="13"/>
    <x v="1"/>
    <s v="Сахар песок фас.1кг:6"/>
    <n v="33.659999999999997"/>
    <d v="2012-06-11T00:00:00"/>
    <n v="88535"/>
    <x v="1593"/>
    <n v="21547"/>
    <n v="84325"/>
    <n v="0"/>
  </r>
  <r>
    <x v="13"/>
    <x v="1"/>
    <s v="Сахар песок фас.1кг:6"/>
    <n v="33.659999999999997"/>
    <d v="2012-06-12T00:00:00"/>
    <n v="84325"/>
    <x v="1594"/>
    <n v="20193"/>
    <n v="80104"/>
    <n v="0"/>
  </r>
  <r>
    <x v="13"/>
    <x v="1"/>
    <s v="Сахар песок фас.1кг:6"/>
    <n v="33.659999999999997"/>
    <d v="2012-06-13T00:00:00"/>
    <n v="80104"/>
    <x v="1595"/>
    <n v="23883"/>
    <n v="76416"/>
    <n v="0"/>
  </r>
  <r>
    <x v="13"/>
    <x v="1"/>
    <s v="Сахар песок фас.1кг:6"/>
    <n v="33.659999999999997"/>
    <d v="2012-06-14T00:00:00"/>
    <n v="76416"/>
    <x v="1596"/>
    <n v="22944"/>
    <n v="60271"/>
    <n v="0"/>
  </r>
  <r>
    <x v="13"/>
    <x v="1"/>
    <s v="Сахар песок фас.1кг:6"/>
    <n v="33.659999999999997"/>
    <d v="2012-06-15T00:00:00"/>
    <n v="60271"/>
    <x v="1597"/>
    <n v="22524"/>
    <n v="59645"/>
    <n v="0"/>
  </r>
  <r>
    <x v="13"/>
    <x v="1"/>
    <s v="Сахар песок фас.1кг:6"/>
    <n v="33.659999999999997"/>
    <d v="2012-06-16T00:00:00"/>
    <n v="59645"/>
    <x v="1598"/>
    <n v="22173"/>
    <n v="66423"/>
    <n v="0"/>
  </r>
  <r>
    <x v="13"/>
    <x v="1"/>
    <s v="Сахар песок фас.1кг:6"/>
    <n v="33.659999999999997"/>
    <d v="2012-06-17T00:00:00"/>
    <n v="66423"/>
    <x v="1599"/>
    <n v="24588"/>
    <n v="49309"/>
    <n v="0"/>
  </r>
  <r>
    <x v="13"/>
    <x v="1"/>
    <s v="Сахар песок фас.1кг:6"/>
    <n v="33.659999999999997"/>
    <d v="2012-06-18T00:00:00"/>
    <n v="49309"/>
    <x v="1600"/>
    <n v="20060"/>
    <n v="63242"/>
    <n v="1"/>
  </r>
  <r>
    <x v="13"/>
    <x v="1"/>
    <s v="Сахар песок фас.1кг:6"/>
    <n v="33.659999999999997"/>
    <d v="2012-06-19T00:00:00"/>
    <n v="63242"/>
    <x v="1601"/>
    <n v="23288"/>
    <n v="77522"/>
    <n v="1"/>
  </r>
  <r>
    <x v="13"/>
    <x v="1"/>
    <s v="Сахар песок фас.1кг:6"/>
    <n v="33.659999999999997"/>
    <d v="2012-06-20T00:00:00"/>
    <n v="77522"/>
    <x v="439"/>
    <n v="22765"/>
    <n v="72341"/>
    <n v="0"/>
  </r>
  <r>
    <x v="13"/>
    <x v="1"/>
    <s v="Сахар песок фас.1кг:6"/>
    <n v="33.659999999999997"/>
    <d v="2012-06-21T00:00:00"/>
    <n v="72341"/>
    <x v="1602"/>
    <n v="22579"/>
    <n v="93555"/>
    <n v="0"/>
  </r>
  <r>
    <x v="13"/>
    <x v="1"/>
    <s v="Сахар песок фас.1кг:6"/>
    <n v="33.659999999999997"/>
    <d v="2012-06-22T00:00:00"/>
    <n v="93555"/>
    <x v="1603"/>
    <n v="27063"/>
    <n v="96336"/>
    <n v="2"/>
  </r>
  <r>
    <x v="13"/>
    <x v="1"/>
    <s v="Сахар песок фас.1кг:6"/>
    <n v="33.659999999999997"/>
    <d v="2012-06-23T00:00:00"/>
    <n v="96336"/>
    <x v="1604"/>
    <n v="27164"/>
    <n v="101720"/>
    <n v="0"/>
  </r>
  <r>
    <x v="13"/>
    <x v="1"/>
    <s v="Сахар песок фас.1кг:6"/>
    <n v="33.659999999999997"/>
    <d v="2012-06-24T00:00:00"/>
    <n v="101720"/>
    <x v="1605"/>
    <n v="31903"/>
    <n v="112112"/>
    <n v="0"/>
  </r>
  <r>
    <x v="13"/>
    <x v="1"/>
    <s v="Сахар песок фас.1кг:6"/>
    <n v="33.659999999999997"/>
    <d v="2012-06-25T00:00:00"/>
    <n v="112112"/>
    <x v="1606"/>
    <n v="34237"/>
    <n v="130304"/>
    <n v="0"/>
  </r>
  <r>
    <x v="13"/>
    <x v="1"/>
    <s v="Сахар песок фас.1кг:6"/>
    <n v="33.659999999999997"/>
    <d v="2012-06-26T00:00:00"/>
    <n v="130304"/>
    <x v="1607"/>
    <n v="29912"/>
    <n v="109938"/>
    <n v="0"/>
  </r>
  <r>
    <x v="13"/>
    <x v="1"/>
    <s v="Сахар песок фас.1кг:6"/>
    <n v="33.659999999999997"/>
    <d v="2012-06-27T00:00:00"/>
    <n v="109938"/>
    <x v="1608"/>
    <n v="29529"/>
    <n v="158347"/>
    <n v="0"/>
  </r>
  <r>
    <x v="13"/>
    <x v="1"/>
    <s v="Сахар песок фас.1кг:6"/>
    <n v="33.659999999999997"/>
    <d v="2012-06-28T00:00:00"/>
    <n v="158347"/>
    <x v="1609"/>
    <n v="34815"/>
    <n v="172239"/>
    <n v="0"/>
  </r>
  <r>
    <x v="13"/>
    <x v="1"/>
    <s v="Сахар песок фас.1кг:6"/>
    <n v="33.659999999999997"/>
    <d v="2012-06-29T00:00:00"/>
    <n v="172239"/>
    <x v="1610"/>
    <n v="36308"/>
    <n v="173830"/>
    <n v="1"/>
  </r>
  <r>
    <x v="13"/>
    <x v="1"/>
    <s v="Сахар песок фас.1кг:6"/>
    <n v="33.659999999999997"/>
    <d v="2012-06-30T00:00:00"/>
    <n v="173830"/>
    <x v="1611"/>
    <n v="44056"/>
    <n v="171628"/>
    <n v="1"/>
  </r>
  <r>
    <x v="13"/>
    <x v="1"/>
    <s v="Сахар песок фас.1кг:6"/>
    <n v="33.659999999999997"/>
    <d v="2012-07-01T00:00:00"/>
    <n v="171628"/>
    <x v="1612"/>
    <n v="47086"/>
    <n v="171604"/>
    <n v="0"/>
  </r>
  <r>
    <x v="13"/>
    <x v="1"/>
    <s v="Сахар песок фас.1кг:6"/>
    <n v="33.659999999999997"/>
    <d v="2012-07-02T00:00:00"/>
    <n v="171604"/>
    <x v="1613"/>
    <n v="48814"/>
    <n v="181793"/>
    <n v="2"/>
  </r>
  <r>
    <x v="13"/>
    <x v="1"/>
    <s v="Сахар песок фас.1кг:6"/>
    <n v="33.659999999999997"/>
    <d v="2012-07-03T00:00:00"/>
    <n v="181793"/>
    <x v="807"/>
    <n v="45130"/>
    <n v="138433"/>
    <n v="4"/>
  </r>
  <r>
    <x v="13"/>
    <x v="1"/>
    <s v="Сахар песок фас.1кг:6"/>
    <n v="33.659999999999997"/>
    <d v="2012-07-04T00:00:00"/>
    <n v="138433"/>
    <x v="1614"/>
    <n v="36637"/>
    <n v="106018"/>
    <n v="1"/>
  </r>
  <r>
    <x v="13"/>
    <x v="1"/>
    <s v="Сахар песок фас.1кг:6"/>
    <n v="33.659999999999997"/>
    <d v="2012-07-05T00:00:00"/>
    <n v="106018"/>
    <x v="1615"/>
    <n v="30733"/>
    <n v="104758"/>
    <n v="1"/>
  </r>
  <r>
    <x v="13"/>
    <x v="1"/>
    <s v="Сахар песок фас.1кг:6"/>
    <n v="33.659999999999997"/>
    <d v="2012-07-06T00:00:00"/>
    <n v="104758"/>
    <x v="1616"/>
    <n v="34682"/>
    <n v="70266"/>
    <n v="1"/>
  </r>
  <r>
    <x v="13"/>
    <x v="1"/>
    <s v="Сахар песок фас.1кг:6"/>
    <n v="33.659999999999997"/>
    <d v="2012-07-07T00:00:00"/>
    <n v="70266"/>
    <x v="834"/>
    <n v="29925"/>
    <n v="45134"/>
    <n v="1"/>
  </r>
  <r>
    <x v="13"/>
    <x v="1"/>
    <s v="Сахар песок фас.1кг:6"/>
    <n v="33.659999999999997"/>
    <d v="2012-07-08T00:00:00"/>
    <n v="45134"/>
    <x v="1617"/>
    <n v="19604"/>
    <n v="38579"/>
    <n v="3"/>
  </r>
  <r>
    <x v="13"/>
    <x v="1"/>
    <s v="Сахар песок фас.1кг:6"/>
    <n v="33.659999999999997"/>
    <d v="2012-07-09T00:00:00"/>
    <n v="38579"/>
    <x v="1618"/>
    <n v="13802"/>
    <n v="28399"/>
    <n v="0"/>
  </r>
  <r>
    <x v="13"/>
    <x v="1"/>
    <s v="Сахар песок фас.1кг:6"/>
    <n v="33.659999999999997"/>
    <d v="2012-07-10T00:00:00"/>
    <n v="28399"/>
    <x v="1619"/>
    <n v="8097"/>
    <n v="21661"/>
    <n v="0"/>
  </r>
  <r>
    <x v="13"/>
    <x v="1"/>
    <s v="Сахар песок фас.1кг:6"/>
    <n v="33.659999999999997"/>
    <d v="2012-07-11T00:00:00"/>
    <n v="21661"/>
    <x v="1620"/>
    <n v="6994"/>
    <n v="22290"/>
    <n v="0"/>
  </r>
  <r>
    <x v="13"/>
    <x v="1"/>
    <s v="Сахар песок фас.1кг:6"/>
    <n v="33.659999999999997"/>
    <d v="2012-07-12T00:00:00"/>
    <n v="22290"/>
    <x v="1621"/>
    <n v="18621"/>
    <n v="203286"/>
    <n v="3"/>
  </r>
  <r>
    <x v="13"/>
    <x v="1"/>
    <s v="Сахар песок фас.1кг:6"/>
    <n v="33.659999999999997"/>
    <d v="2012-07-13T00:00:00"/>
    <n v="203286"/>
    <x v="1622"/>
    <n v="30969"/>
    <n v="253647"/>
    <n v="3"/>
  </r>
  <r>
    <x v="13"/>
    <x v="1"/>
    <s v="Сахар песок фас.1кг:6"/>
    <n v="33.659999999999997"/>
    <d v="2012-07-14T00:00:00"/>
    <n v="253647"/>
    <x v="1623"/>
    <n v="23344"/>
    <n v="252524"/>
    <n v="1"/>
  </r>
  <r>
    <x v="13"/>
    <x v="1"/>
    <s v="Сахар песок фас.1кг:6"/>
    <n v="33.659999999999997"/>
    <d v="2012-07-15T00:00:00"/>
    <n v="252524"/>
    <x v="1624"/>
    <n v="21107"/>
    <n v="256579"/>
    <n v="0"/>
  </r>
  <r>
    <x v="13"/>
    <x v="1"/>
    <s v="Сахар песок фас.1кг:6"/>
    <n v="33.659999999999997"/>
    <d v="2012-07-16T00:00:00"/>
    <n v="256579"/>
    <x v="1625"/>
    <n v="19669"/>
    <n v="253531"/>
    <n v="2"/>
  </r>
  <r>
    <x v="13"/>
    <x v="1"/>
    <s v="Сахар песок фас.1кг:6"/>
    <n v="33.659999999999997"/>
    <d v="2012-07-17T00:00:00"/>
    <n v="253531"/>
    <x v="1626"/>
    <n v="16372"/>
    <n v="246499"/>
    <n v="0"/>
  </r>
  <r>
    <x v="13"/>
    <x v="2"/>
    <s v="Сахар песок фас.5кг :1"/>
    <n v="165.05"/>
    <d v="2012-06-01T00:00:00"/>
    <n v="13977"/>
    <x v="1627"/>
    <n v="2490"/>
    <n v="13353"/>
    <n v="0"/>
  </r>
  <r>
    <x v="13"/>
    <x v="2"/>
    <s v="Сахар песок фас.5кг :1"/>
    <n v="165.05"/>
    <d v="2012-06-02T00:00:00"/>
    <n v="13353"/>
    <x v="1628"/>
    <n v="2922"/>
    <n v="12484"/>
    <n v="0"/>
  </r>
  <r>
    <x v="13"/>
    <x v="2"/>
    <s v="Сахар песок фас.5кг :1"/>
    <n v="165.05"/>
    <d v="2012-06-03T00:00:00"/>
    <n v="12484"/>
    <x v="819"/>
    <n v="3032"/>
    <n v="12537"/>
    <n v="0"/>
  </r>
  <r>
    <x v="13"/>
    <x v="2"/>
    <s v="Сахар песок фас.5кг :1"/>
    <n v="165.05"/>
    <d v="2012-06-04T00:00:00"/>
    <n v="12537"/>
    <x v="1629"/>
    <n v="2788"/>
    <n v="12316"/>
    <n v="0"/>
  </r>
  <r>
    <x v="13"/>
    <x v="2"/>
    <s v="Сахар песок фас.5кг :1"/>
    <n v="165.05"/>
    <d v="2012-06-05T00:00:00"/>
    <n v="12316"/>
    <x v="966"/>
    <n v="3027"/>
    <n v="12272"/>
    <n v="0"/>
  </r>
  <r>
    <x v="13"/>
    <x v="2"/>
    <s v="Сахар песок фас.5кг :1"/>
    <n v="165.05"/>
    <d v="2012-06-06T00:00:00"/>
    <n v="12272"/>
    <x v="1630"/>
    <n v="3401"/>
    <n v="12611"/>
    <n v="0"/>
  </r>
  <r>
    <x v="13"/>
    <x v="2"/>
    <s v="Сахар песок фас.5кг :1"/>
    <n v="165.05"/>
    <d v="2012-06-07T00:00:00"/>
    <n v="12611"/>
    <x v="1631"/>
    <n v="3512"/>
    <n v="12444"/>
    <n v="0"/>
  </r>
  <r>
    <x v="13"/>
    <x v="2"/>
    <s v="Сахар песок фас.5кг :1"/>
    <n v="165.05"/>
    <d v="2012-06-08T00:00:00"/>
    <n v="12444"/>
    <x v="1632"/>
    <n v="4132"/>
    <n v="11279"/>
    <n v="0"/>
  </r>
  <r>
    <x v="13"/>
    <x v="2"/>
    <s v="Сахар песок фас.5кг :1"/>
    <n v="165.05"/>
    <d v="2012-06-09T00:00:00"/>
    <n v="11279"/>
    <x v="1633"/>
    <n v="4846"/>
    <n v="11255"/>
    <n v="0"/>
  </r>
  <r>
    <x v="13"/>
    <x v="2"/>
    <s v="Сахар песок фас.5кг :1"/>
    <n v="165.05"/>
    <d v="2012-06-10T00:00:00"/>
    <n v="11255"/>
    <x v="1634"/>
    <n v="4371"/>
    <n v="10022"/>
    <n v="0"/>
  </r>
  <r>
    <x v="13"/>
    <x v="2"/>
    <s v="Сахар песок фас.5кг :1"/>
    <n v="165.05"/>
    <d v="2012-06-11T00:00:00"/>
    <n v="10022"/>
    <x v="1635"/>
    <n v="4178"/>
    <n v="9459"/>
    <n v="0"/>
  </r>
  <r>
    <x v="13"/>
    <x v="2"/>
    <s v="Сахар песок фас.5кг :1"/>
    <n v="165.05"/>
    <d v="2012-06-12T00:00:00"/>
    <n v="9459"/>
    <x v="1636"/>
    <n v="3850"/>
    <n v="9135"/>
    <n v="0"/>
  </r>
  <r>
    <x v="13"/>
    <x v="2"/>
    <s v="Сахар песок фас.5кг :1"/>
    <n v="165.05"/>
    <d v="2012-06-13T00:00:00"/>
    <n v="9135"/>
    <x v="1637"/>
    <n v="3768"/>
    <n v="9157"/>
    <n v="1"/>
  </r>
  <r>
    <x v="13"/>
    <x v="2"/>
    <s v="Сахар песок фас.5кг :1"/>
    <n v="165.05"/>
    <d v="2012-06-14T00:00:00"/>
    <n v="9157"/>
    <x v="1638"/>
    <n v="3739"/>
    <n v="8916"/>
    <n v="0"/>
  </r>
  <r>
    <x v="13"/>
    <x v="2"/>
    <s v="Сахар песок фас.5кг :1"/>
    <n v="165.05"/>
    <d v="2012-06-15T00:00:00"/>
    <n v="8916"/>
    <x v="1639"/>
    <n v="3846"/>
    <n v="8424"/>
    <n v="2"/>
  </r>
  <r>
    <x v="13"/>
    <x v="2"/>
    <s v="Сахар песок фас.5кг :1"/>
    <n v="165.05"/>
    <d v="2012-06-16T00:00:00"/>
    <n v="8424"/>
    <x v="1640"/>
    <n v="4526"/>
    <n v="8098"/>
    <n v="0"/>
  </r>
  <r>
    <x v="13"/>
    <x v="2"/>
    <s v="Сахар песок фас.5кг :1"/>
    <n v="165.05"/>
    <d v="2012-06-17T00:00:00"/>
    <n v="8098"/>
    <x v="1641"/>
    <n v="4372"/>
    <n v="7482"/>
    <n v="0"/>
  </r>
  <r>
    <x v="13"/>
    <x v="2"/>
    <s v="Сахар песок фас.5кг :1"/>
    <n v="165.05"/>
    <d v="2012-06-18T00:00:00"/>
    <n v="7482"/>
    <x v="1294"/>
    <n v="4033"/>
    <n v="8361"/>
    <n v="0"/>
  </r>
  <r>
    <x v="13"/>
    <x v="2"/>
    <s v="Сахар песок фас.5кг :1"/>
    <n v="165.05"/>
    <d v="2012-06-19T00:00:00"/>
    <n v="8361"/>
    <x v="1642"/>
    <n v="4161"/>
    <n v="11758"/>
    <n v="0"/>
  </r>
  <r>
    <x v="13"/>
    <x v="2"/>
    <s v="Сахар песок фас.5кг :1"/>
    <n v="165.05"/>
    <d v="2012-06-20T00:00:00"/>
    <n v="11758"/>
    <x v="1643"/>
    <n v="4206"/>
    <n v="13180"/>
    <n v="0"/>
  </r>
  <r>
    <x v="13"/>
    <x v="2"/>
    <s v="Сахар песок фас.5кг :1"/>
    <n v="165.05"/>
    <d v="2012-06-21T00:00:00"/>
    <n v="13180"/>
    <x v="1644"/>
    <n v="4431"/>
    <n v="13938"/>
    <n v="0"/>
  </r>
  <r>
    <x v="13"/>
    <x v="2"/>
    <s v="Сахар песок фас.5кг :1"/>
    <n v="165.05"/>
    <d v="2012-06-22T00:00:00"/>
    <n v="13938"/>
    <x v="1645"/>
    <n v="4995"/>
    <n v="13696"/>
    <n v="0"/>
  </r>
  <r>
    <x v="13"/>
    <x v="2"/>
    <s v="Сахар песок фас.5кг :1"/>
    <n v="165.05"/>
    <d v="2012-06-23T00:00:00"/>
    <n v="13696"/>
    <x v="1646"/>
    <n v="5317"/>
    <n v="13943"/>
    <n v="1"/>
  </r>
  <r>
    <x v="13"/>
    <x v="2"/>
    <s v="Сахар песок фас.5кг :1"/>
    <n v="165.05"/>
    <d v="2012-06-24T00:00:00"/>
    <n v="13943"/>
    <x v="1647"/>
    <n v="5152"/>
    <n v="13808"/>
    <n v="0"/>
  </r>
  <r>
    <x v="13"/>
    <x v="2"/>
    <s v="Сахар песок фас.5кг :1"/>
    <n v="165.05"/>
    <d v="2012-06-25T00:00:00"/>
    <n v="13808"/>
    <x v="1648"/>
    <n v="5065"/>
    <n v="18133"/>
    <n v="0"/>
  </r>
  <r>
    <x v="13"/>
    <x v="2"/>
    <s v="Сахар песок фас.5кг :1"/>
    <n v="165.05"/>
    <d v="2012-06-26T00:00:00"/>
    <n v="18133"/>
    <x v="1649"/>
    <n v="5187"/>
    <n v="20516"/>
    <n v="0"/>
  </r>
  <r>
    <x v="13"/>
    <x v="2"/>
    <s v="Сахар песок фас.5кг :1"/>
    <n v="165.05"/>
    <d v="2012-06-27T00:00:00"/>
    <n v="20516"/>
    <x v="1650"/>
    <n v="5237"/>
    <n v="19253"/>
    <n v="0"/>
  </r>
  <r>
    <x v="13"/>
    <x v="2"/>
    <s v="Сахар песок фас.5кг :1"/>
    <n v="165.05"/>
    <d v="2012-06-28T00:00:00"/>
    <n v="19253"/>
    <x v="1651"/>
    <n v="6182"/>
    <n v="13860"/>
    <n v="0"/>
  </r>
  <r>
    <x v="13"/>
    <x v="2"/>
    <s v="Сахар песок фас.5кг :1"/>
    <n v="165.05"/>
    <d v="2012-06-29T00:00:00"/>
    <n v="13860"/>
    <x v="1652"/>
    <n v="5287"/>
    <n v="9342"/>
    <n v="0"/>
  </r>
  <r>
    <x v="13"/>
    <x v="2"/>
    <s v="Сахар песок фас.5кг :1"/>
    <n v="165.05"/>
    <d v="2012-06-30T00:00:00"/>
    <n v="9342"/>
    <x v="1653"/>
    <n v="3693"/>
    <n v="6465"/>
    <n v="0"/>
  </r>
  <r>
    <x v="13"/>
    <x v="2"/>
    <s v="Сахар песок фас.5кг :1"/>
    <n v="165.05"/>
    <d v="2012-07-01T00:00:00"/>
    <n v="6465"/>
    <x v="1654"/>
    <n v="2097"/>
    <n v="5315"/>
    <n v="0"/>
  </r>
  <r>
    <x v="13"/>
    <x v="2"/>
    <s v="Сахар песок фас.5кг :1"/>
    <n v="165.05"/>
    <d v="2012-07-02T00:00:00"/>
    <n v="5315"/>
    <x v="400"/>
    <n v="1404"/>
    <n v="4324"/>
    <n v="1"/>
  </r>
  <r>
    <x v="13"/>
    <x v="2"/>
    <s v="Сахар песок фас.5кг :1"/>
    <n v="165.05"/>
    <d v="2012-07-03T00:00:00"/>
    <n v="4324"/>
    <x v="1655"/>
    <n v="1221"/>
    <n v="3939"/>
    <n v="2"/>
  </r>
  <r>
    <x v="13"/>
    <x v="2"/>
    <s v="Сахар песок фас.5кг :1"/>
    <n v="165.05"/>
    <d v="2012-07-04T00:00:00"/>
    <n v="3939"/>
    <x v="1656"/>
    <n v="1881"/>
    <n v="10427"/>
    <n v="0"/>
  </r>
  <r>
    <x v="13"/>
    <x v="2"/>
    <s v="Сахар песок фас.5кг :1"/>
    <n v="165.05"/>
    <d v="2012-07-05T00:00:00"/>
    <n v="10427"/>
    <x v="1657"/>
    <n v="4259"/>
    <n v="22155"/>
    <n v="0"/>
  </r>
  <r>
    <x v="13"/>
    <x v="2"/>
    <s v="Сахар песок фас.5кг :1"/>
    <n v="165.05"/>
    <d v="2012-07-06T00:00:00"/>
    <n v="22155"/>
    <x v="1658"/>
    <n v="5056"/>
    <n v="18263"/>
    <n v="0"/>
  </r>
  <r>
    <x v="13"/>
    <x v="2"/>
    <s v="Сахар песок фас.5кг :1"/>
    <n v="165.05"/>
    <d v="2012-07-07T00:00:00"/>
    <n v="18263"/>
    <x v="1659"/>
    <n v="5284"/>
    <n v="17641"/>
    <n v="0"/>
  </r>
  <r>
    <x v="13"/>
    <x v="2"/>
    <s v="Сахар песок фас.5кг :1"/>
    <n v="165.05"/>
    <d v="2012-07-08T00:00:00"/>
    <n v="17641"/>
    <x v="1660"/>
    <n v="5890"/>
    <n v="16262"/>
    <n v="0"/>
  </r>
  <r>
    <x v="13"/>
    <x v="2"/>
    <s v="Сахар песок фас.5кг :1"/>
    <n v="165.05"/>
    <d v="2012-07-09T00:00:00"/>
    <n v="16262"/>
    <x v="1661"/>
    <n v="5828"/>
    <n v="17910"/>
    <n v="0"/>
  </r>
  <r>
    <x v="13"/>
    <x v="2"/>
    <s v="Сахар песок фас.5кг :1"/>
    <n v="165.05"/>
    <d v="2012-07-10T00:00:00"/>
    <n v="17910"/>
    <x v="1662"/>
    <n v="6229"/>
    <n v="21416"/>
    <n v="0"/>
  </r>
  <r>
    <x v="13"/>
    <x v="2"/>
    <s v="Сахар песок фас.5кг :1"/>
    <n v="165.05"/>
    <d v="2012-07-11T00:00:00"/>
    <n v="21416"/>
    <x v="1663"/>
    <n v="6042"/>
    <n v="22895"/>
    <n v="0"/>
  </r>
  <r>
    <x v="13"/>
    <x v="2"/>
    <s v="Сахар песок фас.5кг :1"/>
    <n v="165.05"/>
    <d v="2012-07-12T00:00:00"/>
    <n v="22895"/>
    <x v="1664"/>
    <n v="5426"/>
    <n v="25494"/>
    <n v="0"/>
  </r>
  <r>
    <x v="13"/>
    <x v="2"/>
    <s v="Сахар песок фас.5кг :1"/>
    <n v="165.05"/>
    <d v="2012-07-13T00:00:00"/>
    <n v="25494"/>
    <x v="1665"/>
    <n v="4489"/>
    <n v="28156"/>
    <n v="0"/>
  </r>
  <r>
    <x v="13"/>
    <x v="2"/>
    <s v="Сахар песок фас.5кг :1"/>
    <n v="165.05"/>
    <d v="2012-07-14T00:00:00"/>
    <n v="28156"/>
    <x v="1666"/>
    <n v="4857"/>
    <n v="28369"/>
    <n v="0"/>
  </r>
  <r>
    <x v="13"/>
    <x v="2"/>
    <s v="Сахар песок фас.5кг :1"/>
    <n v="165.05"/>
    <d v="2012-07-15T00:00:00"/>
    <n v="28369"/>
    <x v="849"/>
    <n v="4258"/>
    <n v="28459"/>
    <n v="0"/>
  </r>
  <r>
    <x v="13"/>
    <x v="2"/>
    <s v="Сахар песок фас.5кг :1"/>
    <n v="165.05"/>
    <d v="2012-07-16T00:00:00"/>
    <n v="28459"/>
    <x v="429"/>
    <n v="3253"/>
    <n v="29416"/>
    <n v="0"/>
  </r>
  <r>
    <x v="13"/>
    <x v="2"/>
    <s v="Сахар песок фас.5кг :1"/>
    <n v="165.05"/>
    <d v="2012-07-17T00:00:00"/>
    <n v="29416"/>
    <x v="220"/>
    <n v="2631"/>
    <n v="30090"/>
    <n v="0"/>
  </r>
  <r>
    <x v="14"/>
    <x v="0"/>
    <s v="Сахар песок фас. 10кг:1"/>
    <n v="317.08"/>
    <d v="2012-06-01T00:00:00"/>
    <n v="23"/>
    <x v="0"/>
    <n v="0"/>
    <n v="23"/>
    <n v="0"/>
  </r>
  <r>
    <x v="14"/>
    <x v="0"/>
    <s v="Сахар песок фас. 10кг:1"/>
    <n v="317.08"/>
    <d v="2012-06-02T00:00:00"/>
    <n v="23"/>
    <x v="0"/>
    <n v="3"/>
    <n v="20"/>
    <n v="0"/>
  </r>
  <r>
    <x v="14"/>
    <x v="0"/>
    <s v="Сахар песок фас. 10кг:1"/>
    <n v="317.08"/>
    <d v="2012-06-03T00:00:00"/>
    <n v="20"/>
    <x v="0"/>
    <n v="6"/>
    <n v="14"/>
    <n v="0"/>
  </r>
  <r>
    <x v="14"/>
    <x v="0"/>
    <s v="Сахар песок фас. 10кг:1"/>
    <n v="317.08"/>
    <d v="2012-06-04T00:00:00"/>
    <n v="14"/>
    <x v="0"/>
    <n v="0"/>
    <n v="14"/>
    <n v="0"/>
  </r>
  <r>
    <x v="14"/>
    <x v="0"/>
    <s v="Сахар песок фас. 10кг:1"/>
    <n v="317.08"/>
    <d v="2012-06-05T00:00:00"/>
    <n v="14"/>
    <x v="0"/>
    <n v="0"/>
    <n v="14"/>
    <n v="0"/>
  </r>
  <r>
    <x v="14"/>
    <x v="0"/>
    <s v="Сахар песок фас. 10кг:1"/>
    <n v="317.08"/>
    <d v="2012-06-06T00:00:00"/>
    <n v="14"/>
    <x v="0"/>
    <n v="1"/>
    <n v="13"/>
    <n v="0"/>
  </r>
  <r>
    <x v="14"/>
    <x v="0"/>
    <s v="Сахар песок фас. 10кг:1"/>
    <n v="317.08"/>
    <d v="2012-06-07T00:00:00"/>
    <n v="13"/>
    <x v="1667"/>
    <n v="239"/>
    <n v="3272"/>
    <n v="0"/>
  </r>
  <r>
    <x v="14"/>
    <x v="0"/>
    <s v="Сахар песок фас. 10кг:1"/>
    <n v="317.08"/>
    <d v="2012-06-08T00:00:00"/>
    <n v="3272"/>
    <x v="1668"/>
    <n v="877"/>
    <n v="4151"/>
    <n v="0"/>
  </r>
  <r>
    <x v="14"/>
    <x v="0"/>
    <s v="Сахар песок фас. 10кг:1"/>
    <n v="317.08"/>
    <d v="2012-06-09T00:00:00"/>
    <n v="4151"/>
    <x v="881"/>
    <n v="1455"/>
    <n v="3590"/>
    <n v="0"/>
  </r>
  <r>
    <x v="14"/>
    <x v="0"/>
    <s v="Сахар песок фас. 10кг:1"/>
    <n v="317.08"/>
    <d v="2012-06-10T00:00:00"/>
    <n v="3590"/>
    <x v="1669"/>
    <n v="918"/>
    <n v="3574"/>
    <n v="0"/>
  </r>
  <r>
    <x v="14"/>
    <x v="0"/>
    <s v="Сахар песок фас. 10кг:1"/>
    <n v="317.08"/>
    <d v="2012-06-11T00:00:00"/>
    <n v="3574"/>
    <x v="1670"/>
    <n v="866"/>
    <n v="3849"/>
    <n v="0"/>
  </r>
  <r>
    <x v="14"/>
    <x v="0"/>
    <s v="Сахар песок фас. 10кг:1"/>
    <n v="317.08"/>
    <d v="2012-06-12T00:00:00"/>
    <n v="3849"/>
    <x v="522"/>
    <n v="960"/>
    <n v="4057"/>
    <n v="0"/>
  </r>
  <r>
    <x v="14"/>
    <x v="0"/>
    <s v="Сахар песок фас. 10кг:1"/>
    <n v="317.08"/>
    <d v="2012-06-13T00:00:00"/>
    <n v="4057"/>
    <x v="1671"/>
    <n v="1030"/>
    <n v="3506"/>
    <n v="0"/>
  </r>
  <r>
    <x v="14"/>
    <x v="0"/>
    <s v="Сахар песок фас. 10кг:1"/>
    <n v="317.08"/>
    <d v="2012-06-14T00:00:00"/>
    <n v="3506"/>
    <x v="1672"/>
    <n v="885"/>
    <n v="3402"/>
    <n v="0"/>
  </r>
  <r>
    <x v="14"/>
    <x v="0"/>
    <s v="Сахар песок фас. 10кг:1"/>
    <n v="317.08"/>
    <d v="2012-06-15T00:00:00"/>
    <n v="3402"/>
    <x v="1673"/>
    <n v="934"/>
    <n v="3102"/>
    <n v="0"/>
  </r>
  <r>
    <x v="14"/>
    <x v="0"/>
    <s v="Сахар песок фас. 10кг:1"/>
    <n v="317.08"/>
    <d v="2012-06-16T00:00:00"/>
    <n v="3102"/>
    <x v="1674"/>
    <n v="1082"/>
    <n v="2889"/>
    <n v="0"/>
  </r>
  <r>
    <x v="14"/>
    <x v="0"/>
    <s v="Сахар песок фас. 10кг:1"/>
    <n v="317.08"/>
    <d v="2012-06-17T00:00:00"/>
    <n v="2889"/>
    <x v="1675"/>
    <n v="1315"/>
    <n v="2088"/>
    <n v="0"/>
  </r>
  <r>
    <x v="14"/>
    <x v="0"/>
    <s v="Сахар песок фас. 10кг:1"/>
    <n v="317.08"/>
    <d v="2012-06-18T00:00:00"/>
    <n v="2088"/>
    <x v="236"/>
    <n v="1117"/>
    <n v="2101"/>
    <n v="0"/>
  </r>
  <r>
    <x v="14"/>
    <x v="0"/>
    <s v="Сахар песок фас. 10кг:1"/>
    <n v="317.08"/>
    <d v="2012-06-19T00:00:00"/>
    <n v="2101"/>
    <x v="1676"/>
    <n v="940"/>
    <n v="2646"/>
    <n v="0"/>
  </r>
  <r>
    <x v="14"/>
    <x v="0"/>
    <s v="Сахар песок фас. 10кг:1"/>
    <n v="317.08"/>
    <d v="2012-06-20T00:00:00"/>
    <n v="2646"/>
    <x v="357"/>
    <n v="1219"/>
    <n v="3911"/>
    <n v="0"/>
  </r>
  <r>
    <x v="14"/>
    <x v="0"/>
    <s v="Сахар песок фас. 10кг:1"/>
    <n v="317.08"/>
    <d v="2012-06-21T00:00:00"/>
    <n v="3911"/>
    <x v="362"/>
    <n v="1282"/>
    <n v="4239"/>
    <n v="0"/>
  </r>
  <r>
    <x v="14"/>
    <x v="0"/>
    <s v="Сахар песок фас. 10кг:1"/>
    <n v="317.08"/>
    <d v="2012-06-22T00:00:00"/>
    <n v="4239"/>
    <x v="1677"/>
    <n v="1267"/>
    <n v="4336"/>
    <n v="0"/>
  </r>
  <r>
    <x v="14"/>
    <x v="0"/>
    <s v="Сахар песок фас. 10кг:1"/>
    <n v="317.08"/>
    <d v="2012-06-23T00:00:00"/>
    <n v="4336"/>
    <x v="1678"/>
    <n v="1356"/>
    <n v="4077"/>
    <n v="0"/>
  </r>
  <r>
    <x v="14"/>
    <x v="0"/>
    <s v="Сахар песок фас. 10кг:1"/>
    <n v="317.08"/>
    <d v="2012-06-24T00:00:00"/>
    <n v="4077"/>
    <x v="1679"/>
    <n v="1240"/>
    <n v="4624"/>
    <n v="0"/>
  </r>
  <r>
    <x v="14"/>
    <x v="0"/>
    <s v="Сахар песок фас. 10кг:1"/>
    <n v="317.08"/>
    <d v="2012-06-25T00:00:00"/>
    <n v="4624"/>
    <x v="1680"/>
    <n v="1216"/>
    <n v="5276"/>
    <n v="0"/>
  </r>
  <r>
    <x v="14"/>
    <x v="0"/>
    <s v="Сахар песок фас. 10кг:1"/>
    <n v="317.08"/>
    <d v="2012-06-26T00:00:00"/>
    <n v="5276"/>
    <x v="1681"/>
    <n v="1229"/>
    <n v="5974"/>
    <n v="0"/>
  </r>
  <r>
    <x v="14"/>
    <x v="0"/>
    <s v="Сахар песок фас. 10кг:1"/>
    <n v="317.08"/>
    <d v="2012-06-27T00:00:00"/>
    <n v="5974"/>
    <x v="1682"/>
    <n v="1154"/>
    <n v="6052"/>
    <n v="0"/>
  </r>
  <r>
    <x v="14"/>
    <x v="0"/>
    <s v="Сахар песок фас. 10кг:1"/>
    <n v="317.08"/>
    <d v="2012-06-28T00:00:00"/>
    <n v="6052"/>
    <x v="1683"/>
    <n v="1108"/>
    <n v="6399"/>
    <n v="0"/>
  </r>
  <r>
    <x v="14"/>
    <x v="0"/>
    <s v="Сахар песок фас. 10кг:1"/>
    <n v="317.08"/>
    <d v="2012-06-29T00:00:00"/>
    <n v="6399"/>
    <x v="1684"/>
    <n v="1322"/>
    <n v="6554"/>
    <n v="0"/>
  </r>
  <r>
    <x v="14"/>
    <x v="0"/>
    <s v="Сахар песок фас. 10кг:1"/>
    <n v="317.08"/>
    <d v="2012-06-30T00:00:00"/>
    <n v="6554"/>
    <x v="1685"/>
    <n v="1551"/>
    <n v="6111"/>
    <n v="0"/>
  </r>
  <r>
    <x v="14"/>
    <x v="0"/>
    <s v="Сахар песок фас. 10кг:1"/>
    <n v="317.08"/>
    <d v="2012-07-01T00:00:00"/>
    <n v="6111"/>
    <x v="1686"/>
    <n v="1527"/>
    <n v="5741"/>
    <n v="0"/>
  </r>
  <r>
    <x v="14"/>
    <x v="0"/>
    <s v="Сахар песок фас. 10кг:1"/>
    <n v="317.08"/>
    <d v="2012-07-02T00:00:00"/>
    <n v="5741"/>
    <x v="0"/>
    <n v="1306"/>
    <n v="4425"/>
    <n v="0"/>
  </r>
  <r>
    <x v="14"/>
    <x v="0"/>
    <s v="Сахар песок фас. 10кг:1"/>
    <n v="317.08"/>
    <d v="2012-07-03T00:00:00"/>
    <n v="4425"/>
    <x v="1687"/>
    <n v="1167"/>
    <n v="4584"/>
    <n v="0"/>
  </r>
  <r>
    <x v="14"/>
    <x v="0"/>
    <s v="Сахар песок фас. 10кг:1"/>
    <n v="317.08"/>
    <d v="2012-07-04T00:00:00"/>
    <n v="4584"/>
    <x v="0"/>
    <n v="1070"/>
    <n v="3517"/>
    <n v="0"/>
  </r>
  <r>
    <x v="14"/>
    <x v="0"/>
    <s v="Сахар песок фас. 10кг:1"/>
    <n v="317.08"/>
    <d v="2012-07-05T00:00:00"/>
    <n v="3517"/>
    <x v="760"/>
    <n v="830"/>
    <n v="2708"/>
    <n v="0"/>
  </r>
  <r>
    <x v="14"/>
    <x v="0"/>
    <s v="Сахар песок фас. 10кг:1"/>
    <n v="317.08"/>
    <d v="2012-07-06T00:00:00"/>
    <n v="2708"/>
    <x v="476"/>
    <n v="775"/>
    <n v="3824"/>
    <n v="0"/>
  </r>
  <r>
    <x v="14"/>
    <x v="0"/>
    <s v="Сахар песок фас. 10кг:1"/>
    <n v="317.08"/>
    <d v="2012-07-07T00:00:00"/>
    <n v="3824"/>
    <x v="1688"/>
    <n v="1047"/>
    <n v="4681"/>
    <n v="0"/>
  </r>
  <r>
    <x v="14"/>
    <x v="0"/>
    <s v="Сахар песок фас. 10кг:1"/>
    <n v="317.08"/>
    <d v="2012-07-08T00:00:00"/>
    <n v="4681"/>
    <x v="638"/>
    <n v="1468"/>
    <n v="3209"/>
    <n v="0"/>
  </r>
  <r>
    <x v="14"/>
    <x v="0"/>
    <s v="Сахар песок фас. 10кг:1"/>
    <n v="317.08"/>
    <d v="2012-07-09T00:00:00"/>
    <n v="3209"/>
    <x v="751"/>
    <n v="916"/>
    <n v="2276"/>
    <n v="0"/>
  </r>
  <r>
    <x v="14"/>
    <x v="0"/>
    <s v="Сахар песок фас. 10кг:1"/>
    <n v="317.08"/>
    <d v="2012-07-10T00:00:00"/>
    <n v="2276"/>
    <x v="1627"/>
    <n v="669"/>
    <n v="3470"/>
    <n v="0"/>
  </r>
  <r>
    <x v="14"/>
    <x v="0"/>
    <s v="Сахар песок фас. 10кг:1"/>
    <n v="317.08"/>
    <d v="2012-07-11T00:00:00"/>
    <n v="3470"/>
    <x v="239"/>
    <n v="629"/>
    <n v="2830"/>
    <n v="0"/>
  </r>
  <r>
    <x v="14"/>
    <x v="0"/>
    <s v="Сахар песок фас. 10кг:1"/>
    <n v="317.08"/>
    <d v="2012-07-12T00:00:00"/>
    <n v="2830"/>
    <x v="0"/>
    <n v="483"/>
    <n v="2327"/>
    <n v="0"/>
  </r>
  <r>
    <x v="14"/>
    <x v="0"/>
    <s v="Сахар песок фас. 10кг:1"/>
    <n v="317.08"/>
    <d v="2012-07-13T00:00:00"/>
    <n v="2327"/>
    <x v="239"/>
    <n v="381"/>
    <n v="1946"/>
    <n v="0"/>
  </r>
  <r>
    <x v="14"/>
    <x v="0"/>
    <s v="Сахар песок фас. 10кг:1"/>
    <n v="317.08"/>
    <d v="2012-07-14T00:00:00"/>
    <n v="1946"/>
    <x v="0"/>
    <n v="299"/>
    <n v="1648"/>
    <n v="0"/>
  </r>
  <r>
    <x v="14"/>
    <x v="0"/>
    <s v="Сахар песок фас. 10кг:1"/>
    <n v="317.08"/>
    <d v="2012-07-15T00:00:00"/>
    <n v="1648"/>
    <x v="1689"/>
    <n v="235"/>
    <n v="1392"/>
    <n v="0"/>
  </r>
  <r>
    <x v="14"/>
    <x v="0"/>
    <s v="Сахар песок фас. 10кг:1"/>
    <n v="317.08"/>
    <d v="2012-07-16T00:00:00"/>
    <n v="1392"/>
    <x v="0"/>
    <n v="157"/>
    <n v="1226"/>
    <n v="0"/>
  </r>
  <r>
    <x v="14"/>
    <x v="0"/>
    <s v="Сахар песок фас. 10кг:1"/>
    <n v="317.08"/>
    <d v="2012-07-17T00:00:00"/>
    <n v="1226"/>
    <x v="0"/>
    <n v="91"/>
    <n v="1122"/>
    <n v="0"/>
  </r>
  <r>
    <x v="14"/>
    <x v="1"/>
    <s v="Сахар песок фас.1кг:6"/>
    <n v="33.659999999999997"/>
    <d v="2012-06-01T00:00:00"/>
    <n v="88289"/>
    <x v="1690"/>
    <n v="14831"/>
    <n v="89797"/>
    <n v="0"/>
  </r>
  <r>
    <x v="14"/>
    <x v="1"/>
    <s v="Сахар песок фас.1кг:6"/>
    <n v="33.659999999999997"/>
    <d v="2012-06-02T00:00:00"/>
    <n v="89797"/>
    <x v="1691"/>
    <n v="13899"/>
    <n v="85387"/>
    <n v="0"/>
  </r>
  <r>
    <x v="14"/>
    <x v="1"/>
    <s v="Сахар песок фас.1кг:6"/>
    <n v="33.659999999999997"/>
    <d v="2012-06-03T00:00:00"/>
    <n v="85387"/>
    <x v="1692"/>
    <n v="14785"/>
    <n v="90392"/>
    <n v="0"/>
  </r>
  <r>
    <x v="14"/>
    <x v="1"/>
    <s v="Сахар песок фас.1кг:6"/>
    <n v="33.659999999999997"/>
    <d v="2012-06-04T00:00:00"/>
    <n v="90392"/>
    <x v="1693"/>
    <n v="17304"/>
    <n v="90122"/>
    <n v="0"/>
  </r>
  <r>
    <x v="14"/>
    <x v="1"/>
    <s v="Сахар песок фас.1кг:6"/>
    <n v="33.659999999999997"/>
    <d v="2012-06-05T00:00:00"/>
    <n v="90122"/>
    <x v="1694"/>
    <n v="17881"/>
    <n v="88240"/>
    <n v="1"/>
  </r>
  <r>
    <x v="14"/>
    <x v="1"/>
    <s v="Сахар песок фас.1кг:6"/>
    <n v="33.659999999999997"/>
    <d v="2012-06-06T00:00:00"/>
    <n v="88240"/>
    <x v="1695"/>
    <n v="18953"/>
    <n v="78777"/>
    <n v="0"/>
  </r>
  <r>
    <x v="14"/>
    <x v="1"/>
    <s v="Сахар песок фас.1кг:6"/>
    <n v="33.659999999999997"/>
    <d v="2012-06-07T00:00:00"/>
    <n v="78777"/>
    <x v="1696"/>
    <n v="19213"/>
    <n v="88273"/>
    <n v="0"/>
  </r>
  <r>
    <x v="14"/>
    <x v="1"/>
    <s v="Сахар песок фас.1кг:6"/>
    <n v="33.659999999999997"/>
    <d v="2012-06-08T00:00:00"/>
    <n v="88273"/>
    <x v="1697"/>
    <n v="20540"/>
    <n v="100319"/>
    <n v="0"/>
  </r>
  <r>
    <x v="14"/>
    <x v="1"/>
    <s v="Сахар песок фас.1кг:6"/>
    <n v="33.659999999999997"/>
    <d v="2012-06-09T00:00:00"/>
    <n v="100319"/>
    <x v="1698"/>
    <n v="23554"/>
    <n v="99649"/>
    <n v="0"/>
  </r>
  <r>
    <x v="14"/>
    <x v="1"/>
    <s v="Сахар песок фас.1кг:6"/>
    <n v="33.659999999999997"/>
    <d v="2012-06-10T00:00:00"/>
    <n v="99649"/>
    <x v="1699"/>
    <n v="22835"/>
    <n v="94627"/>
    <n v="0"/>
  </r>
  <r>
    <x v="14"/>
    <x v="1"/>
    <s v="Сахар песок фас.1кг:6"/>
    <n v="33.659999999999997"/>
    <d v="2012-06-11T00:00:00"/>
    <n v="94627"/>
    <x v="1700"/>
    <n v="22573"/>
    <n v="89262"/>
    <n v="0"/>
  </r>
  <r>
    <x v="14"/>
    <x v="1"/>
    <s v="Сахар песок фас.1кг:6"/>
    <n v="33.659999999999997"/>
    <d v="2012-06-12T00:00:00"/>
    <n v="89262"/>
    <x v="1701"/>
    <n v="21452"/>
    <n v="88841"/>
    <n v="0"/>
  </r>
  <r>
    <x v="14"/>
    <x v="1"/>
    <s v="Сахар песок фас.1кг:6"/>
    <n v="33.659999999999997"/>
    <d v="2012-06-13T00:00:00"/>
    <n v="88841"/>
    <x v="1702"/>
    <n v="23638"/>
    <n v="71720"/>
    <n v="0"/>
  </r>
  <r>
    <x v="14"/>
    <x v="1"/>
    <s v="Сахар песок фас.1кг:6"/>
    <n v="33.659999999999997"/>
    <d v="2012-06-14T00:00:00"/>
    <n v="71720"/>
    <x v="1703"/>
    <n v="19911"/>
    <n v="51788"/>
    <n v="0"/>
  </r>
  <r>
    <x v="14"/>
    <x v="1"/>
    <s v="Сахар песок фас.1кг:6"/>
    <n v="33.659999999999997"/>
    <d v="2012-06-15T00:00:00"/>
    <n v="51788"/>
    <x v="1704"/>
    <n v="16434"/>
    <n v="35505"/>
    <n v="0"/>
  </r>
  <r>
    <x v="14"/>
    <x v="1"/>
    <s v="Сахар песок фас.1кг:6"/>
    <n v="33.659999999999997"/>
    <d v="2012-06-16T00:00:00"/>
    <n v="35505"/>
    <x v="1705"/>
    <n v="15005"/>
    <n v="75758"/>
    <n v="0"/>
  </r>
  <r>
    <x v="14"/>
    <x v="1"/>
    <s v="Сахар песок фас.1кг:6"/>
    <n v="33.659999999999997"/>
    <d v="2012-06-17T00:00:00"/>
    <n v="75758"/>
    <x v="1706"/>
    <n v="24896"/>
    <n v="71933"/>
    <n v="0"/>
  </r>
  <r>
    <x v="14"/>
    <x v="1"/>
    <s v="Сахар песок фас.1кг:6"/>
    <n v="33.659999999999997"/>
    <d v="2012-06-18T00:00:00"/>
    <n v="71933"/>
    <x v="1707"/>
    <n v="26244"/>
    <n v="70331"/>
    <n v="0"/>
  </r>
  <r>
    <x v="14"/>
    <x v="1"/>
    <s v="Сахар песок фас.1кг:6"/>
    <n v="33.659999999999997"/>
    <d v="2012-06-19T00:00:00"/>
    <n v="70331"/>
    <x v="1708"/>
    <n v="22221"/>
    <n v="88523"/>
    <n v="0"/>
  </r>
  <r>
    <x v="14"/>
    <x v="1"/>
    <s v="Сахар песок фас.1кг:6"/>
    <n v="33.659999999999997"/>
    <d v="2012-06-20T00:00:00"/>
    <n v="88523"/>
    <x v="1709"/>
    <n v="19663"/>
    <n v="97369"/>
    <n v="0"/>
  </r>
  <r>
    <x v="14"/>
    <x v="1"/>
    <s v="Сахар песок фас.1кг:6"/>
    <n v="33.659999999999997"/>
    <d v="2012-06-21T00:00:00"/>
    <n v="97369"/>
    <x v="1710"/>
    <n v="19158"/>
    <n v="108536"/>
    <n v="0"/>
  </r>
  <r>
    <x v="14"/>
    <x v="1"/>
    <s v="Сахар песок фас.1кг:6"/>
    <n v="33.659999999999997"/>
    <d v="2012-06-22T00:00:00"/>
    <n v="108536"/>
    <x v="1711"/>
    <n v="17378"/>
    <n v="91381"/>
    <n v="0"/>
  </r>
  <r>
    <x v="14"/>
    <x v="1"/>
    <s v="Сахар песок фас.1кг:6"/>
    <n v="33.659999999999997"/>
    <d v="2012-06-23T00:00:00"/>
    <n v="91381"/>
    <x v="1184"/>
    <n v="18407"/>
    <n v="73156"/>
    <n v="0"/>
  </r>
  <r>
    <x v="14"/>
    <x v="1"/>
    <s v="Сахар песок фас.1кг:6"/>
    <n v="33.659999999999997"/>
    <d v="2012-06-24T00:00:00"/>
    <n v="73156"/>
    <x v="1712"/>
    <n v="18326"/>
    <n v="68663"/>
    <n v="0"/>
  </r>
  <r>
    <x v="14"/>
    <x v="1"/>
    <s v="Сахар песок фас.1кг:6"/>
    <n v="33.659999999999997"/>
    <d v="2012-06-25T00:00:00"/>
    <n v="68663"/>
    <x v="1713"/>
    <n v="20804"/>
    <n v="45525"/>
    <n v="0"/>
  </r>
  <r>
    <x v="14"/>
    <x v="1"/>
    <s v="Сахар песок фас.1кг:6"/>
    <n v="33.659999999999997"/>
    <d v="2012-06-26T00:00:00"/>
    <n v="45525"/>
    <x v="1714"/>
    <n v="15206"/>
    <n v="29901"/>
    <n v="0"/>
  </r>
  <r>
    <x v="14"/>
    <x v="1"/>
    <s v="Сахар песок фас.1кг:6"/>
    <n v="33.659999999999997"/>
    <d v="2012-06-27T00:00:00"/>
    <n v="29901"/>
    <x v="1715"/>
    <n v="13180"/>
    <n v="46082"/>
    <n v="0"/>
  </r>
  <r>
    <x v="14"/>
    <x v="1"/>
    <s v="Сахар песок фас.1кг:6"/>
    <n v="33.659999999999997"/>
    <d v="2012-06-28T00:00:00"/>
    <n v="46082"/>
    <x v="1716"/>
    <n v="15896"/>
    <n v="46064"/>
    <n v="0"/>
  </r>
  <r>
    <x v="14"/>
    <x v="1"/>
    <s v="Сахар песок фас.1кг:6"/>
    <n v="33.659999999999997"/>
    <d v="2012-06-29T00:00:00"/>
    <n v="46064"/>
    <x v="1717"/>
    <n v="19511"/>
    <n v="90566"/>
    <n v="0"/>
  </r>
  <r>
    <x v="14"/>
    <x v="1"/>
    <s v="Сахар песок фас.1кг:6"/>
    <n v="33.659999999999997"/>
    <d v="2012-06-30T00:00:00"/>
    <n v="90566"/>
    <x v="1718"/>
    <n v="20497"/>
    <n v="108557"/>
    <n v="0"/>
  </r>
  <r>
    <x v="14"/>
    <x v="1"/>
    <s v="Сахар песок фас.1кг:6"/>
    <n v="33.659999999999997"/>
    <d v="2012-07-01T00:00:00"/>
    <n v="108557"/>
    <x v="1719"/>
    <n v="24509"/>
    <n v="101128"/>
    <n v="0"/>
  </r>
  <r>
    <x v="14"/>
    <x v="1"/>
    <s v="Сахар песок фас.1кг:6"/>
    <n v="33.659999999999997"/>
    <d v="2012-07-02T00:00:00"/>
    <n v="101128"/>
    <x v="1720"/>
    <n v="26501"/>
    <n v="103180"/>
    <n v="0"/>
  </r>
  <r>
    <x v="14"/>
    <x v="1"/>
    <s v="Сахар песок фас.1кг:6"/>
    <n v="33.659999999999997"/>
    <d v="2012-07-03T00:00:00"/>
    <n v="103180"/>
    <x v="1721"/>
    <n v="24381"/>
    <n v="113554"/>
    <n v="0"/>
  </r>
  <r>
    <x v="14"/>
    <x v="1"/>
    <s v="Сахар песок фас.1кг:6"/>
    <n v="33.659999999999997"/>
    <d v="2012-07-04T00:00:00"/>
    <n v="113554"/>
    <x v="1722"/>
    <n v="22377"/>
    <n v="94249"/>
    <n v="0"/>
  </r>
  <r>
    <x v="14"/>
    <x v="1"/>
    <s v="Сахар песок фас.1кг:6"/>
    <n v="33.659999999999997"/>
    <d v="2012-07-05T00:00:00"/>
    <n v="94249"/>
    <x v="1723"/>
    <n v="22954"/>
    <n v="110080"/>
    <n v="0"/>
  </r>
  <r>
    <x v="14"/>
    <x v="1"/>
    <s v="Сахар песок фас.1кг:6"/>
    <n v="33.659999999999997"/>
    <d v="2012-07-06T00:00:00"/>
    <n v="110080"/>
    <x v="1724"/>
    <n v="23365"/>
    <n v="131984"/>
    <n v="0"/>
  </r>
  <r>
    <x v="14"/>
    <x v="1"/>
    <s v="Сахар песок фас.1кг:6"/>
    <n v="33.659999999999997"/>
    <d v="2012-07-07T00:00:00"/>
    <n v="131984"/>
    <x v="1725"/>
    <n v="26441"/>
    <n v="137236"/>
    <n v="0"/>
  </r>
  <r>
    <x v="14"/>
    <x v="1"/>
    <s v="Сахар песок фас.1кг:6"/>
    <n v="33.659999999999997"/>
    <d v="2012-07-08T00:00:00"/>
    <n v="137236"/>
    <x v="1726"/>
    <n v="27266"/>
    <n v="137381"/>
    <n v="0"/>
  </r>
  <r>
    <x v="14"/>
    <x v="1"/>
    <s v="Сахар песок фас.1кг:6"/>
    <n v="33.659999999999997"/>
    <d v="2012-07-09T00:00:00"/>
    <n v="137381"/>
    <x v="1727"/>
    <n v="27814"/>
    <n v="142990"/>
    <n v="0"/>
  </r>
  <r>
    <x v="14"/>
    <x v="1"/>
    <s v="Сахар песок фас.1кг:6"/>
    <n v="33.659999999999997"/>
    <d v="2012-07-10T00:00:00"/>
    <n v="142990"/>
    <x v="1728"/>
    <n v="23140"/>
    <n v="137899"/>
    <n v="0"/>
  </r>
  <r>
    <x v="14"/>
    <x v="1"/>
    <s v="Сахар песок фас.1кг:6"/>
    <n v="33.659999999999997"/>
    <d v="2012-07-11T00:00:00"/>
    <n v="137899"/>
    <x v="68"/>
    <n v="21809"/>
    <n v="122373"/>
    <n v="0"/>
  </r>
  <r>
    <x v="14"/>
    <x v="1"/>
    <s v="Сахар песок фас.1кг:6"/>
    <n v="33.659999999999997"/>
    <d v="2012-07-12T00:00:00"/>
    <n v="122373"/>
    <x v="1729"/>
    <n v="20885"/>
    <n v="136029"/>
    <n v="0"/>
  </r>
  <r>
    <x v="14"/>
    <x v="1"/>
    <s v="Сахар песок фас.1кг:6"/>
    <n v="33.659999999999997"/>
    <d v="2012-07-13T00:00:00"/>
    <n v="136029"/>
    <x v="1730"/>
    <n v="23280"/>
    <n v="153383"/>
    <n v="0"/>
  </r>
  <r>
    <x v="14"/>
    <x v="1"/>
    <s v="Сахар песок фас.1кг:6"/>
    <n v="33.659999999999997"/>
    <d v="2012-07-14T00:00:00"/>
    <n v="153383"/>
    <x v="1731"/>
    <n v="17699"/>
    <n v="160272"/>
    <n v="0"/>
  </r>
  <r>
    <x v="14"/>
    <x v="1"/>
    <s v="Сахар песок фас.1кг:6"/>
    <n v="33.659999999999997"/>
    <d v="2012-07-15T00:00:00"/>
    <n v="160272"/>
    <x v="1732"/>
    <n v="17302"/>
    <n v="166062"/>
    <n v="1"/>
  </r>
  <r>
    <x v="14"/>
    <x v="1"/>
    <s v="Сахар песок фас.1кг:6"/>
    <n v="33.659999999999997"/>
    <d v="2012-07-16T00:00:00"/>
    <n v="166062"/>
    <x v="1733"/>
    <n v="16262"/>
    <n v="152599"/>
    <n v="0"/>
  </r>
  <r>
    <x v="14"/>
    <x v="1"/>
    <s v="Сахар песок фас.1кг:6"/>
    <n v="33.659999999999997"/>
    <d v="2012-07-17T00:00:00"/>
    <n v="152599"/>
    <x v="1734"/>
    <n v="13989"/>
    <n v="149716"/>
    <n v="0"/>
  </r>
  <r>
    <x v="14"/>
    <x v="2"/>
    <s v="Сахар песок фас.5кг :1"/>
    <n v="165.05"/>
    <d v="2012-06-01T00:00:00"/>
    <n v="12383"/>
    <x v="403"/>
    <n v="2253"/>
    <n v="11211"/>
    <n v="0"/>
  </r>
  <r>
    <x v="14"/>
    <x v="2"/>
    <s v="Сахар песок фас.5кг :1"/>
    <n v="165.05"/>
    <d v="2012-06-02T00:00:00"/>
    <n v="11211"/>
    <x v="1735"/>
    <n v="2484"/>
    <n v="10790"/>
    <n v="0"/>
  </r>
  <r>
    <x v="14"/>
    <x v="2"/>
    <s v="Сахар песок фас.5кг :1"/>
    <n v="165.05"/>
    <d v="2012-06-03T00:00:00"/>
    <n v="10790"/>
    <x v="1736"/>
    <n v="2601"/>
    <n v="10345"/>
    <n v="0"/>
  </r>
  <r>
    <x v="14"/>
    <x v="2"/>
    <s v="Сахар песок фас.5кг :1"/>
    <n v="165.05"/>
    <d v="2012-06-04T00:00:00"/>
    <n v="10345"/>
    <x v="1737"/>
    <n v="2806"/>
    <n v="10271"/>
    <n v="0"/>
  </r>
  <r>
    <x v="14"/>
    <x v="2"/>
    <s v="Сахар песок фас.5кг :1"/>
    <n v="165.05"/>
    <d v="2012-06-05T00:00:00"/>
    <n v="10271"/>
    <x v="1738"/>
    <n v="3072"/>
    <n v="10318"/>
    <n v="0"/>
  </r>
  <r>
    <x v="14"/>
    <x v="2"/>
    <s v="Сахар песок фас.5кг :1"/>
    <n v="165.05"/>
    <d v="2012-06-06T00:00:00"/>
    <n v="10318"/>
    <x v="1739"/>
    <n v="3447"/>
    <n v="11230"/>
    <n v="0"/>
  </r>
  <r>
    <x v="14"/>
    <x v="2"/>
    <s v="Сахар песок фас.5кг :1"/>
    <n v="165.05"/>
    <d v="2012-06-07T00:00:00"/>
    <n v="11230"/>
    <x v="1740"/>
    <n v="3569"/>
    <n v="11284"/>
    <n v="0"/>
  </r>
  <r>
    <x v="14"/>
    <x v="2"/>
    <s v="Сахар песок фас.5кг :1"/>
    <n v="165.05"/>
    <d v="2012-06-08T00:00:00"/>
    <n v="11284"/>
    <x v="121"/>
    <n v="3662"/>
    <n v="12532"/>
    <n v="0"/>
  </r>
  <r>
    <x v="14"/>
    <x v="2"/>
    <s v="Сахар песок фас.5кг :1"/>
    <n v="165.05"/>
    <d v="2012-06-09T00:00:00"/>
    <n v="12532"/>
    <x v="1741"/>
    <n v="4089"/>
    <n v="12579"/>
    <n v="0"/>
  </r>
  <r>
    <x v="14"/>
    <x v="2"/>
    <s v="Сахар песок фас.5кг :1"/>
    <n v="165.05"/>
    <d v="2012-06-10T00:00:00"/>
    <n v="12579"/>
    <x v="1742"/>
    <n v="4041"/>
    <n v="12529"/>
    <n v="0"/>
  </r>
  <r>
    <x v="14"/>
    <x v="2"/>
    <s v="Сахар песок фас.5кг :1"/>
    <n v="165.05"/>
    <d v="2012-06-11T00:00:00"/>
    <n v="12529"/>
    <x v="1743"/>
    <n v="3855"/>
    <n v="11316"/>
    <n v="0"/>
  </r>
  <r>
    <x v="14"/>
    <x v="2"/>
    <s v="Сахар песок фас.5кг :1"/>
    <n v="165.05"/>
    <d v="2012-06-12T00:00:00"/>
    <n v="11316"/>
    <x v="880"/>
    <n v="3481"/>
    <n v="9523"/>
    <n v="0"/>
  </r>
  <r>
    <x v="14"/>
    <x v="2"/>
    <s v="Сахар песок фас.5кг :1"/>
    <n v="165.05"/>
    <d v="2012-06-13T00:00:00"/>
    <n v="9523"/>
    <x v="1744"/>
    <n v="3357"/>
    <n v="10568"/>
    <n v="0"/>
  </r>
  <r>
    <x v="14"/>
    <x v="2"/>
    <s v="Сахар песок фас.5кг :1"/>
    <n v="165.05"/>
    <d v="2012-06-14T00:00:00"/>
    <n v="10568"/>
    <x v="1745"/>
    <n v="3920"/>
    <n v="11873"/>
    <n v="0"/>
  </r>
  <r>
    <x v="14"/>
    <x v="2"/>
    <s v="Сахар песок фас.5кг :1"/>
    <n v="165.05"/>
    <d v="2012-06-15T00:00:00"/>
    <n v="11873"/>
    <x v="1573"/>
    <n v="4549"/>
    <n v="10004"/>
    <n v="0"/>
  </r>
  <r>
    <x v="14"/>
    <x v="2"/>
    <s v="Сахар песок фас.5кг :1"/>
    <n v="165.05"/>
    <d v="2012-06-16T00:00:00"/>
    <n v="10004"/>
    <x v="0"/>
    <n v="3774"/>
    <n v="6253"/>
    <n v="0"/>
  </r>
  <r>
    <x v="14"/>
    <x v="2"/>
    <s v="Сахар песок фас.5кг :1"/>
    <n v="165.05"/>
    <d v="2012-06-17T00:00:00"/>
    <n v="6253"/>
    <x v="0"/>
    <n v="2453"/>
    <n v="3796"/>
    <n v="0"/>
  </r>
  <r>
    <x v="14"/>
    <x v="2"/>
    <s v="Сахар песок фас.5кг :1"/>
    <n v="165.05"/>
    <d v="2012-06-18T00:00:00"/>
    <n v="3796"/>
    <x v="1746"/>
    <n v="2649"/>
    <n v="10737"/>
    <n v="0"/>
  </r>
  <r>
    <x v="14"/>
    <x v="2"/>
    <s v="Сахар песок фас.5кг :1"/>
    <n v="165.05"/>
    <d v="2012-06-19T00:00:00"/>
    <n v="10737"/>
    <x v="1747"/>
    <n v="3866"/>
    <n v="13117"/>
    <n v="0"/>
  </r>
  <r>
    <x v="14"/>
    <x v="2"/>
    <s v="Сахар песок фас.5кг :1"/>
    <n v="165.05"/>
    <d v="2012-06-20T00:00:00"/>
    <n v="13117"/>
    <x v="1748"/>
    <n v="3760"/>
    <n v="13141"/>
    <n v="0"/>
  </r>
  <r>
    <x v="14"/>
    <x v="2"/>
    <s v="Сахар песок фас.5кг :1"/>
    <n v="165.05"/>
    <d v="2012-06-21T00:00:00"/>
    <n v="13141"/>
    <x v="1749"/>
    <n v="3549"/>
    <n v="14377"/>
    <n v="0"/>
  </r>
  <r>
    <x v="14"/>
    <x v="2"/>
    <s v="Сахар песок фас.5кг :1"/>
    <n v="165.05"/>
    <d v="2012-06-22T00:00:00"/>
    <n v="14377"/>
    <x v="1750"/>
    <n v="3240"/>
    <n v="14686"/>
    <n v="0"/>
  </r>
  <r>
    <x v="14"/>
    <x v="2"/>
    <s v="Сахар песок фас.5кг :1"/>
    <n v="165.05"/>
    <d v="2012-06-23T00:00:00"/>
    <n v="14686"/>
    <x v="1751"/>
    <n v="3818"/>
    <n v="13744"/>
    <n v="0"/>
  </r>
  <r>
    <x v="14"/>
    <x v="2"/>
    <s v="Сахар песок фас.5кг :1"/>
    <n v="165.05"/>
    <d v="2012-06-24T00:00:00"/>
    <n v="13744"/>
    <x v="1752"/>
    <n v="4172"/>
    <n v="13343"/>
    <n v="0"/>
  </r>
  <r>
    <x v="14"/>
    <x v="2"/>
    <s v="Сахар песок фас.5кг :1"/>
    <n v="165.05"/>
    <d v="2012-06-25T00:00:00"/>
    <n v="13343"/>
    <x v="1753"/>
    <n v="4061"/>
    <n v="15076"/>
    <n v="0"/>
  </r>
  <r>
    <x v="14"/>
    <x v="2"/>
    <s v="Сахар песок фас.5кг :1"/>
    <n v="165.05"/>
    <d v="2012-06-26T00:00:00"/>
    <n v="15076"/>
    <x v="1754"/>
    <n v="3935"/>
    <n v="17695"/>
    <n v="0"/>
  </r>
  <r>
    <x v="14"/>
    <x v="2"/>
    <s v="Сахар песок фас.5кг :1"/>
    <n v="165.05"/>
    <d v="2012-06-27T00:00:00"/>
    <n v="17695"/>
    <x v="1755"/>
    <n v="4241"/>
    <n v="17910"/>
    <n v="0"/>
  </r>
  <r>
    <x v="14"/>
    <x v="2"/>
    <s v="Сахар песок фас.5кг :1"/>
    <n v="165.05"/>
    <d v="2012-06-28T00:00:00"/>
    <n v="17910"/>
    <x v="1756"/>
    <n v="3895"/>
    <n v="18492"/>
    <n v="0"/>
  </r>
  <r>
    <x v="14"/>
    <x v="2"/>
    <s v="Сахар песок фас.5кг :1"/>
    <n v="165.05"/>
    <d v="2012-06-29T00:00:00"/>
    <n v="18492"/>
    <x v="1757"/>
    <n v="4079"/>
    <n v="18075"/>
    <n v="0"/>
  </r>
  <r>
    <x v="14"/>
    <x v="2"/>
    <s v="Сахар песок фас.5кг :1"/>
    <n v="165.05"/>
    <d v="2012-06-30T00:00:00"/>
    <n v="18075"/>
    <x v="1758"/>
    <n v="4830"/>
    <n v="17808"/>
    <n v="0"/>
  </r>
  <r>
    <x v="14"/>
    <x v="2"/>
    <s v="Сахар песок фас.5кг :1"/>
    <n v="165.05"/>
    <d v="2012-07-01T00:00:00"/>
    <n v="17808"/>
    <x v="1759"/>
    <n v="4889"/>
    <n v="16698"/>
    <n v="0"/>
  </r>
  <r>
    <x v="14"/>
    <x v="2"/>
    <s v="Сахар песок фас.5кг :1"/>
    <n v="165.05"/>
    <d v="2012-07-02T00:00:00"/>
    <n v="16698"/>
    <x v="1760"/>
    <n v="4367"/>
    <n v="13674"/>
    <n v="0"/>
  </r>
  <r>
    <x v="14"/>
    <x v="2"/>
    <s v="Сахар песок фас.5кг :1"/>
    <n v="165.05"/>
    <d v="2012-07-03T00:00:00"/>
    <n v="13674"/>
    <x v="1761"/>
    <n v="3963"/>
    <n v="14592"/>
    <n v="0"/>
  </r>
  <r>
    <x v="14"/>
    <x v="2"/>
    <s v="Сахар песок фас.5кг :1"/>
    <n v="165.05"/>
    <d v="2012-07-04T00:00:00"/>
    <n v="14592"/>
    <x v="1762"/>
    <n v="4123"/>
    <n v="18412"/>
    <n v="0"/>
  </r>
  <r>
    <x v="14"/>
    <x v="2"/>
    <s v="Сахар песок фас.5кг :1"/>
    <n v="165.05"/>
    <d v="2012-07-05T00:00:00"/>
    <n v="18412"/>
    <x v="1763"/>
    <n v="4726"/>
    <n v="13733"/>
    <n v="0"/>
  </r>
  <r>
    <x v="14"/>
    <x v="2"/>
    <s v="Сахар песок фас.5кг :1"/>
    <n v="165.05"/>
    <d v="2012-07-06T00:00:00"/>
    <n v="13733"/>
    <x v="0"/>
    <n v="4218"/>
    <n v="9499"/>
    <n v="0"/>
  </r>
  <r>
    <x v="14"/>
    <x v="2"/>
    <s v="Сахар песок фас.5кг :1"/>
    <n v="165.05"/>
    <d v="2012-07-07T00:00:00"/>
    <n v="9499"/>
    <x v="28"/>
    <n v="3412"/>
    <n v="6090"/>
    <n v="0"/>
  </r>
  <r>
    <x v="14"/>
    <x v="2"/>
    <s v="Сахар песок фас.5кг :1"/>
    <n v="165.05"/>
    <d v="2012-07-08T00:00:00"/>
    <n v="6090"/>
    <x v="1764"/>
    <n v="2360"/>
    <n v="7976"/>
    <n v="0"/>
  </r>
  <r>
    <x v="14"/>
    <x v="2"/>
    <s v="Сахар песок фас.5кг :1"/>
    <n v="165.05"/>
    <d v="2012-07-09T00:00:00"/>
    <n v="7976"/>
    <x v="1765"/>
    <n v="3347"/>
    <n v="15152"/>
    <n v="0"/>
  </r>
  <r>
    <x v="14"/>
    <x v="2"/>
    <s v="Сахар песок фас.5кг :1"/>
    <n v="165.05"/>
    <d v="2012-07-10T00:00:00"/>
    <n v="15152"/>
    <x v="1766"/>
    <n v="3244"/>
    <n v="13529"/>
    <n v="0"/>
  </r>
  <r>
    <x v="14"/>
    <x v="2"/>
    <s v="Сахар песок фас.5кг :1"/>
    <n v="165.05"/>
    <d v="2012-07-11T00:00:00"/>
    <n v="13529"/>
    <x v="1767"/>
    <n v="3017"/>
    <n v="14648"/>
    <n v="0"/>
  </r>
  <r>
    <x v="14"/>
    <x v="2"/>
    <s v="Сахар песок фас.5кг :1"/>
    <n v="165.05"/>
    <d v="2012-07-12T00:00:00"/>
    <n v="14648"/>
    <x v="1768"/>
    <n v="3078"/>
    <n v="19953"/>
    <n v="0"/>
  </r>
  <r>
    <x v="14"/>
    <x v="2"/>
    <s v="Сахар песок фас.5кг :1"/>
    <n v="165.05"/>
    <d v="2012-07-13T00:00:00"/>
    <n v="19953"/>
    <x v="1769"/>
    <n v="3375"/>
    <n v="19124"/>
    <n v="0"/>
  </r>
  <r>
    <x v="14"/>
    <x v="2"/>
    <s v="Сахар песок фас.5кг :1"/>
    <n v="165.05"/>
    <d v="2012-07-14T00:00:00"/>
    <n v="19124"/>
    <x v="1770"/>
    <n v="3510"/>
    <n v="17596"/>
    <n v="0"/>
  </r>
  <r>
    <x v="14"/>
    <x v="2"/>
    <s v="Сахар песок фас.5кг :1"/>
    <n v="165.05"/>
    <d v="2012-07-15T00:00:00"/>
    <n v="17596"/>
    <x v="1419"/>
    <n v="3178"/>
    <n v="16810"/>
    <n v="0"/>
  </r>
  <r>
    <x v="14"/>
    <x v="2"/>
    <s v="Сахар песок фас.5кг :1"/>
    <n v="165.05"/>
    <d v="2012-07-16T00:00:00"/>
    <n v="16810"/>
    <x v="1771"/>
    <n v="3381"/>
    <n v="15982"/>
    <n v="0"/>
  </r>
  <r>
    <x v="14"/>
    <x v="2"/>
    <s v="Сахар песок фас.5кг :1"/>
    <n v="165.05"/>
    <d v="2012-07-17T00:00:00"/>
    <n v="15982"/>
    <x v="1772"/>
    <n v="3019"/>
    <n v="15907"/>
    <n v="0"/>
  </r>
  <r>
    <x v="15"/>
    <x v="0"/>
    <s v="Сахар песок фас. 10кг:1"/>
    <n v="317.08"/>
    <d v="2012-06-01T00:00:00"/>
    <n v="3"/>
    <x v="0"/>
    <n v="0"/>
    <n v="3"/>
    <n v="0"/>
  </r>
  <r>
    <x v="15"/>
    <x v="0"/>
    <s v="Сахар песок фас. 10кг:1"/>
    <n v="317.08"/>
    <d v="2012-06-02T00:00:00"/>
    <n v="3"/>
    <x v="0"/>
    <n v="0"/>
    <n v="3"/>
    <n v="0"/>
  </r>
  <r>
    <x v="15"/>
    <x v="0"/>
    <s v="Сахар песок фас. 10кг:1"/>
    <n v="317.08"/>
    <d v="2012-06-03T00:00:00"/>
    <n v="3"/>
    <x v="0"/>
    <n v="0"/>
    <n v="3"/>
    <n v="0"/>
  </r>
  <r>
    <x v="15"/>
    <x v="0"/>
    <s v="Сахар песок фас. 10кг:1"/>
    <n v="317.08"/>
    <d v="2012-06-04T00:00:00"/>
    <n v="3"/>
    <x v="0"/>
    <n v="0"/>
    <n v="2"/>
    <n v="0"/>
  </r>
  <r>
    <x v="15"/>
    <x v="0"/>
    <s v="Сахар песок фас. 10кг:1"/>
    <n v="317.08"/>
    <d v="2012-06-05T00:00:00"/>
    <n v="2"/>
    <x v="0"/>
    <n v="0"/>
    <n v="2"/>
    <n v="0"/>
  </r>
  <r>
    <x v="15"/>
    <x v="0"/>
    <s v="Сахар песок фас. 10кг:1"/>
    <n v="317.08"/>
    <d v="2012-06-06T00:00:00"/>
    <n v="2"/>
    <x v="0"/>
    <n v="0"/>
    <n v="2"/>
    <n v="0"/>
  </r>
  <r>
    <x v="15"/>
    <x v="0"/>
    <s v="Сахар песок фас. 10кг:1"/>
    <n v="317.08"/>
    <d v="2012-06-07T00:00:00"/>
    <n v="2"/>
    <x v="1773"/>
    <n v="45"/>
    <n v="3040"/>
    <n v="0"/>
  </r>
  <r>
    <x v="15"/>
    <x v="0"/>
    <s v="Сахар песок фас. 10кг:1"/>
    <n v="317.08"/>
    <d v="2012-06-08T00:00:00"/>
    <n v="3040"/>
    <x v="1774"/>
    <n v="419"/>
    <n v="4491"/>
    <n v="0"/>
  </r>
  <r>
    <x v="15"/>
    <x v="0"/>
    <s v="Сахар песок фас. 10кг:1"/>
    <n v="317.08"/>
    <d v="2012-06-09T00:00:00"/>
    <n v="4491"/>
    <x v="1113"/>
    <n v="779"/>
    <n v="3796"/>
    <n v="0"/>
  </r>
  <r>
    <x v="15"/>
    <x v="0"/>
    <s v="Сахар песок фас. 10кг:1"/>
    <n v="317.08"/>
    <d v="2012-06-10T00:00:00"/>
    <n v="3796"/>
    <x v="1775"/>
    <n v="464"/>
    <n v="3564"/>
    <n v="0"/>
  </r>
  <r>
    <x v="15"/>
    <x v="0"/>
    <s v="Сахар песок фас. 10кг:1"/>
    <n v="317.08"/>
    <d v="2012-06-11T00:00:00"/>
    <n v="3564"/>
    <x v="1776"/>
    <n v="385"/>
    <n v="3897"/>
    <n v="0"/>
  </r>
  <r>
    <x v="15"/>
    <x v="0"/>
    <s v="Сахар песок фас. 10кг:1"/>
    <n v="317.08"/>
    <d v="2012-06-12T00:00:00"/>
    <n v="3897"/>
    <x v="1015"/>
    <n v="380"/>
    <n v="3999"/>
    <n v="0"/>
  </r>
  <r>
    <x v="15"/>
    <x v="0"/>
    <s v="Сахар песок фас. 10кг:1"/>
    <n v="317.08"/>
    <d v="2012-06-13T00:00:00"/>
    <n v="3999"/>
    <x v="1777"/>
    <n v="407"/>
    <n v="3800"/>
    <n v="0"/>
  </r>
  <r>
    <x v="15"/>
    <x v="0"/>
    <s v="Сахар песок фас. 10кг:1"/>
    <n v="317.08"/>
    <d v="2012-06-14T00:00:00"/>
    <n v="3800"/>
    <x v="1210"/>
    <n v="410"/>
    <n v="3685"/>
    <n v="0"/>
  </r>
  <r>
    <x v="15"/>
    <x v="0"/>
    <s v="Сахар песок фас. 10кг:1"/>
    <n v="317.08"/>
    <d v="2012-06-15T00:00:00"/>
    <n v="3685"/>
    <x v="1333"/>
    <n v="374"/>
    <n v="3544"/>
    <n v="0"/>
  </r>
  <r>
    <x v="15"/>
    <x v="0"/>
    <s v="Сахар песок фас. 10кг:1"/>
    <n v="317.08"/>
    <d v="2012-06-16T00:00:00"/>
    <n v="3544"/>
    <x v="536"/>
    <n v="497"/>
    <n v="3379"/>
    <n v="0"/>
  </r>
  <r>
    <x v="15"/>
    <x v="0"/>
    <s v="Сахар песок фас. 10кг:1"/>
    <n v="317.08"/>
    <d v="2012-06-17T00:00:00"/>
    <n v="3379"/>
    <x v="1330"/>
    <n v="421"/>
    <n v="3208"/>
    <n v="0"/>
  </r>
  <r>
    <x v="15"/>
    <x v="0"/>
    <s v="Сахар песок фас. 10кг:1"/>
    <n v="317.08"/>
    <d v="2012-06-18T00:00:00"/>
    <n v="3208"/>
    <x v="1778"/>
    <n v="450"/>
    <n v="3137"/>
    <n v="0"/>
  </r>
  <r>
    <x v="15"/>
    <x v="0"/>
    <s v="Сахар песок фас. 10кг:1"/>
    <n v="317.08"/>
    <d v="2012-06-19T00:00:00"/>
    <n v="3137"/>
    <x v="1779"/>
    <n v="414"/>
    <n v="3223"/>
    <n v="0"/>
  </r>
  <r>
    <x v="15"/>
    <x v="0"/>
    <s v="Сахар песок фас. 10кг:1"/>
    <n v="317.08"/>
    <d v="2012-06-20T00:00:00"/>
    <n v="3223"/>
    <x v="1780"/>
    <n v="462"/>
    <n v="3356"/>
    <n v="0"/>
  </r>
  <r>
    <x v="15"/>
    <x v="0"/>
    <s v="Сахар песок фас. 10кг:1"/>
    <n v="317.08"/>
    <d v="2012-06-21T00:00:00"/>
    <n v="3356"/>
    <x v="1781"/>
    <n v="438"/>
    <n v="3565"/>
    <n v="0"/>
  </r>
  <r>
    <x v="15"/>
    <x v="0"/>
    <s v="Сахар песок фас. 10кг:1"/>
    <n v="317.08"/>
    <d v="2012-06-22T00:00:00"/>
    <n v="3565"/>
    <x v="587"/>
    <n v="536"/>
    <n v="3426"/>
    <n v="0"/>
  </r>
  <r>
    <x v="15"/>
    <x v="0"/>
    <s v="Сахар песок фас. 10кг:1"/>
    <n v="317.08"/>
    <d v="2012-06-23T00:00:00"/>
    <n v="3426"/>
    <x v="1782"/>
    <n v="618"/>
    <n v="3027"/>
    <n v="0"/>
  </r>
  <r>
    <x v="15"/>
    <x v="0"/>
    <s v="Сахар песок фас. 10кг:1"/>
    <n v="317.08"/>
    <d v="2012-06-24T00:00:00"/>
    <n v="3027"/>
    <x v="1783"/>
    <n v="587"/>
    <n v="3036"/>
    <n v="0"/>
  </r>
  <r>
    <x v="15"/>
    <x v="0"/>
    <s v="Сахар песок фас. 10кг:1"/>
    <n v="317.08"/>
    <d v="2012-06-25T00:00:00"/>
    <n v="3036"/>
    <x v="1784"/>
    <n v="569"/>
    <n v="3421"/>
    <n v="0"/>
  </r>
  <r>
    <x v="15"/>
    <x v="0"/>
    <s v="Сахар песок фас. 10кг:1"/>
    <n v="317.08"/>
    <d v="2012-06-26T00:00:00"/>
    <n v="3421"/>
    <x v="1785"/>
    <n v="556"/>
    <n v="3640"/>
    <n v="0"/>
  </r>
  <r>
    <x v="15"/>
    <x v="0"/>
    <s v="Сахар песок фас. 10кг:1"/>
    <n v="317.08"/>
    <d v="2012-06-27T00:00:00"/>
    <n v="3640"/>
    <x v="1786"/>
    <n v="600"/>
    <n v="3821"/>
    <n v="0"/>
  </r>
  <r>
    <x v="15"/>
    <x v="0"/>
    <s v="Сахар песок фас. 10кг:1"/>
    <n v="317.08"/>
    <d v="2012-06-28T00:00:00"/>
    <n v="3821"/>
    <x v="1776"/>
    <n v="639"/>
    <n v="3904"/>
    <n v="0"/>
  </r>
  <r>
    <x v="15"/>
    <x v="0"/>
    <s v="Сахар песок фас. 10кг:1"/>
    <n v="317.08"/>
    <d v="2012-06-29T00:00:00"/>
    <n v="3904"/>
    <x v="1787"/>
    <n v="693"/>
    <n v="3741"/>
    <n v="0"/>
  </r>
  <r>
    <x v="15"/>
    <x v="0"/>
    <s v="Сахар песок фас. 10кг:1"/>
    <n v="317.08"/>
    <d v="2012-06-30T00:00:00"/>
    <n v="3741"/>
    <x v="24"/>
    <n v="704"/>
    <n v="3715"/>
    <n v="0"/>
  </r>
  <r>
    <x v="15"/>
    <x v="0"/>
    <s v="Сахар песок фас. 10кг:1"/>
    <n v="317.08"/>
    <d v="2012-07-01T00:00:00"/>
    <n v="3715"/>
    <x v="1580"/>
    <n v="719"/>
    <n v="3735"/>
    <n v="0"/>
  </r>
  <r>
    <x v="15"/>
    <x v="0"/>
    <s v="Сахар песок фас. 10кг:1"/>
    <n v="317.08"/>
    <d v="2012-07-02T00:00:00"/>
    <n v="3735"/>
    <x v="1788"/>
    <n v="755"/>
    <n v="3704"/>
    <n v="0"/>
  </r>
  <r>
    <x v="15"/>
    <x v="0"/>
    <s v="Сахар песок фас. 10кг:1"/>
    <n v="317.08"/>
    <d v="2012-07-03T00:00:00"/>
    <n v="3704"/>
    <x v="1789"/>
    <n v="711"/>
    <n v="3734"/>
    <n v="0"/>
  </r>
  <r>
    <x v="15"/>
    <x v="0"/>
    <s v="Сахар песок фас. 10кг:1"/>
    <n v="317.08"/>
    <d v="2012-07-04T00:00:00"/>
    <n v="3734"/>
    <x v="894"/>
    <n v="673"/>
    <n v="3945"/>
    <n v="0"/>
  </r>
  <r>
    <x v="15"/>
    <x v="0"/>
    <s v="Сахар песок фас. 10кг:1"/>
    <n v="317.08"/>
    <d v="2012-07-05T00:00:00"/>
    <n v="3945"/>
    <x v="1790"/>
    <n v="758"/>
    <n v="3975"/>
    <n v="0"/>
  </r>
  <r>
    <x v="15"/>
    <x v="0"/>
    <s v="Сахар песок фас. 10кг:1"/>
    <n v="317.08"/>
    <d v="2012-07-06T00:00:00"/>
    <n v="3975"/>
    <x v="1443"/>
    <n v="895"/>
    <n v="3882"/>
    <n v="0"/>
  </r>
  <r>
    <x v="15"/>
    <x v="0"/>
    <s v="Сахар песок фас. 10кг:1"/>
    <n v="317.08"/>
    <d v="2012-07-07T00:00:00"/>
    <n v="3882"/>
    <x v="1785"/>
    <n v="805"/>
    <n v="3854"/>
    <n v="0"/>
  </r>
  <r>
    <x v="15"/>
    <x v="0"/>
    <s v="Сахар песок фас. 10кг:1"/>
    <n v="317.08"/>
    <d v="2012-07-08T00:00:00"/>
    <n v="3854"/>
    <x v="243"/>
    <n v="783"/>
    <n v="3932"/>
    <n v="0"/>
  </r>
  <r>
    <x v="15"/>
    <x v="0"/>
    <s v="Сахар песок фас. 10кг:1"/>
    <n v="317.08"/>
    <d v="2012-07-09T00:00:00"/>
    <n v="3932"/>
    <x v="515"/>
    <n v="781"/>
    <n v="4015"/>
    <n v="0"/>
  </r>
  <r>
    <x v="15"/>
    <x v="0"/>
    <s v="Сахар песок фас. 10кг:1"/>
    <n v="317.08"/>
    <d v="2012-07-10T00:00:00"/>
    <n v="4015"/>
    <x v="1008"/>
    <n v="750"/>
    <n v="4088"/>
    <n v="0"/>
  </r>
  <r>
    <x v="15"/>
    <x v="0"/>
    <s v="Сахар песок фас. 10кг:1"/>
    <n v="317.08"/>
    <d v="2012-07-11T00:00:00"/>
    <n v="4088"/>
    <x v="1791"/>
    <n v="782"/>
    <n v="3964"/>
    <n v="0"/>
  </r>
  <r>
    <x v="15"/>
    <x v="0"/>
    <s v="Сахар песок фас. 10кг:1"/>
    <n v="317.08"/>
    <d v="2012-07-12T00:00:00"/>
    <n v="3964"/>
    <x v="1792"/>
    <n v="727"/>
    <n v="4033"/>
    <n v="0"/>
  </r>
  <r>
    <x v="15"/>
    <x v="0"/>
    <s v="Сахар песок фас. 10кг:1"/>
    <n v="317.08"/>
    <d v="2012-07-13T00:00:00"/>
    <n v="4033"/>
    <x v="1793"/>
    <n v="930"/>
    <n v="3988"/>
    <n v="0"/>
  </r>
  <r>
    <x v="15"/>
    <x v="0"/>
    <s v="Сахар песок фас. 10кг:1"/>
    <n v="317.08"/>
    <d v="2012-07-14T00:00:00"/>
    <n v="3988"/>
    <x v="1794"/>
    <n v="836"/>
    <n v="3931"/>
    <n v="0"/>
  </r>
  <r>
    <x v="15"/>
    <x v="0"/>
    <s v="Сахар песок фас. 10кг:1"/>
    <n v="317.08"/>
    <d v="2012-07-15T00:00:00"/>
    <n v="3931"/>
    <x v="1655"/>
    <n v="851"/>
    <n v="3897"/>
    <n v="0"/>
  </r>
  <r>
    <x v="15"/>
    <x v="0"/>
    <s v="Сахар песок фас. 10кг:1"/>
    <n v="317.08"/>
    <d v="2012-07-16T00:00:00"/>
    <n v="3897"/>
    <x v="1795"/>
    <n v="686"/>
    <n v="4188"/>
    <n v="0"/>
  </r>
  <r>
    <x v="15"/>
    <x v="0"/>
    <s v="Сахар песок фас. 10кг:1"/>
    <n v="317.08"/>
    <d v="2012-07-17T00:00:00"/>
    <n v="4188"/>
    <x v="252"/>
    <n v="734"/>
    <n v="4311"/>
    <n v="0"/>
  </r>
  <r>
    <x v="15"/>
    <x v="1"/>
    <s v="Сахар песок фас.1кг:6"/>
    <n v="33.659999999999997"/>
    <d v="2012-06-01T00:00:00"/>
    <n v="72997"/>
    <x v="1796"/>
    <n v="13210"/>
    <n v="74116"/>
    <n v="0"/>
  </r>
  <r>
    <x v="15"/>
    <x v="1"/>
    <s v="Сахар песок фас.1кг:6"/>
    <n v="33.659999999999997"/>
    <d v="2012-06-02T00:00:00"/>
    <n v="74116"/>
    <x v="1797"/>
    <n v="12584"/>
    <n v="70579"/>
    <n v="0"/>
  </r>
  <r>
    <x v="15"/>
    <x v="1"/>
    <s v="Сахар песок фас.1кг:6"/>
    <n v="33.659999999999997"/>
    <d v="2012-06-03T00:00:00"/>
    <n v="70579"/>
    <x v="1798"/>
    <n v="13332"/>
    <n v="75196"/>
    <n v="0"/>
  </r>
  <r>
    <x v="15"/>
    <x v="1"/>
    <s v="Сахар песок фас.1кг:6"/>
    <n v="33.659999999999997"/>
    <d v="2012-06-04T00:00:00"/>
    <n v="75196"/>
    <x v="1799"/>
    <n v="15101"/>
    <n v="80394"/>
    <n v="0"/>
  </r>
  <r>
    <x v="15"/>
    <x v="1"/>
    <s v="Сахар песок фас.1кг:6"/>
    <n v="33.659999999999997"/>
    <d v="2012-06-05T00:00:00"/>
    <n v="80394"/>
    <x v="1800"/>
    <n v="13546"/>
    <n v="82080"/>
    <n v="0"/>
  </r>
  <r>
    <x v="15"/>
    <x v="1"/>
    <s v="Сахар песок фас.1кг:6"/>
    <n v="33.659999999999997"/>
    <d v="2012-06-06T00:00:00"/>
    <n v="82080"/>
    <x v="1801"/>
    <n v="14523"/>
    <n v="82126"/>
    <n v="0"/>
  </r>
  <r>
    <x v="15"/>
    <x v="1"/>
    <s v="Сахар песок фас.1кг:6"/>
    <n v="33.659999999999997"/>
    <d v="2012-06-07T00:00:00"/>
    <n v="82126"/>
    <x v="1802"/>
    <n v="13469"/>
    <n v="69378"/>
    <n v="0"/>
  </r>
  <r>
    <x v="15"/>
    <x v="1"/>
    <s v="Сахар песок фас.1кг:6"/>
    <n v="33.659999999999997"/>
    <d v="2012-06-08T00:00:00"/>
    <n v="69378"/>
    <x v="1803"/>
    <n v="12097"/>
    <n v="57237"/>
    <n v="0"/>
  </r>
  <r>
    <x v="15"/>
    <x v="1"/>
    <s v="Сахар песок фас.1кг:6"/>
    <n v="33.659999999999997"/>
    <d v="2012-06-09T00:00:00"/>
    <n v="57237"/>
    <x v="1804"/>
    <n v="9484"/>
    <n v="47727"/>
    <n v="0"/>
  </r>
  <r>
    <x v="15"/>
    <x v="1"/>
    <s v="Сахар песок фас.1кг:6"/>
    <n v="33.659999999999997"/>
    <d v="2012-06-10T00:00:00"/>
    <n v="47727"/>
    <x v="643"/>
    <n v="7977"/>
    <n v="39634"/>
    <n v="0"/>
  </r>
  <r>
    <x v="15"/>
    <x v="1"/>
    <s v="Сахар песок фас.1кг:6"/>
    <n v="33.659999999999997"/>
    <d v="2012-06-11T00:00:00"/>
    <n v="39634"/>
    <x v="1805"/>
    <n v="8212"/>
    <n v="49378"/>
    <n v="0"/>
  </r>
  <r>
    <x v="15"/>
    <x v="1"/>
    <s v="Сахар песок фас.1кг:6"/>
    <n v="33.659999999999997"/>
    <d v="2012-06-12T00:00:00"/>
    <n v="49378"/>
    <x v="1806"/>
    <n v="8386"/>
    <n v="81474"/>
    <n v="0"/>
  </r>
  <r>
    <x v="15"/>
    <x v="1"/>
    <s v="Сахар песок фас.1кг:6"/>
    <n v="33.659999999999997"/>
    <d v="2012-06-13T00:00:00"/>
    <n v="81474"/>
    <x v="1807"/>
    <n v="9351"/>
    <n v="98202"/>
    <n v="0"/>
  </r>
  <r>
    <x v="15"/>
    <x v="1"/>
    <s v="Сахар песок фас.1кг:6"/>
    <n v="33.659999999999997"/>
    <d v="2012-06-14T00:00:00"/>
    <n v="98202"/>
    <x v="1808"/>
    <n v="9073"/>
    <n v="98846"/>
    <n v="0"/>
  </r>
  <r>
    <x v="15"/>
    <x v="1"/>
    <s v="Сахар песок фас.1кг:6"/>
    <n v="33.659999999999997"/>
    <d v="2012-06-15T00:00:00"/>
    <n v="98846"/>
    <x v="1809"/>
    <n v="9987"/>
    <n v="97188"/>
    <n v="0"/>
  </r>
  <r>
    <x v="15"/>
    <x v="1"/>
    <s v="Сахар песок фас.1кг:6"/>
    <n v="33.659999999999997"/>
    <d v="2012-06-16T00:00:00"/>
    <n v="97188"/>
    <x v="1810"/>
    <n v="10360"/>
    <n v="96128"/>
    <n v="0"/>
  </r>
  <r>
    <x v="15"/>
    <x v="1"/>
    <s v="Сахар песок фас.1кг:6"/>
    <n v="33.659999999999997"/>
    <d v="2012-06-17T00:00:00"/>
    <n v="96128"/>
    <x v="1811"/>
    <n v="11758"/>
    <n v="93561"/>
    <n v="1"/>
  </r>
  <r>
    <x v="15"/>
    <x v="1"/>
    <s v="Сахар песок фас.1кг:6"/>
    <n v="33.659999999999997"/>
    <d v="2012-06-18T00:00:00"/>
    <n v="93561"/>
    <x v="1812"/>
    <n v="13437"/>
    <n v="91966"/>
    <n v="0"/>
  </r>
  <r>
    <x v="15"/>
    <x v="1"/>
    <s v="Сахар песок фас.1кг:6"/>
    <n v="33.659999999999997"/>
    <d v="2012-06-19T00:00:00"/>
    <n v="91966"/>
    <x v="1813"/>
    <n v="13598"/>
    <n v="90093"/>
    <n v="0"/>
  </r>
  <r>
    <x v="15"/>
    <x v="1"/>
    <s v="Сахар песок фас.1кг:6"/>
    <n v="33.659999999999997"/>
    <d v="2012-06-20T00:00:00"/>
    <n v="90093"/>
    <x v="1814"/>
    <n v="13519"/>
    <n v="90437"/>
    <n v="0"/>
  </r>
  <r>
    <x v="15"/>
    <x v="1"/>
    <s v="Сахар песок фас.1кг:6"/>
    <n v="33.659999999999997"/>
    <d v="2012-06-21T00:00:00"/>
    <n v="90437"/>
    <x v="1815"/>
    <n v="14377"/>
    <n v="90759"/>
    <n v="0"/>
  </r>
  <r>
    <x v="15"/>
    <x v="1"/>
    <s v="Сахар песок фас.1кг:6"/>
    <n v="33.659999999999997"/>
    <d v="2012-06-22T00:00:00"/>
    <n v="90759"/>
    <x v="1816"/>
    <n v="13921"/>
    <n v="87695"/>
    <n v="0"/>
  </r>
  <r>
    <x v="15"/>
    <x v="1"/>
    <s v="Сахар песок фас.1кг:6"/>
    <n v="33.659999999999997"/>
    <d v="2012-06-23T00:00:00"/>
    <n v="87695"/>
    <x v="1817"/>
    <n v="13658"/>
    <n v="80041"/>
    <n v="0"/>
  </r>
  <r>
    <x v="15"/>
    <x v="1"/>
    <s v="Сахар песок фас.1кг:6"/>
    <n v="33.659999999999997"/>
    <d v="2012-06-24T00:00:00"/>
    <n v="80041"/>
    <x v="1818"/>
    <n v="16188"/>
    <n v="77795"/>
    <n v="0"/>
  </r>
  <r>
    <x v="15"/>
    <x v="1"/>
    <s v="Сахар песок фас.1кг:6"/>
    <n v="33.659999999999997"/>
    <d v="2012-06-25T00:00:00"/>
    <n v="77795"/>
    <x v="1819"/>
    <n v="17093"/>
    <n v="77326"/>
    <n v="0"/>
  </r>
  <r>
    <x v="15"/>
    <x v="1"/>
    <s v="Сахар песок фас.1кг:6"/>
    <n v="33.659999999999997"/>
    <d v="2012-06-26T00:00:00"/>
    <n v="77326"/>
    <x v="1820"/>
    <n v="15588"/>
    <n v="85514"/>
    <n v="0"/>
  </r>
  <r>
    <x v="15"/>
    <x v="1"/>
    <s v="Сахар песок фас.1кг:6"/>
    <n v="33.659999999999997"/>
    <d v="2012-06-27T00:00:00"/>
    <n v="85514"/>
    <x v="1821"/>
    <n v="15116"/>
    <n v="94499"/>
    <n v="0"/>
  </r>
  <r>
    <x v="15"/>
    <x v="1"/>
    <s v="Сахар песок фас.1кг:6"/>
    <n v="33.659999999999997"/>
    <d v="2012-06-28T00:00:00"/>
    <n v="94499"/>
    <x v="1822"/>
    <n v="15888"/>
    <n v="98989"/>
    <n v="0"/>
  </r>
  <r>
    <x v="15"/>
    <x v="1"/>
    <s v="Сахар песок фас.1кг:6"/>
    <n v="33.659999999999997"/>
    <d v="2012-06-29T00:00:00"/>
    <n v="98989"/>
    <x v="1815"/>
    <n v="14930"/>
    <n v="98773"/>
    <n v="0"/>
  </r>
  <r>
    <x v="15"/>
    <x v="1"/>
    <s v="Сахар песок фас.1кг:6"/>
    <n v="33.659999999999997"/>
    <d v="2012-06-30T00:00:00"/>
    <n v="98773"/>
    <x v="1823"/>
    <n v="13655"/>
    <n v="101539"/>
    <n v="0"/>
  </r>
  <r>
    <x v="15"/>
    <x v="1"/>
    <s v="Сахар песок фас.1кг:6"/>
    <n v="33.659999999999997"/>
    <d v="2012-07-01T00:00:00"/>
    <n v="101539"/>
    <x v="1824"/>
    <n v="13298"/>
    <n v="103309"/>
    <n v="0"/>
  </r>
  <r>
    <x v="15"/>
    <x v="1"/>
    <s v="Сахар песок фас.1кг:6"/>
    <n v="33.659999999999997"/>
    <d v="2012-07-02T00:00:00"/>
    <n v="103309"/>
    <x v="1825"/>
    <n v="14211"/>
    <n v="102384"/>
    <n v="0"/>
  </r>
  <r>
    <x v="15"/>
    <x v="1"/>
    <s v="Сахар песок фас.1кг:6"/>
    <n v="33.659999999999997"/>
    <d v="2012-07-03T00:00:00"/>
    <n v="102384"/>
    <x v="1826"/>
    <n v="13345"/>
    <n v="101311"/>
    <n v="0"/>
  </r>
  <r>
    <x v="15"/>
    <x v="1"/>
    <s v="Сахар песок фас.1кг:6"/>
    <n v="33.659999999999997"/>
    <d v="2012-07-04T00:00:00"/>
    <n v="101311"/>
    <x v="1827"/>
    <n v="14142"/>
    <n v="99160"/>
    <n v="0"/>
  </r>
  <r>
    <x v="15"/>
    <x v="1"/>
    <s v="Сахар песок фас.1кг:6"/>
    <n v="33.659999999999997"/>
    <d v="2012-07-05T00:00:00"/>
    <n v="99160"/>
    <x v="1828"/>
    <n v="14209"/>
    <n v="96523"/>
    <n v="0"/>
  </r>
  <r>
    <x v="15"/>
    <x v="1"/>
    <s v="Сахар песок фас.1кг:6"/>
    <n v="33.659999999999997"/>
    <d v="2012-07-06T00:00:00"/>
    <n v="96523"/>
    <x v="1829"/>
    <n v="14684"/>
    <n v="93442"/>
    <n v="0"/>
  </r>
  <r>
    <x v="15"/>
    <x v="1"/>
    <s v="Сахар песок фас.1кг:6"/>
    <n v="33.659999999999997"/>
    <d v="2012-07-07T00:00:00"/>
    <n v="93442"/>
    <x v="1830"/>
    <n v="14922"/>
    <n v="91189"/>
    <n v="0"/>
  </r>
  <r>
    <x v="15"/>
    <x v="1"/>
    <s v="Сахар песок фас.1кг:6"/>
    <n v="33.659999999999997"/>
    <d v="2012-07-08T00:00:00"/>
    <n v="91189"/>
    <x v="1831"/>
    <n v="15172"/>
    <n v="90899"/>
    <n v="0"/>
  </r>
  <r>
    <x v="15"/>
    <x v="1"/>
    <s v="Сахар песок фас.1кг:6"/>
    <n v="33.659999999999997"/>
    <d v="2012-07-09T00:00:00"/>
    <n v="90899"/>
    <x v="1832"/>
    <n v="16649"/>
    <n v="89563"/>
    <n v="0"/>
  </r>
  <r>
    <x v="15"/>
    <x v="1"/>
    <s v="Сахар песок фас.1кг:6"/>
    <n v="33.659999999999997"/>
    <d v="2012-07-10T00:00:00"/>
    <n v="89563"/>
    <x v="1833"/>
    <n v="15859"/>
    <n v="91763"/>
    <n v="0"/>
  </r>
  <r>
    <x v="15"/>
    <x v="1"/>
    <s v="Сахар песок фас.1кг:6"/>
    <n v="33.659999999999997"/>
    <d v="2012-07-11T00:00:00"/>
    <n v="91763"/>
    <x v="1834"/>
    <n v="16108"/>
    <n v="92074"/>
    <n v="0"/>
  </r>
  <r>
    <x v="15"/>
    <x v="1"/>
    <s v="Сахар песок фас.1кг:6"/>
    <n v="33.659999999999997"/>
    <d v="2012-07-12T00:00:00"/>
    <n v="92074"/>
    <x v="1835"/>
    <n v="15669"/>
    <n v="96217"/>
    <n v="0"/>
  </r>
  <r>
    <x v="15"/>
    <x v="1"/>
    <s v="Сахар песок фас.1кг:6"/>
    <n v="33.659999999999997"/>
    <d v="2012-07-13T00:00:00"/>
    <n v="96217"/>
    <x v="1836"/>
    <n v="16595"/>
    <n v="97821"/>
    <n v="0"/>
  </r>
  <r>
    <x v="15"/>
    <x v="1"/>
    <s v="Сахар песок фас.1кг:6"/>
    <n v="33.659999999999997"/>
    <d v="2012-07-14T00:00:00"/>
    <n v="97821"/>
    <x v="1837"/>
    <n v="15111"/>
    <n v="100400"/>
    <n v="0"/>
  </r>
  <r>
    <x v="15"/>
    <x v="1"/>
    <s v="Сахар песок фас.1кг:6"/>
    <n v="33.659999999999997"/>
    <d v="2012-07-15T00:00:00"/>
    <n v="100400"/>
    <x v="1838"/>
    <n v="15660"/>
    <n v="102570"/>
    <n v="0"/>
  </r>
  <r>
    <x v="15"/>
    <x v="1"/>
    <s v="Сахар песок фас.1кг:6"/>
    <n v="33.659999999999997"/>
    <d v="2012-07-16T00:00:00"/>
    <n v="102570"/>
    <x v="1839"/>
    <n v="19284"/>
    <n v="101174"/>
    <n v="0"/>
  </r>
  <r>
    <x v="15"/>
    <x v="1"/>
    <s v="Сахар песок фас.1кг:6"/>
    <n v="33.659999999999997"/>
    <d v="2012-07-17T00:00:00"/>
    <n v="101174"/>
    <x v="1840"/>
    <n v="18677"/>
    <n v="100363"/>
    <n v="0"/>
  </r>
  <r>
    <x v="15"/>
    <x v="2"/>
    <s v="Сахар песок фас.5кг :1"/>
    <n v="165.05"/>
    <d v="2012-06-01T00:00:00"/>
    <n v="8726"/>
    <x v="1841"/>
    <n v="1467"/>
    <n v="9183"/>
    <n v="0"/>
  </r>
  <r>
    <x v="15"/>
    <x v="2"/>
    <s v="Сахар песок фас.5кг :1"/>
    <n v="165.05"/>
    <d v="2012-06-02T00:00:00"/>
    <n v="9183"/>
    <x v="1842"/>
    <n v="1709"/>
    <n v="10104"/>
    <n v="0"/>
  </r>
  <r>
    <x v="15"/>
    <x v="2"/>
    <s v="Сахар песок фас.5кг :1"/>
    <n v="165.05"/>
    <d v="2012-06-03T00:00:00"/>
    <n v="10104"/>
    <x v="1541"/>
    <n v="1719"/>
    <n v="10101"/>
    <n v="0"/>
  </r>
  <r>
    <x v="15"/>
    <x v="2"/>
    <s v="Сахар песок фас.5кг :1"/>
    <n v="165.05"/>
    <d v="2012-06-04T00:00:00"/>
    <n v="10101"/>
    <x v="252"/>
    <n v="1756"/>
    <n v="9138"/>
    <n v="0"/>
  </r>
  <r>
    <x v="15"/>
    <x v="2"/>
    <s v="Сахар песок фас.5кг :1"/>
    <n v="165.05"/>
    <d v="2012-06-05T00:00:00"/>
    <n v="9138"/>
    <x v="0"/>
    <n v="1600"/>
    <n v="7508"/>
    <n v="0"/>
  </r>
  <r>
    <x v="15"/>
    <x v="2"/>
    <s v="Сахар песок фас.5кг :1"/>
    <n v="165.05"/>
    <d v="2012-06-06T00:00:00"/>
    <n v="7508"/>
    <x v="948"/>
    <n v="1433"/>
    <n v="7743"/>
    <n v="0"/>
  </r>
  <r>
    <x v="15"/>
    <x v="2"/>
    <s v="Сахар песок фас.5кг :1"/>
    <n v="165.05"/>
    <d v="2012-06-07T00:00:00"/>
    <n v="7743"/>
    <x v="1843"/>
    <n v="1500"/>
    <n v="6193"/>
    <n v="0"/>
  </r>
  <r>
    <x v="15"/>
    <x v="2"/>
    <s v="Сахар песок фас.5кг :1"/>
    <n v="165.05"/>
    <d v="2012-06-08T00:00:00"/>
    <n v="6193"/>
    <x v="1844"/>
    <n v="1048"/>
    <n v="7074"/>
    <n v="0"/>
  </r>
  <r>
    <x v="15"/>
    <x v="2"/>
    <s v="Сахар песок фас.5кг :1"/>
    <n v="165.05"/>
    <d v="2012-06-09T00:00:00"/>
    <n v="7074"/>
    <x v="1845"/>
    <n v="877"/>
    <n v="9799"/>
    <n v="1"/>
  </r>
  <r>
    <x v="15"/>
    <x v="2"/>
    <s v="Сахар песок фас.5кг :1"/>
    <n v="165.05"/>
    <d v="2012-06-10T00:00:00"/>
    <n v="9799"/>
    <x v="1846"/>
    <n v="1034"/>
    <n v="11855"/>
    <n v="0"/>
  </r>
  <r>
    <x v="15"/>
    <x v="2"/>
    <s v="Сахар песок фас.5кг :1"/>
    <n v="165.05"/>
    <d v="2012-06-11T00:00:00"/>
    <n v="11855"/>
    <x v="1847"/>
    <n v="1187"/>
    <n v="11732"/>
    <n v="0"/>
  </r>
  <r>
    <x v="15"/>
    <x v="2"/>
    <s v="Сахар песок фас.5кг :1"/>
    <n v="165.05"/>
    <d v="2012-06-12T00:00:00"/>
    <n v="11732"/>
    <x v="1446"/>
    <n v="1106"/>
    <n v="11498"/>
    <n v="0"/>
  </r>
  <r>
    <x v="15"/>
    <x v="2"/>
    <s v="Сахар песок фас.5кг :1"/>
    <n v="165.05"/>
    <d v="2012-06-13T00:00:00"/>
    <n v="11498"/>
    <x v="1848"/>
    <n v="1054"/>
    <n v="11696"/>
    <n v="0"/>
  </r>
  <r>
    <x v="15"/>
    <x v="2"/>
    <s v="Сахар песок фас.5кг :1"/>
    <n v="165.05"/>
    <d v="2012-06-14T00:00:00"/>
    <n v="11696"/>
    <x v="1518"/>
    <n v="1137"/>
    <n v="11782"/>
    <n v="0"/>
  </r>
  <r>
    <x v="15"/>
    <x v="2"/>
    <s v="Сахар песок фас.5кг :1"/>
    <n v="165.05"/>
    <d v="2012-06-15T00:00:00"/>
    <n v="11782"/>
    <x v="1849"/>
    <n v="1414"/>
    <n v="11418"/>
    <n v="0"/>
  </r>
  <r>
    <x v="15"/>
    <x v="2"/>
    <s v="Сахар песок фас.5кг :1"/>
    <n v="165.05"/>
    <d v="2012-06-16T00:00:00"/>
    <n v="11418"/>
    <x v="1850"/>
    <n v="1460"/>
    <n v="11063"/>
    <n v="0"/>
  </r>
  <r>
    <x v="15"/>
    <x v="2"/>
    <s v="Сахар песок фас.5кг :1"/>
    <n v="165.05"/>
    <d v="2012-06-17T00:00:00"/>
    <n v="11063"/>
    <x v="590"/>
    <n v="1941"/>
    <n v="10288"/>
    <n v="0"/>
  </r>
  <r>
    <x v="15"/>
    <x v="2"/>
    <s v="Сахар песок фас.5кг :1"/>
    <n v="165.05"/>
    <d v="2012-06-18T00:00:00"/>
    <n v="10288"/>
    <x v="1851"/>
    <n v="1993"/>
    <n v="9844"/>
    <n v="0"/>
  </r>
  <r>
    <x v="15"/>
    <x v="2"/>
    <s v="Сахар песок фас.5кг :1"/>
    <n v="165.05"/>
    <d v="2012-06-19T00:00:00"/>
    <n v="9844"/>
    <x v="1852"/>
    <n v="1815"/>
    <n v="10182"/>
    <n v="0"/>
  </r>
  <r>
    <x v="15"/>
    <x v="2"/>
    <s v="Сахар песок фас.5кг :1"/>
    <n v="165.05"/>
    <d v="2012-06-20T00:00:00"/>
    <n v="10182"/>
    <x v="1853"/>
    <n v="1928"/>
    <n v="10664"/>
    <n v="0"/>
  </r>
  <r>
    <x v="15"/>
    <x v="2"/>
    <s v="Сахар песок фас.5кг :1"/>
    <n v="165.05"/>
    <d v="2012-06-21T00:00:00"/>
    <n v="10664"/>
    <x v="186"/>
    <n v="1961"/>
    <n v="10310"/>
    <n v="0"/>
  </r>
  <r>
    <x v="15"/>
    <x v="2"/>
    <s v="Сахар песок фас.5кг :1"/>
    <n v="165.05"/>
    <d v="2012-06-22T00:00:00"/>
    <n v="10310"/>
    <x v="1854"/>
    <n v="2313"/>
    <n v="9572"/>
    <n v="0"/>
  </r>
  <r>
    <x v="15"/>
    <x v="2"/>
    <s v="Сахар песок фас.5кг :1"/>
    <n v="165.05"/>
    <d v="2012-06-23T00:00:00"/>
    <n v="9572"/>
    <x v="1855"/>
    <n v="2166"/>
    <n v="8669"/>
    <n v="0"/>
  </r>
  <r>
    <x v="15"/>
    <x v="2"/>
    <s v="Сахар песок фас.5кг :1"/>
    <n v="165.05"/>
    <d v="2012-06-24T00:00:00"/>
    <n v="8669"/>
    <x v="1856"/>
    <n v="2377"/>
    <n v="9201"/>
    <n v="0"/>
  </r>
  <r>
    <x v="15"/>
    <x v="2"/>
    <s v="Сахар песок фас.5кг :1"/>
    <n v="165.05"/>
    <d v="2012-06-25T00:00:00"/>
    <n v="9201"/>
    <x v="1857"/>
    <n v="2413"/>
    <n v="9779"/>
    <n v="0"/>
  </r>
  <r>
    <x v="15"/>
    <x v="2"/>
    <s v="Сахар песок фас.5кг :1"/>
    <n v="165.05"/>
    <d v="2012-06-26T00:00:00"/>
    <n v="9779"/>
    <x v="1858"/>
    <n v="2152"/>
    <n v="11241"/>
    <n v="0"/>
  </r>
  <r>
    <x v="15"/>
    <x v="2"/>
    <s v="Сахар песок фас.5кг :1"/>
    <n v="165.05"/>
    <d v="2012-06-27T00:00:00"/>
    <n v="11241"/>
    <x v="1859"/>
    <n v="2253"/>
    <n v="12142"/>
    <n v="0"/>
  </r>
  <r>
    <x v="15"/>
    <x v="2"/>
    <s v="Сахар песок фас.5кг :1"/>
    <n v="165.05"/>
    <d v="2012-06-28T00:00:00"/>
    <n v="12142"/>
    <x v="1860"/>
    <n v="2271"/>
    <n v="12763"/>
    <n v="0"/>
  </r>
  <r>
    <x v="15"/>
    <x v="2"/>
    <s v="Сахар песок фас.5кг :1"/>
    <n v="165.05"/>
    <d v="2012-06-29T00:00:00"/>
    <n v="12763"/>
    <x v="1861"/>
    <n v="2526"/>
    <n v="12471"/>
    <n v="1"/>
  </r>
  <r>
    <x v="15"/>
    <x v="2"/>
    <s v="Сахар песок фас.5кг :1"/>
    <n v="165.05"/>
    <d v="2012-06-30T00:00:00"/>
    <n v="12471"/>
    <x v="1862"/>
    <n v="2641"/>
    <n v="12449"/>
    <n v="0"/>
  </r>
  <r>
    <x v="15"/>
    <x v="2"/>
    <s v="Сахар песок фас.5кг :1"/>
    <n v="165.05"/>
    <d v="2012-07-01T00:00:00"/>
    <n v="12449"/>
    <x v="1863"/>
    <n v="2233"/>
    <n v="13042"/>
    <n v="0"/>
  </r>
  <r>
    <x v="15"/>
    <x v="2"/>
    <s v="Сахар песок фас.5кг :1"/>
    <n v="165.05"/>
    <d v="2012-07-02T00:00:00"/>
    <n v="13042"/>
    <x v="1864"/>
    <n v="2210"/>
    <n v="11115"/>
    <n v="0"/>
  </r>
  <r>
    <x v="15"/>
    <x v="2"/>
    <s v="Сахар песок фас.5кг :1"/>
    <n v="165.05"/>
    <d v="2012-07-03T00:00:00"/>
    <n v="11115"/>
    <x v="1865"/>
    <n v="1960"/>
    <n v="9137"/>
    <n v="0"/>
  </r>
  <r>
    <x v="15"/>
    <x v="2"/>
    <s v="Сахар песок фас.5кг :1"/>
    <n v="165.05"/>
    <d v="2012-07-04T00:00:00"/>
    <n v="9137"/>
    <x v="1866"/>
    <n v="1574"/>
    <n v="10731"/>
    <n v="0"/>
  </r>
  <r>
    <x v="15"/>
    <x v="2"/>
    <s v="Сахар песок фас.5кг :1"/>
    <n v="165.05"/>
    <d v="2012-07-05T00:00:00"/>
    <n v="10731"/>
    <x v="1867"/>
    <n v="1888"/>
    <n v="12149"/>
    <n v="0"/>
  </r>
  <r>
    <x v="15"/>
    <x v="2"/>
    <s v="Сахар песок фас.5кг :1"/>
    <n v="165.05"/>
    <d v="2012-07-06T00:00:00"/>
    <n v="12149"/>
    <x v="1868"/>
    <n v="2053"/>
    <n v="12728"/>
    <n v="0"/>
  </r>
  <r>
    <x v="15"/>
    <x v="2"/>
    <s v="Сахар песок фас.5кг :1"/>
    <n v="165.05"/>
    <d v="2012-07-07T00:00:00"/>
    <n v="12728"/>
    <x v="1869"/>
    <n v="2466"/>
    <n v="12613"/>
    <n v="0"/>
  </r>
  <r>
    <x v="15"/>
    <x v="2"/>
    <s v="Сахар песок фас.5кг :1"/>
    <n v="165.05"/>
    <d v="2012-07-08T00:00:00"/>
    <n v="12613"/>
    <x v="479"/>
    <n v="2908"/>
    <n v="11811"/>
    <n v="0"/>
  </r>
  <r>
    <x v="15"/>
    <x v="2"/>
    <s v="Сахар песок фас.5кг :1"/>
    <n v="165.05"/>
    <d v="2012-07-09T00:00:00"/>
    <n v="11811"/>
    <x v="1870"/>
    <n v="2801"/>
    <n v="10808"/>
    <n v="0"/>
  </r>
  <r>
    <x v="15"/>
    <x v="2"/>
    <s v="Сахар песок фас.5кг :1"/>
    <n v="165.05"/>
    <d v="2012-07-10T00:00:00"/>
    <n v="10808"/>
    <x v="1871"/>
    <n v="2616"/>
    <n v="11386"/>
    <n v="0"/>
  </r>
  <r>
    <x v="15"/>
    <x v="2"/>
    <s v="Сахар песок фас.5кг :1"/>
    <n v="165.05"/>
    <d v="2012-07-11T00:00:00"/>
    <n v="11386"/>
    <x v="1872"/>
    <n v="2571"/>
    <n v="10474"/>
    <n v="0"/>
  </r>
  <r>
    <x v="15"/>
    <x v="2"/>
    <s v="Сахар песок фас.5кг :1"/>
    <n v="165.05"/>
    <d v="2012-07-12T00:00:00"/>
    <n v="10474"/>
    <x v="1873"/>
    <n v="2444"/>
    <n v="7963"/>
    <n v="0"/>
  </r>
  <r>
    <x v="15"/>
    <x v="2"/>
    <s v="Сахар песок фас.5кг :1"/>
    <n v="165.05"/>
    <d v="2012-07-13T00:00:00"/>
    <n v="7963"/>
    <x v="1874"/>
    <n v="2157"/>
    <n v="9541"/>
    <n v="0"/>
  </r>
  <r>
    <x v="15"/>
    <x v="2"/>
    <s v="Сахар песок фас.5кг :1"/>
    <n v="165.05"/>
    <d v="2012-07-14T00:00:00"/>
    <n v="9541"/>
    <x v="1875"/>
    <n v="2210"/>
    <n v="11181"/>
    <n v="0"/>
  </r>
  <r>
    <x v="15"/>
    <x v="2"/>
    <s v="Сахар песок фас.5кг :1"/>
    <n v="165.05"/>
    <d v="2012-07-15T00:00:00"/>
    <n v="11181"/>
    <x v="1876"/>
    <n v="2948"/>
    <n v="9931"/>
    <n v="0"/>
  </r>
  <r>
    <x v="15"/>
    <x v="2"/>
    <s v="Сахар песок фас.5кг :1"/>
    <n v="165.05"/>
    <d v="2012-07-16T00:00:00"/>
    <n v="9931"/>
    <x v="1877"/>
    <n v="2714"/>
    <n v="7190"/>
    <n v="0"/>
  </r>
  <r>
    <x v="15"/>
    <x v="2"/>
    <s v="Сахар песок фас.5кг :1"/>
    <n v="165.05"/>
    <d v="2012-07-17T00:00:00"/>
    <n v="7190"/>
    <x v="1878"/>
    <n v="1751"/>
    <n v="5468"/>
    <n v="0"/>
  </r>
  <r>
    <x v="16"/>
    <x v="0"/>
    <s v="Сахар песок фас. 10кг:1"/>
    <n v="317.08"/>
    <d v="2012-06-01T00:00:00"/>
    <n v="3156"/>
    <x v="366"/>
    <n v="510"/>
    <n v="3041"/>
    <n v="0"/>
  </r>
  <r>
    <x v="16"/>
    <x v="0"/>
    <s v="Сахар песок фас. 10кг:1"/>
    <n v="317.08"/>
    <d v="2012-06-02T00:00:00"/>
    <n v="3041"/>
    <x v="864"/>
    <n v="654"/>
    <n v="2716"/>
    <n v="0"/>
  </r>
  <r>
    <x v="16"/>
    <x v="0"/>
    <s v="Сахар песок фас. 10кг:1"/>
    <n v="317.08"/>
    <d v="2012-06-03T00:00:00"/>
    <n v="2716"/>
    <x v="1879"/>
    <n v="746"/>
    <n v="2623"/>
    <n v="0"/>
  </r>
  <r>
    <x v="16"/>
    <x v="0"/>
    <s v="Сахар песок фас. 10кг:1"/>
    <n v="317.08"/>
    <d v="2012-06-04T00:00:00"/>
    <n v="2623"/>
    <x v="1880"/>
    <n v="649"/>
    <n v="2662"/>
    <n v="0"/>
  </r>
  <r>
    <x v="16"/>
    <x v="0"/>
    <s v="Сахар песок фас. 10кг:1"/>
    <n v="317.08"/>
    <d v="2012-06-05T00:00:00"/>
    <n v="2662"/>
    <x v="1881"/>
    <n v="744"/>
    <n v="2990"/>
    <n v="0"/>
  </r>
  <r>
    <x v="16"/>
    <x v="0"/>
    <s v="Сахар песок фас. 10кг:1"/>
    <n v="317.08"/>
    <d v="2012-06-06T00:00:00"/>
    <n v="2990"/>
    <x v="516"/>
    <n v="1005"/>
    <n v="2833"/>
    <n v="0"/>
  </r>
  <r>
    <x v="16"/>
    <x v="0"/>
    <s v="Сахар песок фас. 10кг:1"/>
    <n v="317.08"/>
    <d v="2012-06-07T00:00:00"/>
    <n v="2833"/>
    <x v="1882"/>
    <n v="1038"/>
    <n v="2831"/>
    <n v="0"/>
  </r>
  <r>
    <x v="16"/>
    <x v="0"/>
    <s v="Сахар песок фас. 10кг:1"/>
    <n v="317.08"/>
    <d v="2012-06-08T00:00:00"/>
    <n v="2831"/>
    <x v="1883"/>
    <n v="1182"/>
    <n v="2878"/>
    <n v="0"/>
  </r>
  <r>
    <x v="16"/>
    <x v="0"/>
    <s v="Сахар песок фас. 10кг:1"/>
    <n v="317.08"/>
    <d v="2012-06-09T00:00:00"/>
    <n v="2878"/>
    <x v="1884"/>
    <n v="1391"/>
    <n v="3069"/>
    <n v="0"/>
  </r>
  <r>
    <x v="16"/>
    <x v="0"/>
    <s v="Сахар песок фас. 10кг:1"/>
    <n v="317.08"/>
    <d v="2012-06-10T00:00:00"/>
    <n v="3069"/>
    <x v="515"/>
    <n v="1159"/>
    <n v="2762"/>
    <n v="0"/>
  </r>
  <r>
    <x v="16"/>
    <x v="0"/>
    <s v="Сахар песок фас. 10кг:1"/>
    <n v="317.08"/>
    <d v="2012-06-11T00:00:00"/>
    <n v="2762"/>
    <x v="1232"/>
    <n v="1015"/>
    <n v="2795"/>
    <n v="0"/>
  </r>
  <r>
    <x v="16"/>
    <x v="0"/>
    <s v="Сахар песок фас. 10кг:1"/>
    <n v="317.08"/>
    <d v="2012-06-12T00:00:00"/>
    <n v="2795"/>
    <x v="1885"/>
    <n v="1028"/>
    <n v="2695"/>
    <n v="0"/>
  </r>
  <r>
    <x v="16"/>
    <x v="0"/>
    <s v="Сахар песок фас. 10кг:1"/>
    <n v="317.08"/>
    <d v="2012-06-13T00:00:00"/>
    <n v="2695"/>
    <x v="1886"/>
    <n v="966"/>
    <n v="2922"/>
    <n v="0"/>
  </r>
  <r>
    <x v="16"/>
    <x v="0"/>
    <s v="Сахар песок фас. 10кг:1"/>
    <n v="317.08"/>
    <d v="2012-06-14T00:00:00"/>
    <n v="2922"/>
    <x v="870"/>
    <n v="874"/>
    <n v="2930"/>
    <n v="0"/>
  </r>
  <r>
    <x v="16"/>
    <x v="0"/>
    <s v="Сахар песок фас. 10кг:1"/>
    <n v="317.08"/>
    <d v="2012-06-15T00:00:00"/>
    <n v="2930"/>
    <x v="1887"/>
    <n v="962"/>
    <n v="3042"/>
    <n v="0"/>
  </r>
  <r>
    <x v="16"/>
    <x v="0"/>
    <s v="Сахар песок фас. 10кг:1"/>
    <n v="317.08"/>
    <d v="2012-06-16T00:00:00"/>
    <n v="3042"/>
    <x v="1888"/>
    <n v="1034"/>
    <n v="2690"/>
    <n v="0"/>
  </r>
  <r>
    <x v="16"/>
    <x v="0"/>
    <s v="Сахар песок фас. 10кг:1"/>
    <n v="317.08"/>
    <d v="2012-06-17T00:00:00"/>
    <n v="2690"/>
    <x v="1889"/>
    <n v="1064"/>
    <n v="2622"/>
    <n v="0"/>
  </r>
  <r>
    <x v="16"/>
    <x v="0"/>
    <s v="Сахар песок фас. 10кг:1"/>
    <n v="317.08"/>
    <d v="2012-06-18T00:00:00"/>
    <n v="2622"/>
    <x v="1890"/>
    <n v="875"/>
    <n v="2823"/>
    <n v="0"/>
  </r>
  <r>
    <x v="16"/>
    <x v="0"/>
    <s v="Сахар песок фас. 10кг:1"/>
    <n v="317.08"/>
    <d v="2012-06-19T00:00:00"/>
    <n v="2823"/>
    <x v="1891"/>
    <n v="1009"/>
    <n v="3710"/>
    <n v="0"/>
  </r>
  <r>
    <x v="16"/>
    <x v="0"/>
    <s v="Сахар песок фас. 10кг:1"/>
    <n v="317.08"/>
    <d v="2012-06-20T00:00:00"/>
    <n v="3710"/>
    <x v="1892"/>
    <n v="944"/>
    <n v="3936"/>
    <n v="0"/>
  </r>
  <r>
    <x v="16"/>
    <x v="0"/>
    <s v="Сахар песок фас. 10кг:1"/>
    <n v="317.08"/>
    <d v="2012-06-21T00:00:00"/>
    <n v="3936"/>
    <x v="468"/>
    <n v="899"/>
    <n v="4493"/>
    <n v="0"/>
  </r>
  <r>
    <x v="16"/>
    <x v="0"/>
    <s v="Сахар песок фас. 10кг:1"/>
    <n v="317.08"/>
    <d v="2012-06-22T00:00:00"/>
    <n v="4493"/>
    <x v="406"/>
    <n v="972"/>
    <n v="4612"/>
    <n v="0"/>
  </r>
  <r>
    <x v="16"/>
    <x v="0"/>
    <s v="Сахар песок фас. 10кг:1"/>
    <n v="317.08"/>
    <d v="2012-06-23T00:00:00"/>
    <n v="4612"/>
    <x v="1893"/>
    <n v="1001"/>
    <n v="4490"/>
    <n v="0"/>
  </r>
  <r>
    <x v="16"/>
    <x v="0"/>
    <s v="Сахар песок фас. 10кг:1"/>
    <n v="317.08"/>
    <d v="2012-06-24T00:00:00"/>
    <n v="4490"/>
    <x v="1009"/>
    <n v="1053"/>
    <n v="4268"/>
    <n v="0"/>
  </r>
  <r>
    <x v="16"/>
    <x v="0"/>
    <s v="Сахар песок фас. 10кг:1"/>
    <n v="317.08"/>
    <d v="2012-06-25T00:00:00"/>
    <n v="4268"/>
    <x v="1894"/>
    <n v="1031"/>
    <n v="4316"/>
    <n v="0"/>
  </r>
  <r>
    <x v="16"/>
    <x v="0"/>
    <s v="Сахар песок фас. 10кг:1"/>
    <n v="317.08"/>
    <d v="2012-06-26T00:00:00"/>
    <n v="4316"/>
    <x v="1682"/>
    <n v="1003"/>
    <n v="4561"/>
    <n v="0"/>
  </r>
  <r>
    <x v="16"/>
    <x v="0"/>
    <s v="Сахар песок фас. 10кг:1"/>
    <n v="317.08"/>
    <d v="2012-06-27T00:00:00"/>
    <n v="4561"/>
    <x v="1884"/>
    <n v="881"/>
    <n v="5284"/>
    <n v="0"/>
  </r>
  <r>
    <x v="16"/>
    <x v="0"/>
    <s v="Сахар песок фас. 10кг:1"/>
    <n v="317.08"/>
    <d v="2012-06-28T00:00:00"/>
    <n v="5284"/>
    <x v="1895"/>
    <n v="911"/>
    <n v="5474"/>
    <n v="0"/>
  </r>
  <r>
    <x v="16"/>
    <x v="0"/>
    <s v="Сахар песок фас. 10кг:1"/>
    <n v="317.08"/>
    <d v="2012-06-29T00:00:00"/>
    <n v="5474"/>
    <x v="397"/>
    <n v="1003"/>
    <n v="5195"/>
    <n v="0"/>
  </r>
  <r>
    <x v="16"/>
    <x v="0"/>
    <s v="Сахар песок фас. 10кг:1"/>
    <n v="317.08"/>
    <d v="2012-06-30T00:00:00"/>
    <n v="5195"/>
    <x v="879"/>
    <n v="1264"/>
    <n v="4857"/>
    <n v="0"/>
  </r>
  <r>
    <x v="16"/>
    <x v="0"/>
    <s v="Сахар песок фас. 10кг:1"/>
    <n v="317.08"/>
    <d v="2012-07-01T00:00:00"/>
    <n v="4857"/>
    <x v="1896"/>
    <n v="1307"/>
    <n v="4447"/>
    <n v="0"/>
  </r>
  <r>
    <x v="16"/>
    <x v="0"/>
    <s v="Сахар песок фас. 10кг:1"/>
    <n v="317.08"/>
    <d v="2012-07-02T00:00:00"/>
    <n v="4447"/>
    <x v="954"/>
    <n v="1350"/>
    <n v="4502"/>
    <n v="0"/>
  </r>
  <r>
    <x v="16"/>
    <x v="0"/>
    <s v="Сахар песок фас. 10кг:1"/>
    <n v="317.08"/>
    <d v="2012-07-03T00:00:00"/>
    <n v="4502"/>
    <x v="1897"/>
    <n v="1308"/>
    <n v="4793"/>
    <n v="0"/>
  </r>
  <r>
    <x v="16"/>
    <x v="0"/>
    <s v="Сахар песок фас. 10кг:1"/>
    <n v="317.08"/>
    <d v="2012-07-04T00:00:00"/>
    <n v="4793"/>
    <x v="1898"/>
    <n v="1177"/>
    <n v="5259"/>
    <n v="0"/>
  </r>
  <r>
    <x v="16"/>
    <x v="0"/>
    <s v="Сахар песок фас. 10кг:1"/>
    <n v="317.08"/>
    <d v="2012-07-05T00:00:00"/>
    <n v="5259"/>
    <x v="1899"/>
    <n v="1184"/>
    <n v="5489"/>
    <n v="0"/>
  </r>
  <r>
    <x v="16"/>
    <x v="0"/>
    <s v="Сахар песок фас. 10кг:1"/>
    <n v="317.08"/>
    <d v="2012-07-06T00:00:00"/>
    <n v="5489"/>
    <x v="1074"/>
    <n v="1167"/>
    <n v="5809"/>
    <n v="0"/>
  </r>
  <r>
    <x v="16"/>
    <x v="0"/>
    <s v="Сахар песок фас. 10кг:1"/>
    <n v="317.08"/>
    <d v="2012-07-07T00:00:00"/>
    <n v="5809"/>
    <x v="1547"/>
    <n v="1133"/>
    <n v="5956"/>
    <n v="0"/>
  </r>
  <r>
    <x v="16"/>
    <x v="0"/>
    <s v="Сахар песок фас. 10кг:1"/>
    <n v="317.08"/>
    <d v="2012-07-08T00:00:00"/>
    <n v="5956"/>
    <x v="1900"/>
    <n v="1161"/>
    <n v="5146"/>
    <n v="0"/>
  </r>
  <r>
    <x v="16"/>
    <x v="0"/>
    <s v="Сахар песок фас. 10кг:1"/>
    <n v="317.08"/>
    <d v="2012-07-09T00:00:00"/>
    <n v="5146"/>
    <x v="1901"/>
    <n v="1020"/>
    <n v="5498"/>
    <n v="0"/>
  </r>
  <r>
    <x v="16"/>
    <x v="0"/>
    <s v="Сахар песок фас. 10кг:1"/>
    <n v="317.08"/>
    <d v="2012-07-10T00:00:00"/>
    <n v="5498"/>
    <x v="0"/>
    <n v="951"/>
    <n v="4480"/>
    <n v="0"/>
  </r>
  <r>
    <x v="16"/>
    <x v="0"/>
    <s v="Сахар песок фас. 10кг:1"/>
    <n v="317.08"/>
    <d v="2012-07-11T00:00:00"/>
    <n v="4480"/>
    <x v="1902"/>
    <n v="810"/>
    <n v="3650"/>
    <n v="0"/>
  </r>
  <r>
    <x v="16"/>
    <x v="0"/>
    <s v="Сахар песок фас. 10кг:1"/>
    <n v="317.08"/>
    <d v="2012-07-12T00:00:00"/>
    <n v="3650"/>
    <x v="1903"/>
    <n v="710"/>
    <n v="4646"/>
    <n v="0"/>
  </r>
  <r>
    <x v="16"/>
    <x v="0"/>
    <s v="Сахар песок фас. 10кг:1"/>
    <n v="317.08"/>
    <d v="2012-07-13T00:00:00"/>
    <n v="4646"/>
    <x v="0"/>
    <n v="788"/>
    <n v="3831"/>
    <n v="0"/>
  </r>
  <r>
    <x v="16"/>
    <x v="0"/>
    <s v="Сахар песок фас. 10кг:1"/>
    <n v="317.08"/>
    <d v="2012-07-14T00:00:00"/>
    <n v="3831"/>
    <x v="1904"/>
    <n v="805"/>
    <n v="4862"/>
    <n v="0"/>
  </r>
  <r>
    <x v="16"/>
    <x v="0"/>
    <s v="Сахар песок фас. 10кг:1"/>
    <n v="317.08"/>
    <d v="2012-07-15T00:00:00"/>
    <n v="4862"/>
    <x v="0"/>
    <n v="799"/>
    <n v="4050"/>
    <n v="0"/>
  </r>
  <r>
    <x v="16"/>
    <x v="0"/>
    <s v="Сахар песок фас. 10кг:1"/>
    <n v="317.08"/>
    <d v="2012-07-16T00:00:00"/>
    <n v="4050"/>
    <x v="0"/>
    <n v="705"/>
    <n v="3349"/>
    <n v="0"/>
  </r>
  <r>
    <x v="16"/>
    <x v="0"/>
    <s v="Сахар песок фас. 10кг:1"/>
    <n v="317.08"/>
    <d v="2012-07-17T00:00:00"/>
    <n v="3349"/>
    <x v="0"/>
    <n v="498"/>
    <n v="2851"/>
    <n v="0"/>
  </r>
  <r>
    <x v="16"/>
    <x v="1"/>
    <s v="Сахар песок фас.1кг:6"/>
    <n v="33.659999999999997"/>
    <d v="2012-06-01T00:00:00"/>
    <n v="62639"/>
    <x v="1905"/>
    <n v="10613"/>
    <n v="61636"/>
    <n v="0"/>
  </r>
  <r>
    <x v="16"/>
    <x v="1"/>
    <s v="Сахар песок фас.1кг:6"/>
    <n v="33.659999999999997"/>
    <d v="2012-06-02T00:00:00"/>
    <n v="61636"/>
    <x v="1906"/>
    <n v="10737"/>
    <n v="59136"/>
    <n v="0"/>
  </r>
  <r>
    <x v="16"/>
    <x v="1"/>
    <s v="Сахар песок фас.1кг:6"/>
    <n v="33.659999999999997"/>
    <d v="2012-06-03T00:00:00"/>
    <n v="59136"/>
    <x v="278"/>
    <n v="11703"/>
    <n v="60719"/>
    <n v="0"/>
  </r>
  <r>
    <x v="16"/>
    <x v="1"/>
    <s v="Сахар песок фас.1кг:6"/>
    <n v="33.659999999999997"/>
    <d v="2012-06-04T00:00:00"/>
    <n v="60719"/>
    <x v="1907"/>
    <n v="13485"/>
    <n v="59594"/>
    <n v="0"/>
  </r>
  <r>
    <x v="16"/>
    <x v="1"/>
    <s v="Сахар песок фас.1кг:6"/>
    <n v="33.659999999999997"/>
    <d v="2012-06-05T00:00:00"/>
    <n v="59594"/>
    <x v="1908"/>
    <n v="13156"/>
    <n v="60672"/>
    <n v="0"/>
  </r>
  <r>
    <x v="16"/>
    <x v="1"/>
    <s v="Сахар песок фас.1кг:6"/>
    <n v="33.659999999999997"/>
    <d v="2012-06-06T00:00:00"/>
    <n v="60672"/>
    <x v="979"/>
    <n v="12580"/>
    <n v="48575"/>
    <n v="0"/>
  </r>
  <r>
    <x v="16"/>
    <x v="1"/>
    <s v="Сахар песок фас.1кг:6"/>
    <n v="33.659999999999997"/>
    <d v="2012-06-07T00:00:00"/>
    <n v="48575"/>
    <x v="1909"/>
    <n v="13483"/>
    <n v="63981"/>
    <n v="0"/>
  </r>
  <r>
    <x v="16"/>
    <x v="1"/>
    <s v="Сахар песок фас.1кг:6"/>
    <n v="33.659999999999997"/>
    <d v="2012-06-08T00:00:00"/>
    <n v="63981"/>
    <x v="1910"/>
    <n v="15209"/>
    <n v="72383"/>
    <n v="0"/>
  </r>
  <r>
    <x v="16"/>
    <x v="1"/>
    <s v="Сахар песок фас.1кг:6"/>
    <n v="33.659999999999997"/>
    <d v="2012-06-09T00:00:00"/>
    <n v="72383"/>
    <x v="1911"/>
    <n v="15681"/>
    <n v="73122"/>
    <n v="1"/>
  </r>
  <r>
    <x v="16"/>
    <x v="1"/>
    <s v="Сахар песок фас.1кг:6"/>
    <n v="33.659999999999997"/>
    <d v="2012-06-10T00:00:00"/>
    <n v="73122"/>
    <x v="1912"/>
    <n v="16087"/>
    <n v="71496"/>
    <n v="0"/>
  </r>
  <r>
    <x v="16"/>
    <x v="1"/>
    <s v="Сахар песок фас.1кг:6"/>
    <n v="33.659999999999997"/>
    <d v="2012-06-11T00:00:00"/>
    <n v="71496"/>
    <x v="1913"/>
    <n v="15393"/>
    <n v="64543"/>
    <n v="1"/>
  </r>
  <r>
    <x v="16"/>
    <x v="1"/>
    <s v="Сахар песок фас.1кг:6"/>
    <n v="33.659999999999997"/>
    <d v="2012-06-12T00:00:00"/>
    <n v="64543"/>
    <x v="1914"/>
    <n v="15144"/>
    <n v="64574"/>
    <n v="0"/>
  </r>
  <r>
    <x v="16"/>
    <x v="1"/>
    <s v="Сахар песок фас.1кг:6"/>
    <n v="33.659999999999997"/>
    <d v="2012-06-13T00:00:00"/>
    <n v="64574"/>
    <x v="1915"/>
    <n v="16114"/>
    <n v="56254"/>
    <n v="0"/>
  </r>
  <r>
    <x v="16"/>
    <x v="1"/>
    <s v="Сахар песок фас.1кг:6"/>
    <n v="33.659999999999997"/>
    <d v="2012-06-14T00:00:00"/>
    <n v="56254"/>
    <x v="1916"/>
    <n v="14857"/>
    <n v="59656"/>
    <n v="0"/>
  </r>
  <r>
    <x v="16"/>
    <x v="1"/>
    <s v="Сахар песок фас.1кг:6"/>
    <n v="33.659999999999997"/>
    <d v="2012-06-15T00:00:00"/>
    <n v="59656"/>
    <x v="1917"/>
    <n v="15027"/>
    <n v="67718"/>
    <n v="1"/>
  </r>
  <r>
    <x v="16"/>
    <x v="1"/>
    <s v="Сахар песок фас.1кг:6"/>
    <n v="33.659999999999997"/>
    <d v="2012-06-16T00:00:00"/>
    <n v="67718"/>
    <x v="1918"/>
    <n v="15246"/>
    <n v="65939"/>
    <n v="0"/>
  </r>
  <r>
    <x v="16"/>
    <x v="1"/>
    <s v="Сахар песок фас.1кг:6"/>
    <n v="33.659999999999997"/>
    <d v="2012-06-17T00:00:00"/>
    <n v="65939"/>
    <x v="1919"/>
    <n v="16876"/>
    <n v="62728"/>
    <n v="0"/>
  </r>
  <r>
    <x v="16"/>
    <x v="1"/>
    <s v="Сахар песок фас.1кг:6"/>
    <n v="33.659999999999997"/>
    <d v="2012-06-18T00:00:00"/>
    <n v="62728"/>
    <x v="1920"/>
    <n v="17666"/>
    <n v="61317"/>
    <n v="1"/>
  </r>
  <r>
    <x v="16"/>
    <x v="1"/>
    <s v="Сахар песок фас.1кг:6"/>
    <n v="33.659999999999997"/>
    <d v="2012-06-19T00:00:00"/>
    <n v="61317"/>
    <x v="1921"/>
    <n v="14493"/>
    <n v="65753"/>
    <n v="0"/>
  </r>
  <r>
    <x v="16"/>
    <x v="1"/>
    <s v="Сахар песок фас.1кг:6"/>
    <n v="33.659999999999997"/>
    <d v="2012-06-20T00:00:00"/>
    <n v="65753"/>
    <x v="1922"/>
    <n v="14788"/>
    <n v="50788"/>
    <n v="0"/>
  </r>
  <r>
    <x v="16"/>
    <x v="1"/>
    <s v="Сахар песок фас.1кг:6"/>
    <n v="33.659999999999997"/>
    <d v="2012-06-21T00:00:00"/>
    <n v="50788"/>
    <x v="1923"/>
    <n v="13921"/>
    <n v="37301"/>
    <n v="0"/>
  </r>
  <r>
    <x v="16"/>
    <x v="1"/>
    <s v="Сахар песок фас.1кг:6"/>
    <n v="33.659999999999997"/>
    <d v="2012-06-22T00:00:00"/>
    <n v="37301"/>
    <x v="1924"/>
    <n v="13520"/>
    <n v="57768"/>
    <n v="0"/>
  </r>
  <r>
    <x v="16"/>
    <x v="1"/>
    <s v="Сахар песок фас.1кг:6"/>
    <n v="33.659999999999997"/>
    <d v="2012-06-23T00:00:00"/>
    <n v="57768"/>
    <x v="1925"/>
    <n v="13550"/>
    <n v="67276"/>
    <n v="0"/>
  </r>
  <r>
    <x v="16"/>
    <x v="1"/>
    <s v="Сахар песок фас.1кг:6"/>
    <n v="33.659999999999997"/>
    <d v="2012-06-24T00:00:00"/>
    <n v="67276"/>
    <x v="874"/>
    <n v="15303"/>
    <n v="52457"/>
    <n v="0"/>
  </r>
  <r>
    <x v="16"/>
    <x v="1"/>
    <s v="Сахар песок фас.1кг:6"/>
    <n v="33.659999999999997"/>
    <d v="2012-06-25T00:00:00"/>
    <n v="52457"/>
    <x v="1926"/>
    <n v="17221"/>
    <n v="66008"/>
    <n v="0"/>
  </r>
  <r>
    <x v="16"/>
    <x v="1"/>
    <s v="Сахар песок фас.1кг:6"/>
    <n v="33.659999999999997"/>
    <d v="2012-06-26T00:00:00"/>
    <n v="66008"/>
    <x v="1927"/>
    <n v="15374"/>
    <n v="88545"/>
    <n v="0"/>
  </r>
  <r>
    <x v="16"/>
    <x v="1"/>
    <s v="Сахар песок фас.1кг:6"/>
    <n v="33.659999999999997"/>
    <d v="2012-06-27T00:00:00"/>
    <n v="88545"/>
    <x v="1928"/>
    <n v="15710"/>
    <n v="99923"/>
    <n v="0"/>
  </r>
  <r>
    <x v="16"/>
    <x v="1"/>
    <s v="Сахар песок фас.1кг:6"/>
    <n v="33.659999999999997"/>
    <d v="2012-06-28T00:00:00"/>
    <n v="99923"/>
    <x v="1929"/>
    <n v="16008"/>
    <n v="98930"/>
    <n v="0"/>
  </r>
  <r>
    <x v="16"/>
    <x v="1"/>
    <s v="Сахар песок фас.1кг:6"/>
    <n v="33.659999999999997"/>
    <d v="2012-06-29T00:00:00"/>
    <n v="98930"/>
    <x v="1930"/>
    <n v="16077"/>
    <n v="86579"/>
    <n v="0"/>
  </r>
  <r>
    <x v="16"/>
    <x v="1"/>
    <s v="Сахар песок фас.1кг:6"/>
    <n v="33.659999999999997"/>
    <d v="2012-06-30T00:00:00"/>
    <n v="86579"/>
    <x v="1931"/>
    <n v="17103"/>
    <n v="90657"/>
    <n v="0"/>
  </r>
  <r>
    <x v="16"/>
    <x v="1"/>
    <s v="Сахар песок фас.1кг:6"/>
    <n v="33.659999999999997"/>
    <d v="2012-07-01T00:00:00"/>
    <n v="90657"/>
    <x v="1932"/>
    <n v="16166"/>
    <n v="98030"/>
    <n v="0"/>
  </r>
  <r>
    <x v="16"/>
    <x v="1"/>
    <s v="Сахар песок фас.1кг:6"/>
    <n v="33.659999999999997"/>
    <d v="2012-07-02T00:00:00"/>
    <n v="98030"/>
    <x v="1933"/>
    <n v="19316"/>
    <n v="98634"/>
    <n v="3"/>
  </r>
  <r>
    <x v="16"/>
    <x v="1"/>
    <s v="Сахар песок фас.1кг:6"/>
    <n v="33.659999999999997"/>
    <d v="2012-07-03T00:00:00"/>
    <n v="98634"/>
    <x v="1934"/>
    <n v="17780"/>
    <n v="99405"/>
    <n v="2"/>
  </r>
  <r>
    <x v="16"/>
    <x v="1"/>
    <s v="Сахар песок фас.1кг:6"/>
    <n v="33.659999999999997"/>
    <d v="2012-07-04T00:00:00"/>
    <n v="99405"/>
    <x v="1935"/>
    <n v="15912"/>
    <n v="86788"/>
    <n v="0"/>
  </r>
  <r>
    <x v="16"/>
    <x v="1"/>
    <s v="Сахар песок фас.1кг:6"/>
    <n v="33.659999999999997"/>
    <d v="2012-07-05T00:00:00"/>
    <n v="86788"/>
    <x v="1936"/>
    <n v="15433"/>
    <n v="89536"/>
    <n v="0"/>
  </r>
  <r>
    <x v="16"/>
    <x v="1"/>
    <s v="Сахар песок фас.1кг:6"/>
    <n v="33.659999999999997"/>
    <d v="2012-07-06T00:00:00"/>
    <n v="89536"/>
    <x v="1937"/>
    <n v="14672"/>
    <n v="87704"/>
    <n v="0"/>
  </r>
  <r>
    <x v="16"/>
    <x v="1"/>
    <s v="Сахар песок фас.1кг:6"/>
    <n v="33.659999999999997"/>
    <d v="2012-07-07T00:00:00"/>
    <n v="87704"/>
    <x v="1938"/>
    <n v="13331"/>
    <n v="99675"/>
    <n v="0"/>
  </r>
  <r>
    <x v="16"/>
    <x v="1"/>
    <s v="Сахар песок фас.1кг:6"/>
    <n v="33.659999999999997"/>
    <d v="2012-07-08T00:00:00"/>
    <n v="99675"/>
    <x v="1939"/>
    <n v="13135"/>
    <n v="99989"/>
    <n v="0"/>
  </r>
  <r>
    <x v="16"/>
    <x v="1"/>
    <s v="Сахар песок фас.1кг:6"/>
    <n v="33.659999999999997"/>
    <d v="2012-07-09T00:00:00"/>
    <n v="99989"/>
    <x v="1940"/>
    <n v="14575"/>
    <n v="99546"/>
    <n v="0"/>
  </r>
  <r>
    <x v="16"/>
    <x v="1"/>
    <s v="Сахар песок фас.1кг:6"/>
    <n v="33.659999999999997"/>
    <d v="2012-07-10T00:00:00"/>
    <n v="99546"/>
    <x v="1941"/>
    <n v="13770"/>
    <n v="105480"/>
    <n v="0"/>
  </r>
  <r>
    <x v="16"/>
    <x v="1"/>
    <s v="Сахар песок фас.1кг:6"/>
    <n v="33.659999999999997"/>
    <d v="2012-07-11T00:00:00"/>
    <n v="105480"/>
    <x v="1942"/>
    <n v="13463"/>
    <n v="104048"/>
    <n v="0"/>
  </r>
  <r>
    <x v="16"/>
    <x v="1"/>
    <s v="Сахар песок фас.1кг:6"/>
    <n v="33.659999999999997"/>
    <d v="2012-07-12T00:00:00"/>
    <n v="104048"/>
    <x v="1943"/>
    <n v="12637"/>
    <n v="101832"/>
    <n v="0"/>
  </r>
  <r>
    <x v="16"/>
    <x v="1"/>
    <s v="Сахар песок фас.1кг:6"/>
    <n v="33.659999999999997"/>
    <d v="2012-07-13T00:00:00"/>
    <n v="101832"/>
    <x v="1944"/>
    <n v="10932"/>
    <n v="99244"/>
    <n v="0"/>
  </r>
  <r>
    <x v="16"/>
    <x v="1"/>
    <s v="Сахар песок фас.1кг:6"/>
    <n v="33.659999999999997"/>
    <d v="2012-07-14T00:00:00"/>
    <n v="99244"/>
    <x v="161"/>
    <n v="9640"/>
    <n v="100739"/>
    <n v="0"/>
  </r>
  <r>
    <x v="16"/>
    <x v="1"/>
    <s v="Сахар песок фас.1кг:6"/>
    <n v="33.659999999999997"/>
    <d v="2012-07-15T00:00:00"/>
    <n v="100739"/>
    <x v="1945"/>
    <n v="9525"/>
    <n v="97284"/>
    <n v="0"/>
  </r>
  <r>
    <x v="16"/>
    <x v="1"/>
    <s v="Сахар песок фас.1кг:6"/>
    <n v="33.659999999999997"/>
    <d v="2012-07-16T00:00:00"/>
    <n v="97284"/>
    <x v="1946"/>
    <n v="10320"/>
    <n v="92988"/>
    <n v="0"/>
  </r>
  <r>
    <x v="16"/>
    <x v="1"/>
    <s v="Сахар песок фас.1кг:6"/>
    <n v="33.659999999999997"/>
    <d v="2012-07-17T00:00:00"/>
    <n v="92988"/>
    <x v="1295"/>
    <n v="8345"/>
    <n v="89502"/>
    <n v="0"/>
  </r>
  <r>
    <x v="16"/>
    <x v="2"/>
    <s v="Сахар песок фас.5кг :1"/>
    <n v="165.05"/>
    <d v="2012-06-01T00:00:00"/>
    <n v="11642"/>
    <x v="1947"/>
    <n v="2200"/>
    <n v="10829"/>
    <n v="0"/>
  </r>
  <r>
    <x v="16"/>
    <x v="2"/>
    <s v="Сахар песок фас.5кг :1"/>
    <n v="165.05"/>
    <d v="2012-06-02T00:00:00"/>
    <n v="10829"/>
    <x v="1948"/>
    <n v="2621"/>
    <n v="9915"/>
    <n v="0"/>
  </r>
  <r>
    <x v="16"/>
    <x v="2"/>
    <s v="Сахар песок фас.5кг :1"/>
    <n v="165.05"/>
    <d v="2012-06-03T00:00:00"/>
    <n v="9915"/>
    <x v="205"/>
    <n v="2924"/>
    <n v="9595"/>
    <n v="0"/>
  </r>
  <r>
    <x v="16"/>
    <x v="2"/>
    <s v="Сахар песок фас.5кг :1"/>
    <n v="165.05"/>
    <d v="2012-06-04T00:00:00"/>
    <n v="9595"/>
    <x v="1949"/>
    <n v="3160"/>
    <n v="9455"/>
    <n v="0"/>
  </r>
  <r>
    <x v="16"/>
    <x v="2"/>
    <s v="Сахар песок фас.5кг :1"/>
    <n v="165.05"/>
    <d v="2012-06-05T00:00:00"/>
    <n v="9455"/>
    <x v="1950"/>
    <n v="3197"/>
    <n v="9929"/>
    <n v="0"/>
  </r>
  <r>
    <x v="16"/>
    <x v="2"/>
    <s v="Сахар песок фас.5кг :1"/>
    <n v="165.05"/>
    <d v="2012-06-06T00:00:00"/>
    <n v="9929"/>
    <x v="1951"/>
    <n v="3356"/>
    <n v="10312"/>
    <n v="0"/>
  </r>
  <r>
    <x v="16"/>
    <x v="2"/>
    <s v="Сахар песок фас.5кг :1"/>
    <n v="165.05"/>
    <d v="2012-06-07T00:00:00"/>
    <n v="10312"/>
    <x v="1645"/>
    <n v="3409"/>
    <n v="11618"/>
    <n v="0"/>
  </r>
  <r>
    <x v="16"/>
    <x v="2"/>
    <s v="Сахар песок фас.5кг :1"/>
    <n v="165.05"/>
    <d v="2012-06-08T00:00:00"/>
    <n v="11618"/>
    <x v="1647"/>
    <n v="3717"/>
    <n v="12906"/>
    <n v="0"/>
  </r>
  <r>
    <x v="16"/>
    <x v="2"/>
    <s v="Сахар песок фас.5кг :1"/>
    <n v="165.05"/>
    <d v="2012-06-09T00:00:00"/>
    <n v="12906"/>
    <x v="1952"/>
    <n v="3985"/>
    <n v="13423"/>
    <n v="0"/>
  </r>
  <r>
    <x v="16"/>
    <x v="2"/>
    <s v="Сахар песок фас.5кг :1"/>
    <n v="165.05"/>
    <d v="2012-06-10T00:00:00"/>
    <n v="13423"/>
    <x v="1953"/>
    <n v="4081"/>
    <n v="12202"/>
    <n v="0"/>
  </r>
  <r>
    <x v="16"/>
    <x v="2"/>
    <s v="Сахар песок фас.5кг :1"/>
    <n v="165.05"/>
    <d v="2012-06-11T00:00:00"/>
    <n v="12202"/>
    <x v="1954"/>
    <n v="3395"/>
    <n v="8755"/>
    <n v="0"/>
  </r>
  <r>
    <x v="16"/>
    <x v="2"/>
    <s v="Сахар песок фас.5кг :1"/>
    <n v="165.05"/>
    <d v="2012-06-12T00:00:00"/>
    <n v="8755"/>
    <x v="1955"/>
    <n v="3162"/>
    <n v="10400"/>
    <n v="0"/>
  </r>
  <r>
    <x v="16"/>
    <x v="2"/>
    <s v="Сахар песок фас.5кг :1"/>
    <n v="165.05"/>
    <d v="2012-06-13T00:00:00"/>
    <n v="10400"/>
    <x v="20"/>
    <n v="2937"/>
    <n v="8219"/>
    <n v="0"/>
  </r>
  <r>
    <x v="16"/>
    <x v="2"/>
    <s v="Сахар песок фас.5кг :1"/>
    <n v="165.05"/>
    <d v="2012-06-14T00:00:00"/>
    <n v="8219"/>
    <x v="1956"/>
    <n v="2510"/>
    <n v="8765"/>
    <n v="0"/>
  </r>
  <r>
    <x v="16"/>
    <x v="2"/>
    <s v="Сахар песок фас.5кг :1"/>
    <n v="165.05"/>
    <d v="2012-06-15T00:00:00"/>
    <n v="8765"/>
    <x v="626"/>
    <n v="2243"/>
    <n v="6508"/>
    <n v="0"/>
  </r>
  <r>
    <x v="16"/>
    <x v="2"/>
    <s v="Сахар песок фас.5кг :1"/>
    <n v="165.05"/>
    <d v="2012-06-16T00:00:00"/>
    <n v="6508"/>
    <x v="0"/>
    <n v="1763"/>
    <n v="4783"/>
    <n v="0"/>
  </r>
  <r>
    <x v="16"/>
    <x v="2"/>
    <s v="Сахар песок фас.5кг :1"/>
    <n v="165.05"/>
    <d v="2012-06-17T00:00:00"/>
    <n v="4783"/>
    <x v="0"/>
    <n v="1206"/>
    <n v="3559"/>
    <n v="0"/>
  </r>
  <r>
    <x v="16"/>
    <x v="2"/>
    <s v="Сахар песок фас.5кг :1"/>
    <n v="165.05"/>
    <d v="2012-06-18T00:00:00"/>
    <n v="3559"/>
    <x v="1957"/>
    <n v="1813"/>
    <n v="10312"/>
    <n v="0"/>
  </r>
  <r>
    <x v="16"/>
    <x v="2"/>
    <s v="Сахар песок фас.5кг :1"/>
    <n v="165.05"/>
    <d v="2012-06-19T00:00:00"/>
    <n v="10312"/>
    <x v="1958"/>
    <n v="2847"/>
    <n v="8807"/>
    <n v="0"/>
  </r>
  <r>
    <x v="16"/>
    <x v="2"/>
    <s v="Сахар песок фас.5кг :1"/>
    <n v="165.05"/>
    <d v="2012-06-20T00:00:00"/>
    <n v="8807"/>
    <x v="1959"/>
    <n v="2793"/>
    <n v="9704"/>
    <n v="0"/>
  </r>
  <r>
    <x v="16"/>
    <x v="2"/>
    <s v="Сахар песок фас.5кг :1"/>
    <n v="165.05"/>
    <d v="2012-06-21T00:00:00"/>
    <n v="9704"/>
    <x v="96"/>
    <n v="2853"/>
    <n v="12693"/>
    <n v="0"/>
  </r>
  <r>
    <x v="16"/>
    <x v="2"/>
    <s v="Сахар песок фас.5кг :1"/>
    <n v="165.05"/>
    <d v="2012-06-22T00:00:00"/>
    <n v="12693"/>
    <x v="1960"/>
    <n v="3611"/>
    <n v="13764"/>
    <n v="0"/>
  </r>
  <r>
    <x v="16"/>
    <x v="2"/>
    <s v="Сахар песок фас.5кг :1"/>
    <n v="165.05"/>
    <d v="2012-06-23T00:00:00"/>
    <n v="13764"/>
    <x v="1682"/>
    <n v="3612"/>
    <n v="11361"/>
    <n v="0"/>
  </r>
  <r>
    <x v="16"/>
    <x v="2"/>
    <s v="Сахар песок фас.5кг :1"/>
    <n v="165.05"/>
    <d v="2012-06-24T00:00:00"/>
    <n v="11361"/>
    <x v="1961"/>
    <n v="3461"/>
    <n v="10217"/>
    <n v="0"/>
  </r>
  <r>
    <x v="16"/>
    <x v="2"/>
    <s v="Сахар песок фас.5кг :1"/>
    <n v="165.05"/>
    <d v="2012-06-25T00:00:00"/>
    <n v="10217"/>
    <x v="128"/>
    <n v="3425"/>
    <n v="11032"/>
    <n v="0"/>
  </r>
  <r>
    <x v="16"/>
    <x v="2"/>
    <s v="Сахар песок фас.5кг :1"/>
    <n v="165.05"/>
    <d v="2012-06-26T00:00:00"/>
    <n v="11032"/>
    <x v="1962"/>
    <n v="3254"/>
    <n v="14123"/>
    <n v="0"/>
  </r>
  <r>
    <x v="16"/>
    <x v="2"/>
    <s v="Сахар песок фас.5кг :1"/>
    <n v="165.05"/>
    <d v="2012-06-27T00:00:00"/>
    <n v="14123"/>
    <x v="1963"/>
    <n v="3254"/>
    <n v="14861"/>
    <n v="0"/>
  </r>
  <r>
    <x v="16"/>
    <x v="2"/>
    <s v="Сахар песок фас.5кг :1"/>
    <n v="165.05"/>
    <d v="2012-06-28T00:00:00"/>
    <n v="14861"/>
    <x v="1964"/>
    <n v="3116"/>
    <n v="15354"/>
    <n v="0"/>
  </r>
  <r>
    <x v="16"/>
    <x v="2"/>
    <s v="Сахар песок фас.5кг :1"/>
    <n v="165.05"/>
    <d v="2012-06-29T00:00:00"/>
    <n v="15354"/>
    <x v="1965"/>
    <n v="3476"/>
    <n v="15558"/>
    <n v="0"/>
  </r>
  <r>
    <x v="16"/>
    <x v="2"/>
    <s v="Сахар песок фас.5кг :1"/>
    <n v="165.05"/>
    <d v="2012-06-30T00:00:00"/>
    <n v="15558"/>
    <x v="1966"/>
    <n v="4268"/>
    <n v="14506"/>
    <n v="0"/>
  </r>
  <r>
    <x v="16"/>
    <x v="2"/>
    <s v="Сахар песок фас.5кг :1"/>
    <n v="165.05"/>
    <d v="2012-07-01T00:00:00"/>
    <n v="14506"/>
    <x v="1967"/>
    <n v="4217"/>
    <n v="13494"/>
    <n v="0"/>
  </r>
  <r>
    <x v="16"/>
    <x v="2"/>
    <s v="Сахар песок фас.5кг :1"/>
    <n v="165.05"/>
    <d v="2012-07-02T00:00:00"/>
    <n v="13494"/>
    <x v="1968"/>
    <n v="4272"/>
    <n v="13668"/>
    <n v="0"/>
  </r>
  <r>
    <x v="16"/>
    <x v="2"/>
    <s v="Сахар песок фас.5кг :1"/>
    <n v="165.05"/>
    <d v="2012-07-03T00:00:00"/>
    <n v="13668"/>
    <x v="1969"/>
    <n v="3983"/>
    <n v="14782"/>
    <n v="0"/>
  </r>
  <r>
    <x v="16"/>
    <x v="2"/>
    <s v="Сахар песок фас.5кг :1"/>
    <n v="165.05"/>
    <d v="2012-07-04T00:00:00"/>
    <n v="14782"/>
    <x v="1970"/>
    <n v="3829"/>
    <n v="16476"/>
    <n v="0"/>
  </r>
  <r>
    <x v="16"/>
    <x v="2"/>
    <s v="Сахар песок фас.5кг :1"/>
    <n v="165.05"/>
    <d v="2012-07-05T00:00:00"/>
    <n v="16476"/>
    <x v="700"/>
    <n v="4016"/>
    <n v="16924"/>
    <n v="0"/>
  </r>
  <r>
    <x v="16"/>
    <x v="2"/>
    <s v="Сахар песок фас.5кг :1"/>
    <n v="165.05"/>
    <d v="2012-07-06T00:00:00"/>
    <n v="16924"/>
    <x v="1971"/>
    <n v="4222"/>
    <n v="14630"/>
    <n v="0"/>
  </r>
  <r>
    <x v="16"/>
    <x v="2"/>
    <s v="Сахар песок фас.5кг :1"/>
    <n v="165.05"/>
    <d v="2012-07-07T00:00:00"/>
    <n v="14630"/>
    <x v="1972"/>
    <n v="3832"/>
    <n v="14767"/>
    <n v="0"/>
  </r>
  <r>
    <x v="16"/>
    <x v="2"/>
    <s v="Сахар песок фас.5кг :1"/>
    <n v="165.05"/>
    <d v="2012-07-08T00:00:00"/>
    <n v="14767"/>
    <x v="1445"/>
    <n v="3642"/>
    <n v="12022"/>
    <n v="0"/>
  </r>
  <r>
    <x v="16"/>
    <x v="2"/>
    <s v="Сахар песок фас.5кг :1"/>
    <n v="165.05"/>
    <d v="2012-07-09T00:00:00"/>
    <n v="12022"/>
    <x v="239"/>
    <n v="3287"/>
    <n v="8707"/>
    <n v="0"/>
  </r>
  <r>
    <x v="16"/>
    <x v="2"/>
    <s v="Сахар песок фас.5кг :1"/>
    <n v="165.05"/>
    <d v="2012-07-10T00:00:00"/>
    <n v="8707"/>
    <x v="0"/>
    <n v="2370"/>
    <n v="6232"/>
    <n v="0"/>
  </r>
  <r>
    <x v="16"/>
    <x v="2"/>
    <s v="Сахар песок фас.5кг :1"/>
    <n v="165.05"/>
    <d v="2012-07-11T00:00:00"/>
    <n v="6232"/>
    <x v="1973"/>
    <n v="2064"/>
    <n v="7598"/>
    <n v="0"/>
  </r>
  <r>
    <x v="16"/>
    <x v="2"/>
    <s v="Сахар песок фас.5кг :1"/>
    <n v="165.05"/>
    <d v="2012-07-12T00:00:00"/>
    <n v="7598"/>
    <x v="1974"/>
    <n v="2005"/>
    <n v="8720"/>
    <n v="0"/>
  </r>
  <r>
    <x v="16"/>
    <x v="2"/>
    <s v="Сахар песок фас.5кг :1"/>
    <n v="165.05"/>
    <d v="2012-07-13T00:00:00"/>
    <n v="8720"/>
    <x v="1975"/>
    <n v="2355"/>
    <n v="10231"/>
    <n v="0"/>
  </r>
  <r>
    <x v="16"/>
    <x v="2"/>
    <s v="Сахар песок фас.5кг :1"/>
    <n v="165.05"/>
    <d v="2012-07-14T00:00:00"/>
    <n v="10231"/>
    <x v="0"/>
    <n v="2173"/>
    <n v="7999"/>
    <n v="0"/>
  </r>
  <r>
    <x v="16"/>
    <x v="2"/>
    <s v="Сахар песок фас.5кг :1"/>
    <n v="165.05"/>
    <d v="2012-07-15T00:00:00"/>
    <n v="7999"/>
    <x v="0"/>
    <n v="1646"/>
    <n v="6348"/>
    <n v="0"/>
  </r>
  <r>
    <x v="16"/>
    <x v="2"/>
    <s v="Сахар песок фас.5кг :1"/>
    <n v="165.05"/>
    <d v="2012-07-16T00:00:00"/>
    <n v="6348"/>
    <x v="1976"/>
    <n v="1686"/>
    <n v="8243"/>
    <n v="0"/>
  </r>
  <r>
    <x v="16"/>
    <x v="2"/>
    <s v="Сахар песок фас.5кг :1"/>
    <n v="165.05"/>
    <d v="2012-07-17T00:00:00"/>
    <n v="8243"/>
    <x v="1977"/>
    <n v="1790"/>
    <n v="1207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6F796-E11F-433D-91B6-4526B37F2E6E}" name="Сводная таблица1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2">
  <location ref="A3:D20" firstHeaderRow="0" firstDataRow="1" firstDataCol="1" rowPageCount="1" colPageCount="1"/>
  <pivotFields count="11">
    <pivotField axis="axisRow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Page" showAll="0">
      <items count="4">
        <item x="0"/>
        <item x="2"/>
        <item x="1"/>
        <item t="default"/>
      </items>
    </pivotField>
    <pivotField showAll="0"/>
    <pivotField showAll="0"/>
    <pivotField numFmtId="166" showAll="0"/>
    <pivotField showAll="0"/>
    <pivotField showAll="0">
      <items count="1979">
        <item x="1713"/>
        <item x="1714"/>
        <item x="1704"/>
        <item x="1922"/>
        <item x="1804"/>
        <item x="1528"/>
        <item x="886"/>
        <item x="1923"/>
        <item x="651"/>
        <item x="1689"/>
        <item x="1954"/>
        <item x="637"/>
        <item x="1529"/>
        <item x="1843"/>
        <item x="1877"/>
        <item x="1865"/>
        <item x="500"/>
        <item x="322"/>
        <item x="0"/>
        <item x="626"/>
        <item x="239"/>
        <item x="627"/>
        <item x="751"/>
        <item x="638"/>
        <item x="653"/>
        <item x="327"/>
        <item x="1902"/>
        <item x="1312"/>
        <item x="363"/>
        <item x="633"/>
        <item x="634"/>
        <item x="631"/>
        <item x="643"/>
        <item x="629"/>
        <item x="527"/>
        <item x="642"/>
        <item x="760"/>
        <item x="645"/>
        <item x="640"/>
        <item x="654"/>
        <item x="501"/>
        <item x="745"/>
        <item x="646"/>
        <item x="768"/>
        <item x="32"/>
        <item x="635"/>
        <item x="28"/>
        <item x="641"/>
        <item x="213"/>
        <item x="1542"/>
        <item x="744"/>
        <item x="277"/>
        <item x="628"/>
        <item x="749"/>
        <item x="454"/>
        <item x="650"/>
        <item x="630"/>
        <item x="636"/>
        <item x="652"/>
        <item x="31"/>
        <item x="648"/>
        <item x="756"/>
        <item x="765"/>
        <item x="649"/>
        <item x="639"/>
        <item x="988"/>
        <item x="1111"/>
        <item x="644"/>
        <item x="1112"/>
        <item x="764"/>
        <item x="754"/>
        <item x="1110"/>
        <item x="770"/>
        <item x="758"/>
        <item x="1297"/>
        <item x="987"/>
        <item x="1116"/>
        <item x="753"/>
        <item x="1114"/>
        <item x="984"/>
        <item x="993"/>
        <item x="991"/>
        <item x="992"/>
        <item x="1803"/>
        <item x="1113"/>
        <item x="1118"/>
        <item x="771"/>
        <item x="1873"/>
        <item x="1108"/>
        <item x="1177"/>
        <item x="632"/>
        <item x="755"/>
        <item x="766"/>
        <item x="1109"/>
        <item x="534"/>
        <item x="1763"/>
        <item x="1119"/>
        <item x="933"/>
        <item x="885"/>
        <item x="647"/>
        <item x="747"/>
        <item x="1878"/>
        <item x="968"/>
        <item x="996"/>
        <item x="748"/>
        <item x="1122"/>
        <item x="746"/>
        <item x="1117"/>
        <item x="759"/>
        <item x="752"/>
        <item x="1115"/>
        <item x="891"/>
        <item x="1434"/>
        <item x="1187"/>
        <item x="1130"/>
        <item x="1123"/>
        <item x="1132"/>
        <item x="1186"/>
        <item x="761"/>
        <item x="769"/>
        <item x="1183"/>
        <item x="1182"/>
        <item x="1703"/>
        <item x="1120"/>
        <item x="1176"/>
        <item x="763"/>
        <item x="1326"/>
        <item x="1530"/>
        <item x="597"/>
        <item x="750"/>
        <item x="1181"/>
        <item x="1124"/>
        <item x="1327"/>
        <item x="1131"/>
        <item x="1185"/>
        <item x="620"/>
        <item x="1324"/>
        <item x="767"/>
        <item x="762"/>
        <item x="1121"/>
        <item x="1127"/>
        <item x="525"/>
        <item x="772"/>
        <item x="1178"/>
        <item x="1180"/>
        <item x="3"/>
        <item x="1184"/>
        <item x="757"/>
        <item x="1777"/>
        <item x="985"/>
        <item x="1521"/>
        <item x="4"/>
        <item x="1125"/>
        <item x="1107"/>
        <item x="1433"/>
        <item x="1126"/>
        <item x="383"/>
        <item x="375"/>
        <item x="1086"/>
        <item x="374"/>
        <item x="1334"/>
        <item x="9"/>
        <item x="1775"/>
        <item x="1325"/>
        <item x="368"/>
        <item x="1344"/>
        <item x="1782"/>
        <item x="10"/>
        <item x="1333"/>
        <item x="1330"/>
        <item x="8"/>
        <item x="1193"/>
        <item x="40"/>
        <item x="1179"/>
        <item x="1128"/>
        <item x="1129"/>
        <item x="533"/>
        <item x="14"/>
        <item x="378"/>
        <item x="1328"/>
        <item x="13"/>
        <item x="1339"/>
        <item x="1711"/>
        <item x="890"/>
        <item x="42"/>
        <item x="1197"/>
        <item x="373"/>
        <item x="1343"/>
        <item x="1175"/>
        <item x="41"/>
        <item x="1195"/>
        <item x="371"/>
        <item x="376"/>
        <item x="44"/>
        <item x="377"/>
        <item x="1210"/>
        <item x="1202"/>
        <item x="35"/>
        <item x="367"/>
        <item x="36"/>
        <item x="384"/>
        <item x="1336"/>
        <item x="1342"/>
        <item x="1189"/>
        <item x="39"/>
        <item x="27"/>
        <item x="1564"/>
        <item x="536"/>
        <item x="864"/>
        <item x="1011"/>
        <item x="1191"/>
        <item x="272"/>
        <item x="271"/>
        <item x="1864"/>
        <item x="15"/>
        <item x="43"/>
        <item x="496"/>
        <item x="1190"/>
        <item x="1335"/>
        <item x="382"/>
        <item x="1616"/>
        <item x="1340"/>
        <item x="26"/>
        <item x="390"/>
        <item x="1345"/>
        <item x="7"/>
        <item x="507"/>
        <item x="1778"/>
        <item x="1196"/>
        <item x="5"/>
        <item x="1900"/>
        <item x="1188"/>
        <item x="483"/>
        <item x="847"/>
        <item x="868"/>
        <item x="1204"/>
        <item x="6"/>
        <item x="587"/>
        <item x="366"/>
        <item x="1001"/>
        <item x="976"/>
        <item x="532"/>
        <item x="394"/>
        <item x="400"/>
        <item x="38"/>
        <item x="1329"/>
        <item x="380"/>
        <item x="379"/>
        <item x="369"/>
        <item x="1341"/>
        <item x="1460"/>
        <item x="896"/>
        <item x="1332"/>
        <item x="372"/>
        <item x="1173"/>
        <item x="874"/>
        <item x="268"/>
        <item x="389"/>
        <item x="1338"/>
        <item x="1133"/>
        <item x="16"/>
        <item x="1000"/>
        <item x="1337"/>
        <item x="875"/>
        <item x="498"/>
        <item x="1194"/>
        <item x="528"/>
        <item x="1671"/>
        <item x="1015"/>
        <item x="1201"/>
        <item x="17"/>
        <item x="233"/>
        <item x="270"/>
        <item x="1013"/>
        <item x="1457"/>
        <item x="999"/>
        <item x="1779"/>
        <item x="37"/>
        <item x="508"/>
        <item x="509"/>
        <item x="381"/>
        <item x="1331"/>
        <item x="25"/>
        <item x="998"/>
        <item x="978"/>
        <item x="1787"/>
        <item x="503"/>
        <item x="388"/>
        <item x="1675"/>
        <item x="1192"/>
        <item x="1480"/>
        <item x="872"/>
        <item x="1456"/>
        <item x="535"/>
        <item x="385"/>
        <item x="510"/>
        <item x="1198"/>
        <item x="1134"/>
        <item x="1014"/>
        <item x="499"/>
        <item x="1207"/>
        <item x="401"/>
        <item x="370"/>
        <item x="387"/>
        <item x="1783"/>
        <item x="979"/>
        <item x="1012"/>
        <item x="530"/>
        <item x="877"/>
        <item x="1211"/>
        <item x="1010"/>
        <item x="386"/>
        <item x="393"/>
        <item x="1780"/>
        <item x="506"/>
        <item x="511"/>
        <item x="866"/>
        <item x="1002"/>
        <item x="474"/>
        <item x="250"/>
        <item x="1441"/>
        <item x="21"/>
        <item x="23"/>
        <item x="1007"/>
        <item x="1442"/>
        <item x="2"/>
        <item x="1450"/>
        <item x="982"/>
        <item x="531"/>
        <item x="1581"/>
        <item x="22"/>
        <item x="1673"/>
        <item x="1781"/>
        <item x="865"/>
        <item x="1879"/>
        <item x="1653"/>
        <item x="1437"/>
        <item x="1436"/>
        <item x="1244"/>
        <item x="34"/>
        <item x="1459"/>
        <item x="1802"/>
        <item x="867"/>
        <item x="24"/>
        <item x="1791"/>
        <item x="497"/>
        <item x="19"/>
        <item x="1200"/>
        <item x="995"/>
        <item x="504"/>
        <item x="1435"/>
        <item x="1078"/>
        <item x="1005"/>
        <item x="1880"/>
        <item x="395"/>
        <item x="1084"/>
        <item x="269"/>
        <item x="990"/>
        <item x="1652"/>
        <item x="980"/>
        <item x="1888"/>
        <item x="397"/>
        <item x="1214"/>
        <item x="1776"/>
        <item x="1788"/>
        <item x="18"/>
        <item x="585"/>
        <item x="1438"/>
        <item x="526"/>
        <item x="523"/>
        <item x="254"/>
        <item x="981"/>
        <item x="1580"/>
        <item x="1004"/>
        <item x="876"/>
        <item x="873"/>
        <item x="1789"/>
        <item x="1449"/>
        <item x="12"/>
        <item x="1003"/>
        <item x="618"/>
        <item x="1439"/>
        <item x="1785"/>
        <item x="1006"/>
        <item x="1517"/>
        <item x="1786"/>
        <item x="1672"/>
        <item x="1545"/>
        <item x="1794"/>
        <item x="1790"/>
        <item x="396"/>
        <item x="20"/>
        <item x="1453"/>
        <item x="1443"/>
        <item x="1651"/>
        <item x="586"/>
        <item x="512"/>
        <item x="391"/>
        <item x="1792"/>
        <item x="1654"/>
        <item x="1461"/>
        <item x="1447"/>
        <item x="895"/>
        <item x="1655"/>
        <item x="267"/>
        <item x="1009"/>
        <item x="983"/>
        <item x="1008"/>
        <item x="1452"/>
        <item x="1213"/>
        <item x="517"/>
        <item x="1544"/>
        <item x="516"/>
        <item x="1217"/>
        <item x="1550"/>
        <item x="252"/>
        <item x="243"/>
        <item x="402"/>
        <item x="1543"/>
        <item x="515"/>
        <item x="1674"/>
        <item x="871"/>
        <item x="1554"/>
        <item x="1205"/>
        <item x="1440"/>
        <item x="251"/>
        <item x="1555"/>
        <item x="1455"/>
        <item x="881"/>
        <item x="894"/>
        <item x="870"/>
        <item x="1669"/>
        <item x="29"/>
        <item x="1893"/>
        <item x="33"/>
        <item x="1793"/>
        <item x="1896"/>
        <item x="249"/>
        <item x="1451"/>
        <item x="1"/>
        <item x="879"/>
        <item x="320"/>
        <item x="1218"/>
        <item x="1552"/>
        <item x="1885"/>
        <item x="513"/>
        <item x="398"/>
        <item x="1216"/>
        <item x="256"/>
        <item x="253"/>
        <item x="1784"/>
        <item x="407"/>
        <item x="1147"/>
        <item x="30"/>
        <item x="1445"/>
        <item x="404"/>
        <item x="1215"/>
        <item x="1199"/>
        <item x="946"/>
        <item x="1498"/>
        <item x="1795"/>
        <item x="520"/>
        <item x="1582"/>
        <item x="1219"/>
        <item x="883"/>
        <item x="1448"/>
        <item x="596"/>
        <item x="1889"/>
        <item x="257"/>
        <item x="977"/>
        <item x="1212"/>
        <item x="595"/>
        <item x="878"/>
        <item x="242"/>
        <item x="1551"/>
        <item x="1446"/>
        <item x="1454"/>
        <item x="1890"/>
        <item x="255"/>
        <item x="1849"/>
        <item x="1882"/>
        <item x="869"/>
        <item x="1232"/>
        <item x="1881"/>
        <item x="1444"/>
        <item x="1887"/>
        <item x="1894"/>
        <item x="1535"/>
        <item x="519"/>
        <item x="1678"/>
        <item x="1546"/>
        <item x="216"/>
        <item x="1220"/>
        <item x="1895"/>
        <item x="1685"/>
        <item x="406"/>
        <item x="956"/>
        <item x="403"/>
        <item x="607"/>
        <item x="605"/>
        <item x="524"/>
        <item x="234"/>
        <item x="236"/>
        <item x="1557"/>
        <item x="945"/>
        <item x="1670"/>
        <item x="392"/>
        <item x="1553"/>
        <item x="1686"/>
        <item x="1556"/>
        <item x="590"/>
        <item x="514"/>
        <item x="1209"/>
        <item x="522"/>
        <item x="405"/>
        <item x="1206"/>
        <item x="1847"/>
        <item x="1850"/>
        <item x="691"/>
        <item x="1892"/>
        <item x="505"/>
        <item x="264"/>
        <item x="944"/>
        <item x="943"/>
        <item x="609"/>
        <item x="1145"/>
        <item x="1886"/>
        <item x="495"/>
        <item x="1883"/>
        <item x="1682"/>
        <item x="624"/>
        <item x="1518"/>
        <item x="471"/>
        <item x="1142"/>
        <item x="1855"/>
        <item x="989"/>
        <item x="1848"/>
        <item x="262"/>
        <item x="521"/>
        <item x="475"/>
        <item x="399"/>
        <item x="804"/>
        <item x="1223"/>
        <item x="1508"/>
        <item x="882"/>
        <item x="1507"/>
        <item x="1658"/>
        <item x="1547"/>
        <item x="1687"/>
        <item x="588"/>
        <item x="589"/>
        <item x="994"/>
        <item x="1558"/>
        <item x="248"/>
        <item x="608"/>
        <item x="1958"/>
        <item x="594"/>
        <item x="266"/>
        <item x="11"/>
        <item x="1677"/>
        <item x="462"/>
        <item x="955"/>
        <item x="472"/>
        <item x="997"/>
        <item x="1760"/>
        <item x="467"/>
        <item x="258"/>
        <item x="592"/>
        <item x="1947"/>
        <item x="598"/>
        <item x="518"/>
        <item x="1901"/>
        <item x="1458"/>
        <item x="603"/>
        <item x="954"/>
        <item x="986"/>
        <item x="601"/>
        <item x="611"/>
        <item x="1323"/>
        <item x="246"/>
        <item x="1899"/>
        <item x="1683"/>
        <item x="1203"/>
        <item x="1684"/>
        <item x="468"/>
        <item x="463"/>
        <item x="1222"/>
        <item x="1548"/>
        <item x="365"/>
        <item x="953"/>
        <item x="455"/>
        <item x="1676"/>
        <item x="538"/>
        <item x="1224"/>
        <item x="469"/>
        <item x="1239"/>
        <item x="1074"/>
        <item x="466"/>
        <item x="1146"/>
        <item x="612"/>
        <item x="1851"/>
        <item x="459"/>
        <item x="602"/>
        <item x="1137"/>
        <item x="884"/>
        <item x="247"/>
        <item x="456"/>
        <item x="260"/>
        <item x="1854"/>
        <item x="1155"/>
        <item x="1170"/>
        <item x="263"/>
        <item x="599"/>
        <item x="1884"/>
        <item x="1231"/>
        <item x="1897"/>
        <item x="1225"/>
        <item x="619"/>
        <item x="362"/>
        <item x="537"/>
        <item x="1619"/>
        <item x="259"/>
        <item x="186"/>
        <item x="477"/>
        <item x="740"/>
        <item x="947"/>
        <item x="1898"/>
        <item x="1561"/>
        <item x="235"/>
        <item x="1148"/>
        <item x="464"/>
        <item x="1549"/>
        <item x="1238"/>
        <item x="948"/>
        <item x="465"/>
        <item x="470"/>
        <item x="887"/>
        <item x="965"/>
        <item x="244"/>
        <item x="1541"/>
        <item x="1948"/>
        <item x="1872"/>
        <item x="606"/>
        <item x="952"/>
        <item x="1903"/>
        <item x="1668"/>
        <item x="1509"/>
        <item x="1876"/>
        <item x="245"/>
        <item x="1766"/>
        <item x="600"/>
        <item x="1570"/>
        <item x="261"/>
        <item x="949"/>
        <item x="625"/>
        <item x="1679"/>
        <item x="460"/>
        <item x="806"/>
        <item x="473"/>
        <item x="593"/>
        <item x="1396"/>
        <item x="461"/>
        <item x="957"/>
        <item x="1511"/>
        <item x="880"/>
        <item x="1143"/>
        <item x="742"/>
        <item x="623"/>
        <item x="741"/>
        <item x="975"/>
        <item x="265"/>
        <item x="1904"/>
        <item x="807"/>
        <item x="1510"/>
        <item x="1230"/>
        <item x="1680"/>
        <item x="1774"/>
        <item x="1090"/>
        <item x="1627"/>
        <item x="1407"/>
        <item x="1150"/>
        <item x="1226"/>
        <item x="476"/>
        <item x="950"/>
        <item x="604"/>
        <item x="1688"/>
        <item x="739"/>
        <item x="1891"/>
        <item x="743"/>
        <item x="480"/>
        <item x="502"/>
        <item x="1681"/>
        <item x="241"/>
        <item x="1971"/>
        <item x="324"/>
        <item x="1141"/>
        <item x="1841"/>
        <item x="610"/>
        <item x="591"/>
        <item x="892"/>
        <item x="1227"/>
        <item x="237"/>
        <item x="238"/>
        <item x="1532"/>
        <item x="1154"/>
        <item x="1149"/>
        <item x="1539"/>
        <item x="1770"/>
        <item x="1844"/>
        <item x="201"/>
        <item x="1870"/>
        <item x="478"/>
        <item x="1135"/>
        <item x="738"/>
        <item x="1063"/>
        <item x="138"/>
        <item x="1559"/>
        <item x="1402"/>
        <item x="962"/>
        <item x="199"/>
        <item x="1628"/>
        <item x="187"/>
        <item x="1735"/>
        <item x="457"/>
        <item x="1401"/>
        <item x="343"/>
        <item x="737"/>
        <item x="951"/>
        <item x="200"/>
        <item x="1229"/>
        <item x="1852"/>
        <item x="1156"/>
        <item x="889"/>
        <item x="1429"/>
        <item x="479"/>
        <item x="1067"/>
        <item x="1412"/>
        <item x="232"/>
        <item x="361"/>
        <item x="1237"/>
        <item x="1736"/>
        <item x="484"/>
        <item x="1522"/>
        <item x="529"/>
        <item x="1534"/>
        <item x="1071"/>
        <item x="1565"/>
        <item x="137"/>
        <item x="360"/>
        <item x="198"/>
        <item x="615"/>
        <item x="1861"/>
        <item x="1430"/>
        <item x="134"/>
        <item x="1221"/>
        <item x="1167"/>
        <item x="1579"/>
        <item x="458"/>
        <item x="190"/>
        <item x="1313"/>
        <item x="1562"/>
        <item x="1138"/>
        <item x="1144"/>
        <item x="1560"/>
        <item x="195"/>
        <item x="958"/>
        <item x="960"/>
        <item x="1413"/>
        <item x="1961"/>
        <item x="202"/>
        <item x="706"/>
        <item x="613"/>
        <item x="736"/>
        <item x="1106"/>
        <item x="430"/>
        <item x="65"/>
        <item x="1525"/>
        <item x="342"/>
        <item x="1414"/>
        <item x="925"/>
        <item x="1419"/>
        <item x="1105"/>
        <item x="1869"/>
        <item x="1060"/>
        <item x="489"/>
        <item x="1853"/>
        <item x="359"/>
        <item x="728"/>
        <item x="136"/>
        <item x="888"/>
        <item x="133"/>
        <item x="490"/>
        <item x="1140"/>
        <item x="357"/>
        <item x="1431"/>
        <item x="344"/>
        <item x="482"/>
        <item x="726"/>
        <item x="135"/>
        <item x="196"/>
        <item x="1103"/>
        <item x="197"/>
        <item x="345"/>
        <item x="714"/>
        <item x="719"/>
        <item x="358"/>
        <item x="1426"/>
        <item x="132"/>
        <item x="1432"/>
        <item x="1427"/>
        <item x="1629"/>
        <item x="1771"/>
        <item x="1769"/>
        <item x="486"/>
        <item x="961"/>
        <item x="1536"/>
        <item x="1285"/>
        <item x="1466"/>
        <item x="1537"/>
        <item x="959"/>
        <item x="205"/>
        <item x="1422"/>
        <item x="773"/>
        <item x="1842"/>
        <item x="1322"/>
        <item x="1404"/>
        <item x="1228"/>
        <item x="218"/>
        <item x="189"/>
        <item x="192"/>
        <item x="1064"/>
        <item x="193"/>
        <item x="1139"/>
        <item x="1868"/>
        <item x="206"/>
        <item x="1563"/>
        <item x="727"/>
        <item x="718"/>
        <item x="1573"/>
        <item x="491"/>
        <item x="1862"/>
        <item x="1540"/>
        <item x="130"/>
        <item x="212"/>
        <item x="1743"/>
        <item x="1513"/>
        <item x="731"/>
        <item x="1151"/>
        <item x="1737"/>
        <item x="1208"/>
        <item x="1520"/>
        <item x="188"/>
        <item x="1091"/>
        <item x="1236"/>
        <item x="1174"/>
        <item x="963"/>
        <item x="720"/>
        <item x="713"/>
        <item x="1733"/>
        <item x="1415"/>
        <item x="1512"/>
        <item x="1863"/>
        <item x="1286"/>
        <item x="191"/>
        <item x="1514"/>
        <item x="614"/>
        <item x="337"/>
        <item x="70"/>
        <item x="1953"/>
        <item x="1751"/>
        <item x="493"/>
        <item x="734"/>
        <item x="1856"/>
        <item x="1101"/>
        <item x="1425"/>
        <item x="103"/>
        <item x="929"/>
        <item x="339"/>
        <item x="1406"/>
        <item x="1860"/>
        <item x="488"/>
        <item x="811"/>
        <item x="487"/>
        <item x="1093"/>
        <item x="1857"/>
        <item x="1410"/>
        <item x="966"/>
        <item x="1632"/>
        <item x="1772"/>
        <item x="492"/>
        <item x="1136"/>
        <item x="710"/>
        <item x="131"/>
        <item x="735"/>
        <item x="1428"/>
        <item x="724"/>
        <item x="1568"/>
        <item x="732"/>
        <item x="715"/>
        <item x="1949"/>
        <item x="733"/>
        <item x="340"/>
        <item x="1416"/>
        <item x="1524"/>
        <item x="1773"/>
        <item x="964"/>
        <item x="204"/>
        <item x="118"/>
        <item x="1399"/>
        <item x="1421"/>
        <item x="893"/>
        <item x="203"/>
        <item x="1956"/>
        <item x="356"/>
        <item x="819"/>
        <item x="711"/>
        <item x="1526"/>
        <item x="341"/>
        <item x="617"/>
        <item x="1515"/>
        <item x="1569"/>
        <item x="1738"/>
        <item x="1578"/>
        <item x="1423"/>
        <item x="231"/>
        <item x="1974"/>
        <item x="1859"/>
        <item x="1966"/>
        <item x="1424"/>
        <item x="194"/>
        <item x="431"/>
        <item x="1395"/>
        <item x="621"/>
        <item x="1634"/>
        <item x="207"/>
        <item x="1089"/>
        <item x="485"/>
        <item x="701"/>
        <item x="1722"/>
        <item x="1967"/>
        <item x="730"/>
        <item x="1846"/>
        <item x="707"/>
        <item x="208"/>
        <item x="1866"/>
        <item x="1233"/>
        <item x="1290"/>
        <item x="223"/>
        <item x="364"/>
        <item x="721"/>
        <item x="220"/>
        <item x="1871"/>
        <item x="1867"/>
        <item x="716"/>
        <item x="333"/>
        <item x="1085"/>
        <item x="1420"/>
        <item x="1639"/>
        <item x="1083"/>
        <item x="224"/>
        <item x="1631"/>
        <item x="221"/>
        <item x="1523"/>
        <item x="712"/>
        <item x="1298"/>
        <item x="722"/>
        <item x="1153"/>
        <item x="1935"/>
        <item x="1576"/>
        <item x="1291"/>
        <item x="240"/>
        <item x="326"/>
        <item x="1300"/>
        <item x="702"/>
        <item x="622"/>
        <item x="1158"/>
        <item x="1667"/>
        <item x="1930"/>
        <item x="1973"/>
        <item x="1638"/>
        <item x="725"/>
        <item x="1965"/>
        <item x="848"/>
        <item x="1234"/>
        <item x="1292"/>
        <item x="973"/>
        <item x="1567"/>
        <item x="1418"/>
        <item x="1750"/>
        <item x="119"/>
        <item x="831"/>
        <item x="1858"/>
        <item x="481"/>
        <item x="970"/>
        <item x="1618"/>
        <item x="1287"/>
        <item x="355"/>
        <item x="1976"/>
        <item x="1964"/>
        <item x="1400"/>
        <item x="1066"/>
        <item x="967"/>
        <item x="1845"/>
        <item x="1635"/>
        <item x="338"/>
        <item x="346"/>
        <item x="1538"/>
        <item x="1403"/>
        <item x="1950"/>
        <item x="1636"/>
        <item x="832"/>
        <item x="1740"/>
        <item x="1411"/>
        <item x="1072"/>
        <item x="723"/>
        <item x="1959"/>
        <item x="1757"/>
        <item x="351"/>
        <item x="1398"/>
        <item x="1641"/>
        <item x="1288"/>
        <item x="100"/>
        <item x="850"/>
        <item x="1159"/>
        <item x="129"/>
        <item x="1752"/>
        <item x="1951"/>
        <item x="210"/>
        <item x="1630"/>
        <item x="1759"/>
        <item x="1417"/>
        <item x="1104"/>
        <item x="494"/>
        <item x="1070"/>
        <item x="329"/>
        <item x="1577"/>
        <item x="1748"/>
        <item x="1637"/>
        <item x="1081"/>
        <item x="709"/>
        <item x="1874"/>
        <item x="616"/>
        <item x="107"/>
        <item x="1875"/>
        <item x="854"/>
        <item x="969"/>
        <item x="1614"/>
        <item x="1975"/>
        <item x="108"/>
        <item x="1096"/>
        <item x="833"/>
        <item x="1092"/>
        <item x="830"/>
        <item x="1095"/>
        <item x="1650"/>
        <item x="1972"/>
        <item x="1166"/>
        <item x="1162"/>
        <item x="1963"/>
        <item x="1742"/>
        <item x="1100"/>
        <item x="1319"/>
        <item x="1393"/>
        <item x="211"/>
        <item x="1289"/>
        <item x="1527"/>
        <item x="1574"/>
        <item x="729"/>
        <item x="69"/>
        <item x="1394"/>
        <item x="1152"/>
        <item x="353"/>
        <item x="1309"/>
        <item x="115"/>
        <item x="1311"/>
        <item x="336"/>
        <item x="1098"/>
        <item x="127"/>
        <item x="1767"/>
        <item x="1065"/>
        <item x="1640"/>
        <item x="1741"/>
        <item x="429"/>
        <item x="1235"/>
        <item x="1566"/>
        <item x="1076"/>
        <item x="128"/>
        <item x="1161"/>
        <item x="1099"/>
        <item x="117"/>
        <item x="1764"/>
        <item x="822"/>
        <item x="1094"/>
        <item x="820"/>
        <item x="717"/>
        <item x="352"/>
        <item x="1102"/>
        <item x="855"/>
        <item x="1575"/>
        <item x="849"/>
        <item x="705"/>
        <item x="842"/>
        <item x="97"/>
        <item x="924"/>
        <item x="1077"/>
        <item x="209"/>
        <item x="1739"/>
        <item x="704"/>
        <item x="1097"/>
        <item x="1744"/>
        <item x="347"/>
        <item x="1296"/>
        <item x="834"/>
        <item x="1755"/>
        <item x="1968"/>
        <item x="1075"/>
        <item x="1756"/>
        <item x="700"/>
        <item x="116"/>
        <item x="1301"/>
        <item x="1952"/>
        <item x="1068"/>
        <item x="1160"/>
        <item x="1079"/>
        <item x="354"/>
        <item x="1758"/>
        <item x="335"/>
        <item x="350"/>
        <item x="843"/>
        <item x="120"/>
        <item x="827"/>
        <item x="823"/>
        <item x="92"/>
        <item x="974"/>
        <item x="1660"/>
        <item x="828"/>
        <item x="1960"/>
        <item x="1293"/>
        <item x="1645"/>
        <item x="102"/>
        <item x="126"/>
        <item x="1659"/>
        <item x="1749"/>
        <item x="114"/>
        <item x="1955"/>
        <item x="1073"/>
        <item x="125"/>
        <item x="1633"/>
        <item x="1295"/>
        <item x="93"/>
        <item x="332"/>
        <item x="1761"/>
        <item x="1474"/>
        <item x="1294"/>
        <item x="106"/>
        <item x="121"/>
        <item x="1304"/>
        <item x="1171"/>
        <item x="1647"/>
        <item x="1571"/>
        <item x="1572"/>
        <item x="703"/>
        <item x="1666"/>
        <item x="1305"/>
        <item x="1969"/>
        <item x="824"/>
        <item x="829"/>
        <item x="1644"/>
        <item x="1321"/>
        <item x="1745"/>
        <item x="826"/>
        <item x="323"/>
        <item x="124"/>
        <item x="1080"/>
        <item x="708"/>
        <item x="1307"/>
        <item x="1157"/>
        <item x="846"/>
        <item x="348"/>
        <item x="1519"/>
        <item x="1505"/>
        <item x="109"/>
        <item x="1082"/>
        <item x="60"/>
        <item x="1646"/>
        <item x="349"/>
        <item x="821"/>
        <item x="122"/>
        <item x="1970"/>
        <item x="1409"/>
        <item x="319"/>
        <item x="835"/>
        <item x="1643"/>
        <item x="1977"/>
        <item x="101"/>
        <item x="825"/>
        <item x="105"/>
        <item x="1163"/>
        <item x="112"/>
        <item x="836"/>
        <item x="1753"/>
        <item x="96"/>
        <item x="1516"/>
        <item x="321"/>
        <item x="123"/>
        <item x="837"/>
        <item x="58"/>
        <item x="111"/>
        <item x="318"/>
        <item x="1946"/>
        <item x="1504"/>
        <item x="1817"/>
        <item x="1346"/>
        <item x="841"/>
        <item x="67"/>
        <item x="1945"/>
        <item x="95"/>
        <item x="110"/>
        <item x="228"/>
        <item x="1747"/>
        <item x="972"/>
        <item x="1405"/>
        <item x="1306"/>
        <item x="1506"/>
        <item x="1962"/>
        <item x="971"/>
        <item x="1408"/>
        <item x="334"/>
        <item x="1531"/>
        <item x="659"/>
        <item x="1308"/>
        <item x="1754"/>
        <item x="68"/>
        <item x="1702"/>
        <item x="215"/>
        <item x="222"/>
        <item x="230"/>
        <item x="840"/>
        <item x="1596"/>
        <item x="1069"/>
        <item x="839"/>
        <item x="541"/>
        <item x="1275"/>
        <item x="226"/>
        <item x="214"/>
        <item x="935"/>
        <item x="1362"/>
        <item x="1087"/>
        <item x="113"/>
        <item x="1303"/>
        <item x="217"/>
        <item x="838"/>
        <item x="99"/>
        <item x="53"/>
        <item x="1533"/>
        <item x="1169"/>
        <item x="312"/>
        <item x="1495"/>
        <item x="331"/>
        <item x="1503"/>
        <item x="227"/>
        <item x="853"/>
        <item x="1665"/>
        <item x="330"/>
        <item x="219"/>
        <item x="1314"/>
        <item x="1299"/>
        <item x="570"/>
        <item x="661"/>
        <item x="1599"/>
        <item x="1316"/>
        <item x="1397"/>
        <item x="1317"/>
        <item x="857"/>
        <item x="1318"/>
        <item x="1642"/>
        <item x="1649"/>
        <item x="1620"/>
        <item x="844"/>
        <item x="569"/>
        <item x="1310"/>
        <item x="1164"/>
        <item x="1663"/>
        <item x="1264"/>
        <item x="699"/>
        <item x="1088"/>
        <item x="452"/>
        <item x="852"/>
        <item x="1661"/>
        <item x="1915"/>
        <item x="1762"/>
        <item x="1463"/>
        <item x="94"/>
        <item x="426"/>
        <item x="104"/>
        <item x="54"/>
        <item x="90"/>
        <item x="98"/>
        <item x="85"/>
        <item x="152"/>
        <item x="1664"/>
        <item x="1809"/>
        <item x="155"/>
        <item x="1906"/>
        <item x="427"/>
        <item x="1656"/>
        <item x="1462"/>
        <item x="1768"/>
        <item x="1944"/>
        <item x="1957"/>
        <item x="1913"/>
        <item x="89"/>
        <item x="845"/>
        <item x="550"/>
        <item x="1165"/>
        <item x="1361"/>
        <item x="1797"/>
        <item x="154"/>
        <item x="1302"/>
        <item x="1488"/>
        <item x="551"/>
        <item x="1391"/>
        <item x="1811"/>
        <item x="1491"/>
        <item x="1059"/>
        <item x="1810"/>
        <item x="698"/>
        <item x="909"/>
        <item x="150"/>
        <item x="1502"/>
        <item x="51"/>
        <item x="229"/>
        <item x="1626"/>
        <item x="432"/>
        <item x="328"/>
        <item x="553"/>
        <item x="1648"/>
        <item x="861"/>
        <item x="1695"/>
        <item x="1691"/>
        <item x="91"/>
        <item x="1746"/>
        <item x="1808"/>
        <item x="1905"/>
        <item x="673"/>
        <item x="552"/>
        <item x="1492"/>
        <item x="49"/>
        <item x="421"/>
        <item x="860"/>
        <item x="428"/>
        <item x="1607"/>
        <item x="540"/>
        <item x="149"/>
        <item x="88"/>
        <item x="911"/>
        <item x="151"/>
        <item x="86"/>
        <item x="153"/>
        <item x="910"/>
        <item x="1662"/>
        <item x="87"/>
        <item x="84"/>
        <item x="539"/>
        <item x="856"/>
        <item x="325"/>
        <item x="1392"/>
        <item x="419"/>
        <item x="1057"/>
        <item x="423"/>
        <item x="1051"/>
        <item x="1489"/>
        <item x="572"/>
        <item x="424"/>
        <item x="158"/>
        <item x="1284"/>
        <item x="445"/>
        <item x="157"/>
        <item x="902"/>
        <item x="1765"/>
        <item x="1315"/>
        <item x="1493"/>
        <item x="1479"/>
        <item x="685"/>
        <item x="1943"/>
        <item x="901"/>
        <item x="1373"/>
        <item x="912"/>
        <item x="1490"/>
        <item x="420"/>
        <item x="1816"/>
        <item x="566"/>
        <item x="696"/>
        <item x="1464"/>
        <item x="1061"/>
        <item x="1320"/>
        <item x="160"/>
        <item x="697"/>
        <item x="161"/>
        <item x="1356"/>
        <item x="859"/>
        <item x="1390"/>
        <item x="913"/>
        <item x="1372"/>
        <item x="316"/>
        <item x="1020"/>
        <item x="139"/>
        <item x="908"/>
        <item x="1734"/>
        <item x="1590"/>
        <item x="1371"/>
        <item x="1486"/>
        <item x="676"/>
        <item x="686"/>
        <item x="143"/>
        <item x="1389"/>
        <item x="317"/>
        <item x="422"/>
        <item x="665"/>
        <item x="1473"/>
        <item x="1829"/>
        <item x="1828"/>
        <item x="670"/>
        <item x="1813"/>
        <item x="425"/>
        <item x="862"/>
        <item x="1812"/>
        <item x="584"/>
        <item x="1055"/>
        <item x="1465"/>
        <item x="1017"/>
        <item x="907"/>
        <item x="46"/>
        <item x="140"/>
        <item x="549"/>
        <item x="1056"/>
        <item x="671"/>
        <item x="863"/>
        <item x="146"/>
        <item x="1355"/>
        <item x="1359"/>
        <item x="1942"/>
        <item x="1827"/>
        <item x="159"/>
        <item x="1058"/>
        <item x="142"/>
        <item x="1471"/>
        <item x="83"/>
        <item x="666"/>
        <item x="1375"/>
        <item x="156"/>
        <item x="1472"/>
        <item x="554"/>
        <item x="1357"/>
        <item x="1826"/>
        <item x="897"/>
        <item x="1501"/>
        <item x="1031"/>
        <item x="655"/>
        <item x="1907"/>
        <item x="1617"/>
        <item x="418"/>
        <item x="1830"/>
        <item x="1168"/>
        <item x="668"/>
        <item x="1385"/>
        <item x="900"/>
        <item x="1376"/>
        <item x="664"/>
        <item x="1374"/>
        <item x="1937"/>
        <item x="1024"/>
        <item x="692"/>
        <item x="416"/>
        <item x="914"/>
        <item x="683"/>
        <item x="1025"/>
        <item x="1365"/>
        <item x="695"/>
        <item x="145"/>
        <item x="148"/>
        <item x="141"/>
        <item x="674"/>
        <item x="684"/>
        <item x="679"/>
        <item x="1825"/>
        <item x="1912"/>
        <item x="1386"/>
        <item x="278"/>
        <item x="669"/>
        <item x="667"/>
        <item x="1475"/>
        <item x="1918"/>
        <item x="1370"/>
        <item x="162"/>
        <item x="147"/>
        <item x="1350"/>
        <item x="1919"/>
        <item x="1049"/>
        <item x="1939"/>
        <item x="941"/>
        <item x="1046"/>
        <item x="1818"/>
        <item x="677"/>
        <item x="1470"/>
        <item x="899"/>
        <item x="1712"/>
        <item x="682"/>
        <item x="1814"/>
        <item x="672"/>
        <item x="790"/>
        <item x="548"/>
        <item x="415"/>
        <item x="786"/>
        <item x="1053"/>
        <item x="1383"/>
        <item x="411"/>
        <item x="680"/>
        <item x="1364"/>
        <item x="1360"/>
        <item x="1908"/>
        <item x="1368"/>
        <item x="1940"/>
        <item x="1351"/>
        <item x="1349"/>
        <item x="315"/>
        <item x="675"/>
        <item x="1388"/>
        <item x="163"/>
        <item x="1358"/>
        <item x="1796"/>
        <item x="1026"/>
        <item x="144"/>
        <item x="1477"/>
        <item x="1022"/>
        <item x="542"/>
        <item x="905"/>
        <item x="1054"/>
        <item x="1366"/>
        <item x="1815"/>
        <item x="1487"/>
        <item x="678"/>
        <item x="1801"/>
        <item x="1050"/>
        <item x="1469"/>
        <item x="1353"/>
        <item x="555"/>
        <item x="1172"/>
        <item x="1267"/>
        <item x="1467"/>
        <item x="1485"/>
        <item x="915"/>
        <item x="906"/>
        <item x="690"/>
        <item x="66"/>
        <item x="82"/>
        <item x="1824"/>
        <item x="1027"/>
        <item x="417"/>
        <item x="1929"/>
        <item x="1831"/>
        <item x="434"/>
        <item x="1044"/>
        <item x="1039"/>
        <item x="276"/>
        <item x="785"/>
        <item x="1914"/>
        <item x="1800"/>
        <item x="898"/>
        <item x="45"/>
        <item x="1047"/>
        <item x="1268"/>
        <item x="1381"/>
        <item x="565"/>
        <item x="409"/>
        <item x="1920"/>
        <item x="1021"/>
        <item x="922"/>
        <item x="408"/>
        <item x="818"/>
        <item x="1478"/>
        <item x="1037"/>
        <item x="412"/>
        <item x="1023"/>
        <item x="1832"/>
        <item x="433"/>
        <item x="1587"/>
        <item x="1273"/>
        <item x="1250"/>
        <item x="1586"/>
        <item x="81"/>
        <item x="64"/>
        <item x="1716"/>
        <item x="787"/>
        <item x="1038"/>
        <item x="657"/>
        <item x="1382"/>
        <item x="1354"/>
        <item x="1694"/>
        <item x="1240"/>
        <item x="1029"/>
        <item x="1594"/>
        <item x="1062"/>
        <item x="1657"/>
        <item x="1019"/>
        <item x="1494"/>
        <item x="660"/>
        <item x="1033"/>
        <item x="545"/>
        <item x="1018"/>
        <item x="1690"/>
        <item x="1911"/>
        <item x="1387"/>
        <item x="681"/>
        <item x="1363"/>
        <item x="1377"/>
        <item x="1819"/>
        <item x="1625"/>
        <item x="1252"/>
        <item x="934"/>
        <item x="1592"/>
        <item x="1834"/>
        <item x="1384"/>
        <item x="1379"/>
        <item x="225"/>
        <item x="689"/>
        <item x="919"/>
        <item x="436"/>
        <item x="438"/>
        <item x="1249"/>
        <item x="796"/>
        <item x="1380"/>
        <item x="656"/>
        <item x="1693"/>
        <item x="546"/>
        <item x="1719"/>
        <item x="851"/>
        <item x="547"/>
        <item x="904"/>
        <item x="1028"/>
        <item x="1823"/>
        <item x="295"/>
        <item x="1278"/>
        <item x="1700"/>
        <item x="784"/>
        <item x="687"/>
        <item x="1347"/>
        <item x="1593"/>
        <item x="1838"/>
        <item x="293"/>
        <item x="439"/>
        <item x="802"/>
        <item x="164"/>
        <item x="940"/>
        <item x="794"/>
        <item x="1837"/>
        <item x="1839"/>
        <item x="1041"/>
        <item x="1798"/>
        <item x="1699"/>
        <item x="1254"/>
        <item x="791"/>
        <item x="71"/>
        <item x="73"/>
        <item x="858"/>
        <item x="693"/>
        <item x="1378"/>
        <item x="793"/>
        <item x="1040"/>
        <item x="281"/>
        <item x="1840"/>
        <item x="1251"/>
        <item x="56"/>
        <item x="1045"/>
        <item x="777"/>
        <item x="1052"/>
        <item x="789"/>
        <item x="1497"/>
        <item x="1283"/>
        <item x="795"/>
        <item x="184"/>
        <item x="920"/>
        <item x="1836"/>
        <item x="543"/>
        <item x="1916"/>
        <item x="1833"/>
        <item x="413"/>
        <item x="776"/>
        <item x="1253"/>
        <item x="1805"/>
        <item x="1936"/>
        <item x="1728"/>
        <item x="1030"/>
        <item x="1042"/>
        <item x="294"/>
        <item x="1584"/>
        <item x="1036"/>
        <item x="560"/>
        <item x="1589"/>
        <item x="1369"/>
        <item x="437"/>
        <item x="1921"/>
        <item x="1048"/>
        <item x="1934"/>
        <item x="783"/>
        <item x="1476"/>
        <item x="1248"/>
        <item x="435"/>
        <item x="1583"/>
        <item x="797"/>
        <item x="410"/>
        <item x="80"/>
        <item x="788"/>
        <item x="688"/>
        <item x="556"/>
        <item x="1281"/>
        <item x="917"/>
        <item x="921"/>
        <item x="166"/>
        <item x="72"/>
        <item x="918"/>
        <item x="55"/>
        <item x="451"/>
        <item x="694"/>
        <item x="928"/>
        <item x="1352"/>
        <item x="292"/>
        <item x="903"/>
        <item x="562"/>
        <item x="414"/>
        <item x="1035"/>
        <item x="59"/>
        <item x="930"/>
        <item x="571"/>
        <item x="808"/>
        <item x="817"/>
        <item x="297"/>
        <item x="441"/>
        <item x="1941"/>
        <item x="923"/>
        <item x="1692"/>
        <item x="1043"/>
        <item x="57"/>
        <item x="1263"/>
        <item x="1499"/>
        <item x="1247"/>
        <item x="927"/>
        <item x="1348"/>
        <item x="183"/>
        <item x="1933"/>
        <item x="1835"/>
        <item x="1799"/>
        <item x="302"/>
        <item x="1822"/>
        <item x="1595"/>
        <item x="1242"/>
        <item x="1266"/>
        <item x="311"/>
        <item x="916"/>
        <item x="62"/>
        <item x="544"/>
        <item x="782"/>
        <item x="1032"/>
        <item x="1481"/>
        <item x="273"/>
        <item x="558"/>
        <item x="165"/>
        <item x="1931"/>
        <item x="79"/>
        <item x="440"/>
        <item x="296"/>
        <item x="1706"/>
        <item x="803"/>
        <item x="1701"/>
        <item x="174"/>
        <item x="449"/>
        <item x="1241"/>
        <item x="448"/>
        <item x="1585"/>
        <item x="1269"/>
        <item x="446"/>
        <item x="1255"/>
        <item x="1243"/>
        <item x="299"/>
        <item x="1597"/>
        <item x="938"/>
        <item x="942"/>
        <item x="1482"/>
        <item x="1262"/>
        <item x="1256"/>
        <item x="171"/>
        <item x="167"/>
        <item x="298"/>
        <item x="1623"/>
        <item x="76"/>
        <item x="75"/>
        <item x="447"/>
        <item x="63"/>
        <item x="78"/>
        <item x="1917"/>
        <item x="1925"/>
        <item x="1698"/>
        <item x="52"/>
        <item x="450"/>
        <item x="1732"/>
        <item x="168"/>
        <item x="810"/>
        <item x="1588"/>
        <item x="291"/>
        <item x="77"/>
        <item x="1484"/>
        <item x="1932"/>
        <item x="792"/>
        <item x="307"/>
        <item x="939"/>
        <item x="658"/>
        <item x="1016"/>
        <item x="1910"/>
        <item x="1820"/>
        <item x="567"/>
        <item x="662"/>
        <item x="310"/>
        <item x="283"/>
        <item x="453"/>
        <item x="1821"/>
        <item x="443"/>
        <item x="442"/>
        <item x="1260"/>
        <item x="300"/>
        <item x="301"/>
        <item x="1265"/>
        <item x="313"/>
        <item x="1707"/>
        <item x="48"/>
        <item x="288"/>
        <item x="74"/>
        <item x="1731"/>
        <item x="314"/>
        <item x="1624"/>
        <item x="308"/>
        <item x="47"/>
        <item x="50"/>
        <item x="1938"/>
        <item x="568"/>
        <item x="172"/>
        <item x="1483"/>
        <item x="1591"/>
        <item x="169"/>
        <item x="1807"/>
        <item x="1468"/>
        <item x="289"/>
        <item x="275"/>
        <item x="182"/>
        <item x="185"/>
        <item x="1928"/>
        <item x="290"/>
        <item x="285"/>
        <item x="1270"/>
        <item x="175"/>
        <item x="303"/>
        <item x="287"/>
        <item x="274"/>
        <item x="663"/>
        <item x="309"/>
        <item x="1726"/>
        <item x="180"/>
        <item x="780"/>
        <item x="306"/>
        <item x="937"/>
        <item x="305"/>
        <item x="557"/>
        <item x="178"/>
        <item x="1709"/>
        <item x="1367"/>
        <item x="1720"/>
        <item x="1696"/>
        <item x="1909"/>
        <item x="286"/>
        <item x="176"/>
        <item x="1598"/>
        <item x="1261"/>
        <item x="1259"/>
        <item x="814"/>
        <item x="573"/>
        <item x="1277"/>
        <item x="1500"/>
        <item x="1246"/>
        <item x="781"/>
        <item x="1715"/>
        <item x="932"/>
        <item x="1603"/>
        <item x="170"/>
        <item x="282"/>
        <item x="1710"/>
        <item x="444"/>
        <item x="61"/>
        <item x="1615"/>
        <item x="284"/>
        <item x="815"/>
        <item x="1926"/>
        <item x="1496"/>
        <item x="1258"/>
        <item x="1034"/>
        <item x="1725"/>
        <item x="173"/>
        <item x="1697"/>
        <item x="1604"/>
        <item x="304"/>
        <item x="559"/>
        <item x="778"/>
        <item x="1924"/>
        <item x="1727"/>
        <item x="936"/>
        <item x="1279"/>
        <item x="561"/>
        <item x="926"/>
        <item x="1600"/>
        <item x="179"/>
        <item x="582"/>
        <item x="1257"/>
        <item x="1729"/>
        <item x="779"/>
        <item x="1721"/>
        <item x="563"/>
        <item x="177"/>
        <item x="774"/>
        <item x="798"/>
        <item x="1280"/>
        <item x="577"/>
        <item x="1610"/>
        <item x="1245"/>
        <item x="1601"/>
        <item x="809"/>
        <item x="931"/>
        <item x="1927"/>
        <item x="564"/>
        <item x="1718"/>
        <item x="805"/>
        <item x="181"/>
        <item x="775"/>
        <item x="1723"/>
        <item x="801"/>
        <item x="1271"/>
        <item x="1708"/>
        <item x="1806"/>
        <item x="1730"/>
        <item x="583"/>
        <item x="1611"/>
        <item x="1605"/>
        <item x="799"/>
        <item x="574"/>
        <item x="280"/>
        <item x="1602"/>
        <item x="1724"/>
        <item x="1612"/>
        <item x="800"/>
        <item x="1274"/>
        <item x="1609"/>
        <item x="1272"/>
        <item x="578"/>
        <item x="1606"/>
        <item x="579"/>
        <item x="279"/>
        <item x="581"/>
        <item x="1705"/>
        <item x="580"/>
        <item x="1613"/>
        <item x="576"/>
        <item x="1276"/>
        <item x="1717"/>
        <item x="813"/>
        <item x="1282"/>
        <item x="816"/>
        <item x="1608"/>
        <item x="1622"/>
        <item x="575"/>
        <item x="812"/>
        <item x="1621"/>
        <item t="default"/>
      </items>
    </pivotField>
    <pivotField dataField="1" showAll="0"/>
    <pivotField dataField="1" showAll="0"/>
    <pivotField showAll="0"/>
    <pivotField dataField="1" dragToRow="0" dragToCol="0" dragToPage="0" showAll="0" defaultSubtotal="0"/>
  </pivotFields>
  <rowFields count="1">
    <field x="0"/>
  </rowFields>
  <rowItems count="1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0" hier="-1"/>
  </pageFields>
  <dataFields count="3">
    <dataField name="Среднее по полю Продажа, шт" fld="7" subtotal="average" baseField="0" baseItem="5" numFmtId="168"/>
    <dataField name="Среднее по полю Остаток на конец дня, шт" fld="8" subtotal="average" baseField="0" baseItem="0" numFmtId="168"/>
    <dataField name="Сумма по полю Оборачиваемость остаков" fld="10" baseField="0" baseItem="5" numFmtId="2"/>
  </dataFields>
  <formats count="6"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field="0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/>
  <dimension ref="A1:U304"/>
  <sheetViews>
    <sheetView tabSelected="1" topLeftCell="C1" workbookViewId="0">
      <selection activeCell="F6" sqref="F6"/>
    </sheetView>
  </sheetViews>
  <sheetFormatPr defaultColWidth="8.7109375" defaultRowHeight="12.75" x14ac:dyDescent="0.2"/>
  <cols>
    <col min="1" max="1" width="8.28515625" style="118" customWidth="1"/>
    <col min="2" max="2" width="1.28515625" style="118" customWidth="1"/>
    <col min="3" max="3" width="6.5703125" style="118" customWidth="1"/>
    <col min="4" max="4" width="1.7109375" style="118" customWidth="1"/>
    <col min="5" max="5" width="32.5703125" style="118" customWidth="1"/>
    <col min="6" max="6" width="24" style="118" customWidth="1"/>
    <col min="7" max="7" width="2.42578125" style="118" customWidth="1"/>
    <col min="8" max="8" width="14.5703125" style="119" customWidth="1"/>
    <col min="9" max="9" width="2" style="119" customWidth="1"/>
    <col min="10" max="10" width="14.5703125" style="119" customWidth="1"/>
    <col min="11" max="11" width="2.28515625" style="120" customWidth="1"/>
    <col min="12" max="12" width="24" style="118" customWidth="1"/>
    <col min="13" max="15" width="8.7109375" style="121"/>
    <col min="16" max="16384" width="8.7109375" style="118"/>
  </cols>
  <sheetData>
    <row r="1" spans="1:21" s="110" customFormat="1" ht="38.25" x14ac:dyDescent="0.2">
      <c r="A1" s="110" t="s">
        <v>256</v>
      </c>
      <c r="C1" s="111" t="s">
        <v>256</v>
      </c>
      <c r="D1" s="111"/>
      <c r="E1" s="111" t="s">
        <v>255</v>
      </c>
      <c r="F1" s="111" t="s">
        <v>257</v>
      </c>
      <c r="G1" s="111"/>
      <c r="H1" s="112" t="s">
        <v>254</v>
      </c>
      <c r="I1" s="111"/>
      <c r="J1" s="111" t="s">
        <v>260</v>
      </c>
      <c r="K1" s="111"/>
      <c r="L1" s="111" t="s">
        <v>258</v>
      </c>
    </row>
    <row r="3" spans="1:21" s="114" customFormat="1" ht="28.5" customHeight="1" x14ac:dyDescent="0.25">
      <c r="A3" s="113">
        <v>1</v>
      </c>
      <c r="B3" s="113" t="s">
        <v>90</v>
      </c>
      <c r="C3" s="113">
        <v>1</v>
      </c>
      <c r="D3" s="113" t="s">
        <v>90</v>
      </c>
      <c r="E3" s="113" t="str">
        <f>IF('Часть 0'!G1=0,"Тест на математическую логику","Тест на математическую логику_")</f>
        <v>Тест на математическую логику</v>
      </c>
      <c r="H3" s="115">
        <f>IF(M3=0,"",'Часть 0'!E1)</f>
        <v>0.95454545454545459</v>
      </c>
      <c r="I3" s="115"/>
      <c r="J3" s="115" t="str">
        <f>IF(M3=0,"",'Часть 1_ответы'!L5)</f>
        <v>0.2 мин</v>
      </c>
      <c r="K3" s="116"/>
      <c r="M3" s="117">
        <v>1</v>
      </c>
      <c r="N3" s="117"/>
      <c r="O3" s="117"/>
      <c r="U3" s="117">
        <v>1</v>
      </c>
    </row>
    <row r="4" spans="1:21" x14ac:dyDescent="0.2">
      <c r="H4" s="115"/>
    </row>
    <row r="5" spans="1:21" s="114" customFormat="1" ht="28.5" customHeight="1" x14ac:dyDescent="0.25">
      <c r="A5" s="113">
        <v>2</v>
      </c>
      <c r="B5" s="113" t="s">
        <v>90</v>
      </c>
      <c r="C5" s="113">
        <v>2</v>
      </c>
      <c r="D5" s="113" t="s">
        <v>90</v>
      </c>
      <c r="E5" s="113" t="str">
        <f>IF('Часть 0'!N1=0,"Общий тест","Общий тест_")</f>
        <v>Общий тест</v>
      </c>
      <c r="H5" s="115">
        <f>IF(M5=0,"",'Часть 0'!L1)</f>
        <v>0.86111111111111116</v>
      </c>
      <c r="I5" s="115"/>
      <c r="J5" s="115" t="str">
        <f>IF(M5=0,"",'Часть 2_ответы'!L5)</f>
        <v>0.4 мин</v>
      </c>
      <c r="K5" s="116"/>
      <c r="M5" s="117">
        <v>1</v>
      </c>
      <c r="N5" s="117"/>
      <c r="O5" s="117"/>
      <c r="U5" s="117">
        <v>0</v>
      </c>
    </row>
    <row r="6" spans="1:21" x14ac:dyDescent="0.2">
      <c r="H6" s="115"/>
    </row>
    <row r="7" spans="1:21" s="114" customFormat="1" ht="28.5" customHeight="1" x14ac:dyDescent="0.25">
      <c r="A7" s="113">
        <v>3</v>
      </c>
      <c r="B7" s="113" t="s">
        <v>90</v>
      </c>
      <c r="C7" s="113">
        <v>3</v>
      </c>
      <c r="D7" s="113" t="s">
        <v>90</v>
      </c>
      <c r="E7" s="113" t="s">
        <v>288</v>
      </c>
      <c r="H7" s="115" t="str">
        <f>IF(M7=0,"",'Часть 0'!L3)</f>
        <v/>
      </c>
      <c r="I7" s="115"/>
      <c r="J7" s="115" t="str">
        <f>IF(M7=0,"",'Часть 2_ответы'!L9)</f>
        <v/>
      </c>
      <c r="K7" s="116"/>
      <c r="M7" s="117">
        <v>0</v>
      </c>
      <c r="N7" s="117"/>
      <c r="O7" s="117"/>
      <c r="U7" s="117">
        <v>0</v>
      </c>
    </row>
    <row r="8" spans="1:21" x14ac:dyDescent="0.2">
      <c r="H8" s="115"/>
    </row>
    <row r="9" spans="1:21" s="114" customFormat="1" ht="28.5" customHeight="1" x14ac:dyDescent="0.25">
      <c r="A9" s="113">
        <v>3</v>
      </c>
      <c r="B9" s="113" t="s">
        <v>90</v>
      </c>
      <c r="C9" s="113">
        <v>4</v>
      </c>
      <c r="D9" s="113" t="s">
        <v>90</v>
      </c>
      <c r="E9" s="113" t="s">
        <v>289</v>
      </c>
      <c r="H9" s="115" t="str">
        <f>IF(M9=0,"",'Часть 0'!L5)</f>
        <v/>
      </c>
      <c r="I9" s="115"/>
      <c r="J9" s="115" t="str">
        <f>IF(M9=0,"",'Часть 2_ответы'!L11)</f>
        <v/>
      </c>
      <c r="K9" s="116"/>
      <c r="M9" s="117">
        <v>0</v>
      </c>
      <c r="N9" s="117"/>
      <c r="O9" s="117"/>
      <c r="U9" s="117">
        <v>0</v>
      </c>
    </row>
    <row r="10" spans="1:21" x14ac:dyDescent="0.2">
      <c r="H10" s="115"/>
    </row>
    <row r="11" spans="1:21" x14ac:dyDescent="0.2">
      <c r="H11" s="115"/>
    </row>
    <row r="12" spans="1:21" x14ac:dyDescent="0.2">
      <c r="H12" s="115"/>
    </row>
    <row r="13" spans="1:21" x14ac:dyDescent="0.2">
      <c r="H13" s="115"/>
    </row>
    <row r="14" spans="1:21" x14ac:dyDescent="0.2">
      <c r="H14" s="115"/>
    </row>
    <row r="15" spans="1:21" x14ac:dyDescent="0.2">
      <c r="H15" s="115"/>
    </row>
    <row r="16" spans="1:21" x14ac:dyDescent="0.2">
      <c r="H16" s="115"/>
    </row>
    <row r="17" spans="8:8" x14ac:dyDescent="0.2">
      <c r="H17" s="115"/>
    </row>
    <row r="18" spans="8:8" x14ac:dyDescent="0.2">
      <c r="H18" s="115"/>
    </row>
    <row r="19" spans="8:8" x14ac:dyDescent="0.2">
      <c r="H19" s="115"/>
    </row>
    <row r="20" spans="8:8" x14ac:dyDescent="0.2">
      <c r="H20" s="115"/>
    </row>
    <row r="21" spans="8:8" x14ac:dyDescent="0.2">
      <c r="H21" s="115"/>
    </row>
    <row r="22" spans="8:8" x14ac:dyDescent="0.2">
      <c r="H22" s="115"/>
    </row>
    <row r="23" spans="8:8" x14ac:dyDescent="0.2">
      <c r="H23" s="115"/>
    </row>
    <row r="24" spans="8:8" x14ac:dyDescent="0.2">
      <c r="H24" s="115"/>
    </row>
    <row r="25" spans="8:8" x14ac:dyDescent="0.2">
      <c r="H25" s="115"/>
    </row>
    <row r="26" spans="8:8" x14ac:dyDescent="0.2">
      <c r="H26" s="115"/>
    </row>
    <row r="27" spans="8:8" x14ac:dyDescent="0.2">
      <c r="H27" s="115"/>
    </row>
    <row r="28" spans="8:8" x14ac:dyDescent="0.2">
      <c r="H28" s="115"/>
    </row>
    <row r="29" spans="8:8" x14ac:dyDescent="0.2">
      <c r="H29" s="115"/>
    </row>
    <row r="30" spans="8:8" x14ac:dyDescent="0.2">
      <c r="H30" s="115"/>
    </row>
    <row r="31" spans="8:8" x14ac:dyDescent="0.2">
      <c r="H31" s="115"/>
    </row>
    <row r="32" spans="8:8" x14ac:dyDescent="0.2">
      <c r="H32" s="115"/>
    </row>
    <row r="33" spans="8:8" x14ac:dyDescent="0.2">
      <c r="H33" s="115"/>
    </row>
    <row r="34" spans="8:8" x14ac:dyDescent="0.2">
      <c r="H34" s="115"/>
    </row>
    <row r="35" spans="8:8" x14ac:dyDescent="0.2">
      <c r="H35" s="115"/>
    </row>
    <row r="36" spans="8:8" x14ac:dyDescent="0.2">
      <c r="H36" s="115"/>
    </row>
    <row r="37" spans="8:8" x14ac:dyDescent="0.2">
      <c r="H37" s="115"/>
    </row>
    <row r="38" spans="8:8" x14ac:dyDescent="0.2">
      <c r="H38" s="115"/>
    </row>
    <row r="39" spans="8:8" x14ac:dyDescent="0.2">
      <c r="H39" s="115"/>
    </row>
    <row r="40" spans="8:8" x14ac:dyDescent="0.2">
      <c r="H40" s="115"/>
    </row>
    <row r="41" spans="8:8" x14ac:dyDescent="0.2">
      <c r="H41" s="115"/>
    </row>
    <row r="42" spans="8:8" x14ac:dyDescent="0.2">
      <c r="H42" s="115"/>
    </row>
    <row r="43" spans="8:8" x14ac:dyDescent="0.2">
      <c r="H43" s="115"/>
    </row>
    <row r="44" spans="8:8" x14ac:dyDescent="0.2">
      <c r="H44" s="115"/>
    </row>
    <row r="45" spans="8:8" x14ac:dyDescent="0.2">
      <c r="H45" s="115"/>
    </row>
    <row r="46" spans="8:8" x14ac:dyDescent="0.2">
      <c r="H46" s="115"/>
    </row>
    <row r="47" spans="8:8" x14ac:dyDescent="0.2">
      <c r="H47" s="115"/>
    </row>
    <row r="48" spans="8:8" x14ac:dyDescent="0.2">
      <c r="H48" s="115"/>
    </row>
    <row r="49" spans="8:8" x14ac:dyDescent="0.2">
      <c r="H49" s="115"/>
    </row>
    <row r="50" spans="8:8" x14ac:dyDescent="0.2">
      <c r="H50" s="115"/>
    </row>
    <row r="51" spans="8:8" x14ac:dyDescent="0.2">
      <c r="H51" s="115"/>
    </row>
    <row r="52" spans="8:8" x14ac:dyDescent="0.2">
      <c r="H52" s="115"/>
    </row>
    <row r="53" spans="8:8" x14ac:dyDescent="0.2">
      <c r="H53" s="115"/>
    </row>
    <row r="54" spans="8:8" x14ac:dyDescent="0.2">
      <c r="H54" s="115"/>
    </row>
    <row r="55" spans="8:8" x14ac:dyDescent="0.2">
      <c r="H55" s="115"/>
    </row>
    <row r="56" spans="8:8" x14ac:dyDescent="0.2">
      <c r="H56" s="115"/>
    </row>
    <row r="57" spans="8:8" x14ac:dyDescent="0.2">
      <c r="H57" s="115"/>
    </row>
    <row r="58" spans="8:8" x14ac:dyDescent="0.2">
      <c r="H58" s="115"/>
    </row>
    <row r="59" spans="8:8" x14ac:dyDescent="0.2">
      <c r="H59" s="115"/>
    </row>
    <row r="60" spans="8:8" x14ac:dyDescent="0.2">
      <c r="H60" s="115"/>
    </row>
    <row r="61" spans="8:8" x14ac:dyDescent="0.2">
      <c r="H61" s="115"/>
    </row>
    <row r="62" spans="8:8" x14ac:dyDescent="0.2">
      <c r="H62" s="115"/>
    </row>
    <row r="63" spans="8:8" x14ac:dyDescent="0.2">
      <c r="H63" s="115"/>
    </row>
    <row r="64" spans="8:8" x14ac:dyDescent="0.2">
      <c r="H64" s="115"/>
    </row>
    <row r="65" spans="8:8" x14ac:dyDescent="0.2">
      <c r="H65" s="115"/>
    </row>
    <row r="66" spans="8:8" x14ac:dyDescent="0.2">
      <c r="H66" s="115"/>
    </row>
    <row r="67" spans="8:8" x14ac:dyDescent="0.2">
      <c r="H67" s="115"/>
    </row>
    <row r="68" spans="8:8" x14ac:dyDescent="0.2">
      <c r="H68" s="115"/>
    </row>
    <row r="69" spans="8:8" x14ac:dyDescent="0.2">
      <c r="H69" s="115"/>
    </row>
    <row r="70" spans="8:8" x14ac:dyDescent="0.2">
      <c r="H70" s="115"/>
    </row>
    <row r="71" spans="8:8" x14ac:dyDescent="0.2">
      <c r="H71" s="115"/>
    </row>
    <row r="72" spans="8:8" x14ac:dyDescent="0.2">
      <c r="H72" s="115"/>
    </row>
    <row r="73" spans="8:8" x14ac:dyDescent="0.2">
      <c r="H73" s="115"/>
    </row>
    <row r="74" spans="8:8" x14ac:dyDescent="0.2">
      <c r="H74" s="115"/>
    </row>
    <row r="75" spans="8:8" x14ac:dyDescent="0.2">
      <c r="H75" s="115"/>
    </row>
    <row r="76" spans="8:8" x14ac:dyDescent="0.2">
      <c r="H76" s="115"/>
    </row>
    <row r="77" spans="8:8" x14ac:dyDescent="0.2">
      <c r="H77" s="115"/>
    </row>
    <row r="78" spans="8:8" x14ac:dyDescent="0.2">
      <c r="H78" s="115"/>
    </row>
    <row r="79" spans="8:8" x14ac:dyDescent="0.2">
      <c r="H79" s="115"/>
    </row>
    <row r="80" spans="8:8" x14ac:dyDescent="0.2">
      <c r="H80" s="115"/>
    </row>
    <row r="81" spans="8:8" x14ac:dyDescent="0.2">
      <c r="H81" s="115"/>
    </row>
    <row r="82" spans="8:8" x14ac:dyDescent="0.2">
      <c r="H82" s="115"/>
    </row>
    <row r="83" spans="8:8" x14ac:dyDescent="0.2">
      <c r="H83" s="115"/>
    </row>
    <row r="84" spans="8:8" x14ac:dyDescent="0.2">
      <c r="H84" s="115"/>
    </row>
    <row r="85" spans="8:8" x14ac:dyDescent="0.2">
      <c r="H85" s="115"/>
    </row>
    <row r="86" spans="8:8" x14ac:dyDescent="0.2">
      <c r="H86" s="115"/>
    </row>
    <row r="87" spans="8:8" x14ac:dyDescent="0.2">
      <c r="H87" s="115"/>
    </row>
    <row r="88" spans="8:8" x14ac:dyDescent="0.2">
      <c r="H88" s="115"/>
    </row>
    <row r="89" spans="8:8" x14ac:dyDescent="0.2">
      <c r="H89" s="115"/>
    </row>
    <row r="90" spans="8:8" x14ac:dyDescent="0.2">
      <c r="H90" s="115"/>
    </row>
    <row r="91" spans="8:8" x14ac:dyDescent="0.2">
      <c r="H91" s="115"/>
    </row>
    <row r="92" spans="8:8" x14ac:dyDescent="0.2">
      <c r="H92" s="115"/>
    </row>
    <row r="93" spans="8:8" x14ac:dyDescent="0.2">
      <c r="H93" s="115"/>
    </row>
    <row r="94" spans="8:8" x14ac:dyDescent="0.2">
      <c r="H94" s="115"/>
    </row>
    <row r="95" spans="8:8" x14ac:dyDescent="0.2">
      <c r="H95" s="115"/>
    </row>
    <row r="96" spans="8:8" x14ac:dyDescent="0.2">
      <c r="H96" s="115"/>
    </row>
    <row r="97" spans="8:8" x14ac:dyDescent="0.2">
      <c r="H97" s="115"/>
    </row>
    <row r="98" spans="8:8" x14ac:dyDescent="0.2">
      <c r="H98" s="115"/>
    </row>
    <row r="99" spans="8:8" x14ac:dyDescent="0.2">
      <c r="H99" s="115"/>
    </row>
    <row r="100" spans="8:8" x14ac:dyDescent="0.2">
      <c r="H100" s="115"/>
    </row>
    <row r="101" spans="8:8" x14ac:dyDescent="0.2">
      <c r="H101" s="115"/>
    </row>
    <row r="102" spans="8:8" x14ac:dyDescent="0.2">
      <c r="H102" s="115"/>
    </row>
    <row r="103" spans="8:8" x14ac:dyDescent="0.2">
      <c r="H103" s="115"/>
    </row>
    <row r="104" spans="8:8" x14ac:dyDescent="0.2">
      <c r="H104" s="115"/>
    </row>
    <row r="105" spans="8:8" x14ac:dyDescent="0.2">
      <c r="H105" s="115"/>
    </row>
    <row r="106" spans="8:8" x14ac:dyDescent="0.2">
      <c r="H106" s="115"/>
    </row>
    <row r="107" spans="8:8" x14ac:dyDescent="0.2">
      <c r="H107" s="115"/>
    </row>
    <row r="108" spans="8:8" x14ac:dyDescent="0.2">
      <c r="H108" s="115"/>
    </row>
    <row r="109" spans="8:8" x14ac:dyDescent="0.2">
      <c r="H109" s="115"/>
    </row>
    <row r="110" spans="8:8" x14ac:dyDescent="0.2">
      <c r="H110" s="115"/>
    </row>
    <row r="111" spans="8:8" x14ac:dyDescent="0.2">
      <c r="H111" s="115"/>
    </row>
    <row r="112" spans="8:8" x14ac:dyDescent="0.2">
      <c r="H112" s="115"/>
    </row>
    <row r="113" spans="8:8" x14ac:dyDescent="0.2">
      <c r="H113" s="115"/>
    </row>
    <row r="114" spans="8:8" x14ac:dyDescent="0.2">
      <c r="H114" s="115"/>
    </row>
    <row r="115" spans="8:8" x14ac:dyDescent="0.2">
      <c r="H115" s="115"/>
    </row>
    <row r="116" spans="8:8" x14ac:dyDescent="0.2">
      <c r="H116" s="115"/>
    </row>
    <row r="117" spans="8:8" x14ac:dyDescent="0.2">
      <c r="H117" s="115"/>
    </row>
    <row r="118" spans="8:8" x14ac:dyDescent="0.2">
      <c r="H118" s="115"/>
    </row>
    <row r="119" spans="8:8" x14ac:dyDescent="0.2">
      <c r="H119" s="115"/>
    </row>
    <row r="120" spans="8:8" x14ac:dyDescent="0.2">
      <c r="H120" s="115"/>
    </row>
    <row r="121" spans="8:8" x14ac:dyDescent="0.2">
      <c r="H121" s="115"/>
    </row>
    <row r="122" spans="8:8" x14ac:dyDescent="0.2">
      <c r="H122" s="115"/>
    </row>
    <row r="123" spans="8:8" x14ac:dyDescent="0.2">
      <c r="H123" s="115"/>
    </row>
    <row r="124" spans="8:8" x14ac:dyDescent="0.2">
      <c r="H124" s="115"/>
    </row>
    <row r="125" spans="8:8" x14ac:dyDescent="0.2">
      <c r="H125" s="115"/>
    </row>
    <row r="126" spans="8:8" x14ac:dyDescent="0.2">
      <c r="H126" s="115"/>
    </row>
    <row r="127" spans="8:8" x14ac:dyDescent="0.2">
      <c r="H127" s="115"/>
    </row>
    <row r="128" spans="8:8" x14ac:dyDescent="0.2">
      <c r="H128" s="115"/>
    </row>
    <row r="129" spans="8:8" x14ac:dyDescent="0.2">
      <c r="H129" s="115"/>
    </row>
    <row r="130" spans="8:8" x14ac:dyDescent="0.2">
      <c r="H130" s="115"/>
    </row>
    <row r="131" spans="8:8" x14ac:dyDescent="0.2">
      <c r="H131" s="115"/>
    </row>
    <row r="132" spans="8:8" x14ac:dyDescent="0.2">
      <c r="H132" s="115"/>
    </row>
    <row r="133" spans="8:8" x14ac:dyDescent="0.2">
      <c r="H133" s="115"/>
    </row>
    <row r="134" spans="8:8" x14ac:dyDescent="0.2">
      <c r="H134" s="115"/>
    </row>
    <row r="135" spans="8:8" x14ac:dyDescent="0.2">
      <c r="H135" s="115"/>
    </row>
    <row r="136" spans="8:8" x14ac:dyDescent="0.2">
      <c r="H136" s="115"/>
    </row>
    <row r="137" spans="8:8" x14ac:dyDescent="0.2">
      <c r="H137" s="115"/>
    </row>
    <row r="138" spans="8:8" x14ac:dyDescent="0.2">
      <c r="H138" s="115"/>
    </row>
    <row r="139" spans="8:8" x14ac:dyDescent="0.2">
      <c r="H139" s="115"/>
    </row>
    <row r="140" spans="8:8" x14ac:dyDescent="0.2">
      <c r="H140" s="115"/>
    </row>
    <row r="141" spans="8:8" x14ac:dyDescent="0.2">
      <c r="H141" s="115"/>
    </row>
    <row r="142" spans="8:8" x14ac:dyDescent="0.2">
      <c r="H142" s="115"/>
    </row>
    <row r="143" spans="8:8" x14ac:dyDescent="0.2">
      <c r="H143" s="115"/>
    </row>
    <row r="144" spans="8:8" x14ac:dyDescent="0.2">
      <c r="H144" s="115"/>
    </row>
    <row r="145" spans="8:8" x14ac:dyDescent="0.2">
      <c r="H145" s="115"/>
    </row>
    <row r="146" spans="8:8" x14ac:dyDescent="0.2">
      <c r="H146" s="115"/>
    </row>
    <row r="147" spans="8:8" x14ac:dyDescent="0.2">
      <c r="H147" s="115"/>
    </row>
    <row r="148" spans="8:8" x14ac:dyDescent="0.2">
      <c r="H148" s="115"/>
    </row>
    <row r="149" spans="8:8" x14ac:dyDescent="0.2">
      <c r="H149" s="115"/>
    </row>
    <row r="150" spans="8:8" x14ac:dyDescent="0.2">
      <c r="H150" s="115"/>
    </row>
    <row r="151" spans="8:8" x14ac:dyDescent="0.2">
      <c r="H151" s="115"/>
    </row>
    <row r="152" spans="8:8" x14ac:dyDescent="0.2">
      <c r="H152" s="115"/>
    </row>
    <row r="153" spans="8:8" x14ac:dyDescent="0.2">
      <c r="H153" s="115"/>
    </row>
    <row r="154" spans="8:8" x14ac:dyDescent="0.2">
      <c r="H154" s="115"/>
    </row>
    <row r="155" spans="8:8" x14ac:dyDescent="0.2">
      <c r="H155" s="115"/>
    </row>
    <row r="156" spans="8:8" x14ac:dyDescent="0.2">
      <c r="H156" s="115"/>
    </row>
    <row r="157" spans="8:8" x14ac:dyDescent="0.2">
      <c r="H157" s="115"/>
    </row>
    <row r="158" spans="8:8" x14ac:dyDescent="0.2">
      <c r="H158" s="115"/>
    </row>
    <row r="159" spans="8:8" x14ac:dyDescent="0.2">
      <c r="H159" s="115"/>
    </row>
    <row r="160" spans="8:8" x14ac:dyDescent="0.2">
      <c r="H160" s="115"/>
    </row>
    <row r="161" spans="8:8" x14ac:dyDescent="0.2">
      <c r="H161" s="115"/>
    </row>
    <row r="162" spans="8:8" x14ac:dyDescent="0.2">
      <c r="H162" s="115"/>
    </row>
    <row r="163" spans="8:8" x14ac:dyDescent="0.2">
      <c r="H163" s="115"/>
    </row>
    <row r="164" spans="8:8" x14ac:dyDescent="0.2">
      <c r="H164" s="115"/>
    </row>
    <row r="165" spans="8:8" x14ac:dyDescent="0.2">
      <c r="H165" s="115"/>
    </row>
    <row r="166" spans="8:8" x14ac:dyDescent="0.2">
      <c r="H166" s="115"/>
    </row>
    <row r="167" spans="8:8" x14ac:dyDescent="0.2">
      <c r="H167" s="115"/>
    </row>
    <row r="168" spans="8:8" x14ac:dyDescent="0.2">
      <c r="H168" s="115"/>
    </row>
    <row r="169" spans="8:8" x14ac:dyDescent="0.2">
      <c r="H169" s="115"/>
    </row>
    <row r="170" spans="8:8" x14ac:dyDescent="0.2">
      <c r="H170" s="115"/>
    </row>
    <row r="171" spans="8:8" x14ac:dyDescent="0.2">
      <c r="H171" s="115"/>
    </row>
    <row r="172" spans="8:8" x14ac:dyDescent="0.2">
      <c r="H172" s="115"/>
    </row>
    <row r="173" spans="8:8" x14ac:dyDescent="0.2">
      <c r="H173" s="115"/>
    </row>
    <row r="174" spans="8:8" x14ac:dyDescent="0.2">
      <c r="H174" s="115"/>
    </row>
    <row r="175" spans="8:8" x14ac:dyDescent="0.2">
      <c r="H175" s="115"/>
    </row>
    <row r="176" spans="8:8" x14ac:dyDescent="0.2">
      <c r="H176" s="115"/>
    </row>
    <row r="177" spans="8:8" x14ac:dyDescent="0.2">
      <c r="H177" s="115"/>
    </row>
    <row r="178" spans="8:8" x14ac:dyDescent="0.2">
      <c r="H178" s="115"/>
    </row>
    <row r="179" spans="8:8" x14ac:dyDescent="0.2">
      <c r="H179" s="115"/>
    </row>
    <row r="180" spans="8:8" x14ac:dyDescent="0.2">
      <c r="H180" s="115"/>
    </row>
    <row r="181" spans="8:8" x14ac:dyDescent="0.2">
      <c r="H181" s="115"/>
    </row>
    <row r="182" spans="8:8" x14ac:dyDescent="0.2">
      <c r="H182" s="115"/>
    </row>
    <row r="183" spans="8:8" x14ac:dyDescent="0.2">
      <c r="H183" s="115"/>
    </row>
    <row r="184" spans="8:8" x14ac:dyDescent="0.2">
      <c r="H184" s="115"/>
    </row>
    <row r="185" spans="8:8" x14ac:dyDescent="0.2">
      <c r="H185" s="115"/>
    </row>
    <row r="186" spans="8:8" x14ac:dyDescent="0.2">
      <c r="H186" s="115"/>
    </row>
    <row r="187" spans="8:8" x14ac:dyDescent="0.2">
      <c r="H187" s="115"/>
    </row>
    <row r="188" spans="8:8" x14ac:dyDescent="0.2">
      <c r="H188" s="115"/>
    </row>
    <row r="189" spans="8:8" x14ac:dyDescent="0.2">
      <c r="H189" s="115"/>
    </row>
    <row r="190" spans="8:8" x14ac:dyDescent="0.2">
      <c r="H190" s="115"/>
    </row>
    <row r="191" spans="8:8" x14ac:dyDescent="0.2">
      <c r="H191" s="115"/>
    </row>
    <row r="192" spans="8:8" x14ac:dyDescent="0.2">
      <c r="H192" s="115"/>
    </row>
    <row r="193" spans="8:11" x14ac:dyDescent="0.2">
      <c r="H193" s="115"/>
    </row>
    <row r="194" spans="8:11" x14ac:dyDescent="0.2">
      <c r="H194" s="115"/>
    </row>
    <row r="195" spans="8:11" x14ac:dyDescent="0.2">
      <c r="H195" s="115"/>
    </row>
    <row r="196" spans="8:11" x14ac:dyDescent="0.2">
      <c r="H196" s="115"/>
    </row>
    <row r="197" spans="8:11" x14ac:dyDescent="0.2">
      <c r="H197" s="115"/>
    </row>
    <row r="198" spans="8:11" x14ac:dyDescent="0.2">
      <c r="H198" s="115"/>
    </row>
    <row r="199" spans="8:11" x14ac:dyDescent="0.2">
      <c r="H199" s="115"/>
    </row>
    <row r="200" spans="8:11" x14ac:dyDescent="0.2">
      <c r="H200" s="115"/>
    </row>
    <row r="201" spans="8:11" x14ac:dyDescent="0.2">
      <c r="H201" s="115"/>
    </row>
    <row r="202" spans="8:11" x14ac:dyDescent="0.2">
      <c r="H202" s="115"/>
    </row>
    <row r="203" spans="8:11" x14ac:dyDescent="0.2">
      <c r="H203" s="115"/>
    </row>
    <row r="204" spans="8:11" x14ac:dyDescent="0.2">
      <c r="H204" s="115"/>
    </row>
    <row r="205" spans="8:11" x14ac:dyDescent="0.2">
      <c r="H205" s="115">
        <v>0.01</v>
      </c>
      <c r="I205" s="122"/>
      <c r="J205" s="122"/>
      <c r="K205" s="123"/>
    </row>
    <row r="206" spans="8:11" x14ac:dyDescent="0.2">
      <c r="H206" s="115">
        <v>0.02</v>
      </c>
      <c r="I206" s="122"/>
      <c r="J206" s="122"/>
      <c r="K206" s="123"/>
    </row>
    <row r="207" spans="8:11" x14ac:dyDescent="0.2">
      <c r="H207" s="115">
        <v>0.03</v>
      </c>
      <c r="I207" s="122"/>
      <c r="J207" s="122"/>
      <c r="K207" s="123"/>
    </row>
    <row r="208" spans="8:11" x14ac:dyDescent="0.2">
      <c r="H208" s="115">
        <v>0.04</v>
      </c>
      <c r="I208" s="122"/>
      <c r="J208" s="122"/>
      <c r="K208" s="123"/>
    </row>
    <row r="209" spans="8:11" x14ac:dyDescent="0.2">
      <c r="H209" s="115">
        <v>0.05</v>
      </c>
      <c r="I209" s="122"/>
      <c r="J209" s="122"/>
      <c r="K209" s="123"/>
    </row>
    <row r="210" spans="8:11" x14ac:dyDescent="0.2">
      <c r="H210" s="115">
        <v>0.06</v>
      </c>
      <c r="I210" s="122"/>
      <c r="J210" s="122"/>
      <c r="K210" s="123"/>
    </row>
    <row r="211" spans="8:11" x14ac:dyDescent="0.2">
      <c r="H211" s="115">
        <v>7.0000000000000007E-2</v>
      </c>
      <c r="I211" s="122"/>
      <c r="J211" s="122"/>
      <c r="K211" s="123"/>
    </row>
    <row r="212" spans="8:11" x14ac:dyDescent="0.2">
      <c r="H212" s="115">
        <v>0.08</v>
      </c>
      <c r="I212" s="122"/>
      <c r="J212" s="122"/>
      <c r="K212" s="123"/>
    </row>
    <row r="213" spans="8:11" x14ac:dyDescent="0.2">
      <c r="H213" s="115">
        <v>0.09</v>
      </c>
      <c r="I213" s="122"/>
      <c r="J213" s="122"/>
      <c r="K213" s="123"/>
    </row>
    <row r="214" spans="8:11" x14ac:dyDescent="0.2">
      <c r="H214" s="115">
        <v>0.1</v>
      </c>
      <c r="I214" s="122"/>
      <c r="J214" s="122"/>
      <c r="K214" s="123"/>
    </row>
    <row r="215" spans="8:11" x14ac:dyDescent="0.2">
      <c r="H215" s="115">
        <v>0.11</v>
      </c>
      <c r="I215" s="122"/>
      <c r="J215" s="122"/>
      <c r="K215" s="123"/>
    </row>
    <row r="216" spans="8:11" x14ac:dyDescent="0.2">
      <c r="H216" s="115">
        <v>0.12</v>
      </c>
      <c r="I216" s="122"/>
      <c r="J216" s="122"/>
      <c r="K216" s="123"/>
    </row>
    <row r="217" spans="8:11" x14ac:dyDescent="0.2">
      <c r="H217" s="115">
        <v>0.13</v>
      </c>
      <c r="I217" s="122"/>
      <c r="J217" s="122"/>
      <c r="K217" s="123"/>
    </row>
    <row r="218" spans="8:11" x14ac:dyDescent="0.2">
      <c r="H218" s="115">
        <v>0.14000000000000001</v>
      </c>
      <c r="I218" s="122"/>
      <c r="J218" s="122"/>
      <c r="K218" s="123"/>
    </row>
    <row r="219" spans="8:11" x14ac:dyDescent="0.2">
      <c r="H219" s="115">
        <v>0.15</v>
      </c>
      <c r="I219" s="122"/>
      <c r="J219" s="122"/>
      <c r="K219" s="123"/>
    </row>
    <row r="220" spans="8:11" x14ac:dyDescent="0.2">
      <c r="H220" s="115">
        <v>0.16</v>
      </c>
      <c r="I220" s="122"/>
      <c r="J220" s="122"/>
      <c r="K220" s="123"/>
    </row>
    <row r="221" spans="8:11" x14ac:dyDescent="0.2">
      <c r="H221" s="115">
        <v>0.17</v>
      </c>
      <c r="I221" s="122"/>
      <c r="J221" s="122"/>
      <c r="K221" s="123"/>
    </row>
    <row r="222" spans="8:11" x14ac:dyDescent="0.2">
      <c r="H222" s="115">
        <v>0.18</v>
      </c>
      <c r="I222" s="122"/>
      <c r="J222" s="122"/>
      <c r="K222" s="123"/>
    </row>
    <row r="223" spans="8:11" x14ac:dyDescent="0.2">
      <c r="H223" s="115">
        <v>0.19</v>
      </c>
      <c r="I223" s="122"/>
      <c r="J223" s="122"/>
      <c r="K223" s="123"/>
    </row>
    <row r="224" spans="8:11" x14ac:dyDescent="0.2">
      <c r="H224" s="115">
        <v>0.2</v>
      </c>
      <c r="I224" s="122"/>
      <c r="J224" s="122"/>
      <c r="K224" s="123"/>
    </row>
    <row r="225" spans="8:11" x14ac:dyDescent="0.2">
      <c r="H225" s="115">
        <v>0.21</v>
      </c>
      <c r="I225" s="122"/>
      <c r="J225" s="122"/>
      <c r="K225" s="123"/>
    </row>
    <row r="226" spans="8:11" x14ac:dyDescent="0.2">
      <c r="H226" s="115">
        <v>0.22</v>
      </c>
      <c r="I226" s="122"/>
      <c r="J226" s="122"/>
      <c r="K226" s="123"/>
    </row>
    <row r="227" spans="8:11" x14ac:dyDescent="0.2">
      <c r="H227" s="115">
        <v>0.23</v>
      </c>
      <c r="I227" s="122"/>
      <c r="J227" s="122"/>
      <c r="K227" s="123"/>
    </row>
    <row r="228" spans="8:11" x14ac:dyDescent="0.2">
      <c r="H228" s="115">
        <v>0.24</v>
      </c>
      <c r="I228" s="122"/>
      <c r="J228" s="122"/>
      <c r="K228" s="123"/>
    </row>
    <row r="229" spans="8:11" x14ac:dyDescent="0.2">
      <c r="H229" s="115">
        <v>0.25</v>
      </c>
      <c r="I229" s="122"/>
      <c r="J229" s="122"/>
      <c r="K229" s="123"/>
    </row>
    <row r="230" spans="8:11" x14ac:dyDescent="0.2">
      <c r="H230" s="115">
        <v>0.26</v>
      </c>
      <c r="I230" s="122"/>
      <c r="J230" s="122"/>
      <c r="K230" s="123"/>
    </row>
    <row r="231" spans="8:11" x14ac:dyDescent="0.2">
      <c r="H231" s="115">
        <v>0.27</v>
      </c>
      <c r="I231" s="122"/>
      <c r="J231" s="122"/>
      <c r="K231" s="123"/>
    </row>
    <row r="232" spans="8:11" x14ac:dyDescent="0.2">
      <c r="H232" s="115">
        <v>0.28000000000000003</v>
      </c>
      <c r="I232" s="122"/>
      <c r="J232" s="122"/>
      <c r="K232" s="123"/>
    </row>
    <row r="233" spans="8:11" x14ac:dyDescent="0.2">
      <c r="H233" s="115">
        <v>0.28999999999999998</v>
      </c>
      <c r="I233" s="122"/>
      <c r="J233" s="122"/>
      <c r="K233" s="123"/>
    </row>
    <row r="234" spans="8:11" x14ac:dyDescent="0.2">
      <c r="H234" s="115">
        <v>0.3</v>
      </c>
      <c r="I234" s="122"/>
      <c r="J234" s="122"/>
      <c r="K234" s="123"/>
    </row>
    <row r="235" spans="8:11" x14ac:dyDescent="0.2">
      <c r="H235" s="115">
        <v>0.31</v>
      </c>
      <c r="I235" s="122"/>
      <c r="J235" s="122"/>
      <c r="K235" s="123"/>
    </row>
    <row r="236" spans="8:11" x14ac:dyDescent="0.2">
      <c r="H236" s="115">
        <v>0.32</v>
      </c>
      <c r="I236" s="122"/>
      <c r="J236" s="122"/>
      <c r="K236" s="123"/>
    </row>
    <row r="237" spans="8:11" x14ac:dyDescent="0.2">
      <c r="H237" s="115">
        <v>0.33</v>
      </c>
      <c r="I237" s="122"/>
      <c r="J237" s="122"/>
      <c r="K237" s="123"/>
    </row>
    <row r="238" spans="8:11" x14ac:dyDescent="0.2">
      <c r="H238" s="115">
        <v>0.34</v>
      </c>
      <c r="I238" s="122"/>
      <c r="J238" s="122"/>
      <c r="K238" s="123"/>
    </row>
    <row r="239" spans="8:11" x14ac:dyDescent="0.2">
      <c r="H239" s="115">
        <v>0.35</v>
      </c>
      <c r="I239" s="122"/>
      <c r="J239" s="122"/>
      <c r="K239" s="123"/>
    </row>
    <row r="240" spans="8:11" x14ac:dyDescent="0.2">
      <c r="H240" s="115">
        <v>0.36</v>
      </c>
      <c r="I240" s="122"/>
      <c r="J240" s="122"/>
      <c r="K240" s="123"/>
    </row>
    <row r="241" spans="8:11" x14ac:dyDescent="0.2">
      <c r="H241" s="115">
        <v>0.37</v>
      </c>
      <c r="I241" s="122"/>
      <c r="J241" s="122"/>
      <c r="K241" s="123"/>
    </row>
    <row r="242" spans="8:11" x14ac:dyDescent="0.2">
      <c r="H242" s="115">
        <v>0.38</v>
      </c>
      <c r="I242" s="122"/>
      <c r="J242" s="122"/>
      <c r="K242" s="123"/>
    </row>
    <row r="243" spans="8:11" x14ac:dyDescent="0.2">
      <c r="H243" s="115">
        <v>0.39</v>
      </c>
      <c r="I243" s="122"/>
      <c r="J243" s="122"/>
      <c r="K243" s="123"/>
    </row>
    <row r="244" spans="8:11" x14ac:dyDescent="0.2">
      <c r="H244" s="115">
        <v>0.4</v>
      </c>
      <c r="I244" s="122"/>
      <c r="J244" s="122"/>
      <c r="K244" s="123"/>
    </row>
    <row r="245" spans="8:11" x14ac:dyDescent="0.2">
      <c r="H245" s="115">
        <v>0.41</v>
      </c>
      <c r="I245" s="122"/>
      <c r="J245" s="122"/>
      <c r="K245" s="123"/>
    </row>
    <row r="246" spans="8:11" x14ac:dyDescent="0.2">
      <c r="H246" s="115">
        <v>0.42</v>
      </c>
      <c r="I246" s="122"/>
      <c r="J246" s="122"/>
      <c r="K246" s="123"/>
    </row>
    <row r="247" spans="8:11" x14ac:dyDescent="0.2">
      <c r="H247" s="115">
        <v>0.43</v>
      </c>
      <c r="I247" s="122"/>
      <c r="J247" s="122"/>
      <c r="K247" s="123"/>
    </row>
    <row r="248" spans="8:11" x14ac:dyDescent="0.2">
      <c r="H248" s="115">
        <v>0.44</v>
      </c>
      <c r="I248" s="122"/>
      <c r="J248" s="122"/>
      <c r="K248" s="123"/>
    </row>
    <row r="249" spans="8:11" x14ac:dyDescent="0.2">
      <c r="H249" s="115">
        <v>0.45</v>
      </c>
      <c r="I249" s="122"/>
      <c r="J249" s="122"/>
      <c r="K249" s="123"/>
    </row>
    <row r="250" spans="8:11" x14ac:dyDescent="0.2">
      <c r="H250" s="115">
        <v>0.46</v>
      </c>
      <c r="I250" s="122"/>
      <c r="J250" s="122"/>
      <c r="K250" s="123"/>
    </row>
    <row r="251" spans="8:11" x14ac:dyDescent="0.2">
      <c r="H251" s="115">
        <v>0.47</v>
      </c>
      <c r="I251" s="122"/>
      <c r="J251" s="122"/>
      <c r="K251" s="123"/>
    </row>
    <row r="252" spans="8:11" x14ac:dyDescent="0.2">
      <c r="H252" s="115">
        <v>0.48</v>
      </c>
      <c r="I252" s="122"/>
      <c r="J252" s="122"/>
      <c r="K252" s="123"/>
    </row>
    <row r="253" spans="8:11" x14ac:dyDescent="0.2">
      <c r="H253" s="115">
        <v>0.49</v>
      </c>
      <c r="I253" s="122"/>
      <c r="J253" s="122"/>
      <c r="K253" s="123"/>
    </row>
    <row r="254" spans="8:11" x14ac:dyDescent="0.2">
      <c r="H254" s="115">
        <v>0.5</v>
      </c>
      <c r="I254" s="122"/>
      <c r="J254" s="122"/>
      <c r="K254" s="123"/>
    </row>
    <row r="255" spans="8:11" x14ac:dyDescent="0.2">
      <c r="H255" s="115">
        <v>0.51</v>
      </c>
      <c r="I255" s="122"/>
      <c r="J255" s="122"/>
      <c r="K255" s="123"/>
    </row>
    <row r="256" spans="8:11" x14ac:dyDescent="0.2">
      <c r="H256" s="115">
        <v>0.52</v>
      </c>
      <c r="I256" s="122"/>
      <c r="J256" s="122"/>
      <c r="K256" s="123"/>
    </row>
    <row r="257" spans="8:11" x14ac:dyDescent="0.2">
      <c r="H257" s="115">
        <v>0.53</v>
      </c>
      <c r="I257" s="122"/>
      <c r="J257" s="122"/>
      <c r="K257" s="123"/>
    </row>
    <row r="258" spans="8:11" x14ac:dyDescent="0.2">
      <c r="H258" s="115">
        <v>0.54</v>
      </c>
      <c r="I258" s="122"/>
      <c r="J258" s="122"/>
      <c r="K258" s="123"/>
    </row>
    <row r="259" spans="8:11" x14ac:dyDescent="0.2">
      <c r="H259" s="115">
        <v>0.55000000000000004</v>
      </c>
      <c r="I259" s="122"/>
      <c r="J259" s="122"/>
      <c r="K259" s="123"/>
    </row>
    <row r="260" spans="8:11" x14ac:dyDescent="0.2">
      <c r="H260" s="115">
        <v>0.56000000000000005</v>
      </c>
      <c r="I260" s="122"/>
      <c r="J260" s="122"/>
      <c r="K260" s="123"/>
    </row>
    <row r="261" spans="8:11" x14ac:dyDescent="0.2">
      <c r="H261" s="115">
        <v>0.56999999999999995</v>
      </c>
      <c r="I261" s="122"/>
      <c r="J261" s="122"/>
      <c r="K261" s="123"/>
    </row>
    <row r="262" spans="8:11" x14ac:dyDescent="0.2">
      <c r="H262" s="115">
        <v>0.57999999999999996</v>
      </c>
      <c r="I262" s="122"/>
      <c r="J262" s="122"/>
      <c r="K262" s="123"/>
    </row>
    <row r="263" spans="8:11" x14ac:dyDescent="0.2">
      <c r="H263" s="115">
        <v>0.59</v>
      </c>
      <c r="I263" s="122"/>
      <c r="J263" s="122"/>
      <c r="K263" s="123"/>
    </row>
    <row r="264" spans="8:11" x14ac:dyDescent="0.2">
      <c r="H264" s="115">
        <v>0.6</v>
      </c>
      <c r="I264" s="122"/>
      <c r="J264" s="122"/>
      <c r="K264" s="123"/>
    </row>
    <row r="265" spans="8:11" x14ac:dyDescent="0.2">
      <c r="H265" s="115">
        <v>0.61</v>
      </c>
      <c r="I265" s="122"/>
      <c r="J265" s="122"/>
      <c r="K265" s="123"/>
    </row>
    <row r="266" spans="8:11" x14ac:dyDescent="0.2">
      <c r="H266" s="115">
        <v>0.62</v>
      </c>
      <c r="I266" s="122"/>
      <c r="J266" s="122"/>
      <c r="K266" s="123"/>
    </row>
    <row r="267" spans="8:11" x14ac:dyDescent="0.2">
      <c r="H267" s="115">
        <v>0.63</v>
      </c>
      <c r="I267" s="122"/>
      <c r="J267" s="122"/>
      <c r="K267" s="123"/>
    </row>
    <row r="268" spans="8:11" x14ac:dyDescent="0.2">
      <c r="H268" s="115">
        <v>0.64</v>
      </c>
      <c r="I268" s="122"/>
      <c r="J268" s="122"/>
      <c r="K268" s="123"/>
    </row>
    <row r="269" spans="8:11" x14ac:dyDescent="0.2">
      <c r="H269" s="115">
        <v>0.65</v>
      </c>
      <c r="I269" s="122"/>
      <c r="J269" s="122"/>
      <c r="K269" s="123"/>
    </row>
    <row r="270" spans="8:11" x14ac:dyDescent="0.2">
      <c r="H270" s="115">
        <v>0.66</v>
      </c>
      <c r="I270" s="122"/>
      <c r="J270" s="122"/>
      <c r="K270" s="123"/>
    </row>
    <row r="271" spans="8:11" x14ac:dyDescent="0.2">
      <c r="H271" s="115">
        <v>0.67</v>
      </c>
      <c r="I271" s="122"/>
      <c r="J271" s="122"/>
      <c r="K271" s="123"/>
    </row>
    <row r="272" spans="8:11" x14ac:dyDescent="0.2">
      <c r="H272" s="115">
        <v>0.68</v>
      </c>
      <c r="I272" s="122"/>
      <c r="J272" s="122"/>
      <c r="K272" s="123"/>
    </row>
    <row r="273" spans="8:11" x14ac:dyDescent="0.2">
      <c r="H273" s="115">
        <v>0.69</v>
      </c>
      <c r="I273" s="122"/>
      <c r="J273" s="122"/>
      <c r="K273" s="123"/>
    </row>
    <row r="274" spans="8:11" x14ac:dyDescent="0.2">
      <c r="H274" s="115">
        <v>0.7</v>
      </c>
      <c r="I274" s="122"/>
      <c r="J274" s="122"/>
      <c r="K274" s="123"/>
    </row>
    <row r="275" spans="8:11" x14ac:dyDescent="0.2">
      <c r="H275" s="115">
        <v>0.71</v>
      </c>
      <c r="I275" s="122"/>
      <c r="J275" s="122"/>
      <c r="K275" s="123"/>
    </row>
    <row r="276" spans="8:11" x14ac:dyDescent="0.2">
      <c r="H276" s="115">
        <v>0.72</v>
      </c>
      <c r="I276" s="122"/>
      <c r="J276" s="122"/>
      <c r="K276" s="123"/>
    </row>
    <row r="277" spans="8:11" x14ac:dyDescent="0.2">
      <c r="H277" s="115">
        <v>0.73</v>
      </c>
      <c r="I277" s="122"/>
      <c r="J277" s="122"/>
      <c r="K277" s="123"/>
    </row>
    <row r="278" spans="8:11" x14ac:dyDescent="0.2">
      <c r="H278" s="115">
        <v>0.74</v>
      </c>
      <c r="I278" s="122"/>
      <c r="J278" s="122"/>
      <c r="K278" s="123"/>
    </row>
    <row r="279" spans="8:11" x14ac:dyDescent="0.2">
      <c r="H279" s="115">
        <v>0.75</v>
      </c>
      <c r="I279" s="122"/>
      <c r="J279" s="122"/>
      <c r="K279" s="123"/>
    </row>
    <row r="280" spans="8:11" x14ac:dyDescent="0.2">
      <c r="H280" s="115">
        <v>0.76</v>
      </c>
      <c r="I280" s="122"/>
      <c r="J280" s="122"/>
      <c r="K280" s="123"/>
    </row>
    <row r="281" spans="8:11" x14ac:dyDescent="0.2">
      <c r="H281" s="115">
        <v>0.77</v>
      </c>
      <c r="I281" s="122"/>
      <c r="J281" s="122"/>
      <c r="K281" s="123"/>
    </row>
    <row r="282" spans="8:11" x14ac:dyDescent="0.2">
      <c r="H282" s="115">
        <v>0.78</v>
      </c>
      <c r="I282" s="122"/>
      <c r="J282" s="122"/>
      <c r="K282" s="123"/>
    </row>
    <row r="283" spans="8:11" x14ac:dyDescent="0.2">
      <c r="H283" s="115">
        <v>0.79</v>
      </c>
      <c r="I283" s="122"/>
      <c r="J283" s="122"/>
      <c r="K283" s="123"/>
    </row>
    <row r="284" spans="8:11" x14ac:dyDescent="0.2">
      <c r="H284" s="115">
        <v>0.8</v>
      </c>
      <c r="I284" s="122"/>
      <c r="J284" s="122"/>
      <c r="K284" s="123"/>
    </row>
    <row r="285" spans="8:11" x14ac:dyDescent="0.2">
      <c r="H285" s="115">
        <v>0.81</v>
      </c>
      <c r="I285" s="122"/>
      <c r="J285" s="122"/>
      <c r="K285" s="123"/>
    </row>
    <row r="286" spans="8:11" x14ac:dyDescent="0.2">
      <c r="H286" s="115">
        <v>0.82</v>
      </c>
      <c r="I286" s="122"/>
      <c r="J286" s="122"/>
      <c r="K286" s="123"/>
    </row>
    <row r="287" spans="8:11" x14ac:dyDescent="0.2">
      <c r="H287" s="115">
        <v>0.83</v>
      </c>
      <c r="I287" s="122"/>
      <c r="J287" s="122"/>
      <c r="K287" s="123"/>
    </row>
    <row r="288" spans="8:11" x14ac:dyDescent="0.2">
      <c r="H288" s="115">
        <v>0.84</v>
      </c>
      <c r="I288" s="122"/>
      <c r="J288" s="122"/>
      <c r="K288" s="123"/>
    </row>
    <row r="289" spans="8:11" x14ac:dyDescent="0.2">
      <c r="H289" s="115">
        <v>0.85</v>
      </c>
      <c r="I289" s="122"/>
      <c r="J289" s="122"/>
      <c r="K289" s="123"/>
    </row>
    <row r="290" spans="8:11" x14ac:dyDescent="0.2">
      <c r="H290" s="115">
        <v>0.86</v>
      </c>
      <c r="I290" s="122"/>
      <c r="J290" s="122"/>
      <c r="K290" s="123"/>
    </row>
    <row r="291" spans="8:11" x14ac:dyDescent="0.2">
      <c r="H291" s="115">
        <v>0.87</v>
      </c>
      <c r="I291" s="122"/>
      <c r="J291" s="122"/>
      <c r="K291" s="123"/>
    </row>
    <row r="292" spans="8:11" x14ac:dyDescent="0.2">
      <c r="H292" s="115">
        <v>0.88</v>
      </c>
      <c r="I292" s="122"/>
      <c r="J292" s="122"/>
      <c r="K292" s="123"/>
    </row>
    <row r="293" spans="8:11" x14ac:dyDescent="0.2">
      <c r="H293" s="115">
        <v>0.89</v>
      </c>
      <c r="I293" s="122"/>
      <c r="J293" s="122"/>
      <c r="K293" s="123"/>
    </row>
    <row r="294" spans="8:11" x14ac:dyDescent="0.2">
      <c r="H294" s="115">
        <v>0.9</v>
      </c>
      <c r="I294" s="122"/>
      <c r="J294" s="122"/>
      <c r="K294" s="123"/>
    </row>
    <row r="295" spans="8:11" x14ac:dyDescent="0.2">
      <c r="H295" s="115">
        <v>0.91</v>
      </c>
      <c r="I295" s="122"/>
      <c r="J295" s="122"/>
      <c r="K295" s="123"/>
    </row>
    <row r="296" spans="8:11" x14ac:dyDescent="0.2">
      <c r="H296" s="115">
        <v>0.92</v>
      </c>
      <c r="I296" s="122"/>
      <c r="J296" s="122"/>
      <c r="K296" s="123"/>
    </row>
    <row r="297" spans="8:11" x14ac:dyDescent="0.2">
      <c r="H297" s="115">
        <v>0.93</v>
      </c>
      <c r="I297" s="122"/>
      <c r="J297" s="122"/>
      <c r="K297" s="123"/>
    </row>
    <row r="298" spans="8:11" x14ac:dyDescent="0.2">
      <c r="H298" s="115">
        <v>0.94</v>
      </c>
      <c r="I298" s="122"/>
      <c r="J298" s="122"/>
      <c r="K298" s="123"/>
    </row>
    <row r="299" spans="8:11" x14ac:dyDescent="0.2">
      <c r="H299" s="115">
        <v>0.95</v>
      </c>
      <c r="I299" s="122"/>
      <c r="J299" s="122"/>
      <c r="K299" s="123"/>
    </row>
    <row r="300" spans="8:11" x14ac:dyDescent="0.2">
      <c r="H300" s="115">
        <v>0.96</v>
      </c>
      <c r="I300" s="122"/>
      <c r="J300" s="122"/>
      <c r="K300" s="123"/>
    </row>
    <row r="301" spans="8:11" x14ac:dyDescent="0.2">
      <c r="H301" s="115">
        <v>0.97</v>
      </c>
      <c r="I301" s="122"/>
      <c r="J301" s="122"/>
      <c r="K301" s="123"/>
    </row>
    <row r="302" spans="8:11" x14ac:dyDescent="0.2">
      <c r="H302" s="115">
        <v>0.98</v>
      </c>
      <c r="I302" s="122"/>
      <c r="J302" s="122"/>
      <c r="K302" s="123"/>
    </row>
    <row r="303" spans="8:11" x14ac:dyDescent="0.2">
      <c r="H303" s="115">
        <v>0.99</v>
      </c>
      <c r="I303" s="122"/>
      <c r="J303" s="122"/>
      <c r="K303" s="123"/>
    </row>
    <row r="304" spans="8:11" x14ac:dyDescent="0.2">
      <c r="H304" s="115">
        <v>1</v>
      </c>
      <c r="I304" s="122"/>
      <c r="J304" s="122"/>
      <c r="K304" s="123"/>
    </row>
  </sheetData>
  <sheetProtection algorithmName="SHA-512" hashValue="7Rbc0WpyLwJxIdhIXPLcNyMFbRAchrj9jT2rJ8mi/5NQ1xjnNljN8WWsslmkxgzrwn562r9XaiRS82pLTP2EiQ==" saltValue="hf30JzOxF0V3srwdvrTJAA==" spinCount="100000" sheet="1" objects="1" scenarios="1" selectLockedCells="1" selectUnlockedCells="1"/>
  <conditionalFormatting sqref="H1:H1048576">
    <cfRule type="dataBar" priority="1">
      <dataBar>
        <cfvo type="min"/>
        <cfvo type="max"/>
        <color rgb="FFFF555A"/>
      </dataBar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459"/>
  <sheetViews>
    <sheetView zoomScaleNormal="100" workbookViewId="0">
      <pane xSplit="28" ySplit="6" topLeftCell="AC14" activePane="bottomRight" state="frozenSplit"/>
      <selection pane="topRight" activeCell="AA1" sqref="AA1"/>
      <selection pane="bottomLeft" activeCell="A7" sqref="A7"/>
      <selection pane="bottomRight" activeCell="I14" sqref="I14"/>
    </sheetView>
  </sheetViews>
  <sheetFormatPr defaultRowHeight="11.25" x14ac:dyDescent="0.2"/>
  <cols>
    <col min="1" max="1" width="4.7109375" style="2" customWidth="1"/>
    <col min="2" max="2" width="2.7109375" style="6" customWidth="1"/>
    <col min="3" max="3" width="1.7109375" style="6" customWidth="1"/>
    <col min="4" max="4" width="1.7109375" style="2" customWidth="1"/>
    <col min="5" max="5" width="2.7109375" style="11" customWidth="1"/>
    <col min="6" max="6" width="1.7109375" style="9" customWidth="1"/>
    <col min="7" max="7" width="12.7109375" style="17" customWidth="1"/>
    <col min="8" max="8" width="1.7109375" style="2" customWidth="1"/>
    <col min="9" max="9" width="10.7109375" style="38" customWidth="1"/>
    <col min="10" max="11" width="10.7109375" style="2" customWidth="1"/>
    <col min="12" max="13" width="7.7109375" style="9" customWidth="1"/>
    <col min="14" max="14" width="28.7109375" style="2" customWidth="1"/>
    <col min="15" max="27" width="10.7109375" style="2" customWidth="1"/>
    <col min="28" max="16384" width="9.140625" style="2"/>
  </cols>
  <sheetData>
    <row r="1" spans="1:13" s="50" customFormat="1" ht="15" x14ac:dyDescent="0.25">
      <c r="A1" s="50" t="s">
        <v>184</v>
      </c>
      <c r="E1" s="51"/>
      <c r="F1" s="52"/>
      <c r="G1" s="53"/>
      <c r="I1" s="54"/>
      <c r="L1" s="52"/>
      <c r="M1" s="52"/>
    </row>
    <row r="2" spans="1:13" s="27" customFormat="1" ht="15.75" x14ac:dyDescent="0.25">
      <c r="A2" s="26"/>
      <c r="B2" s="24"/>
      <c r="C2" s="24"/>
      <c r="E2" s="28"/>
      <c r="F2" s="29"/>
      <c r="G2" s="30"/>
      <c r="I2" s="35"/>
      <c r="L2" s="29"/>
      <c r="M2" s="29"/>
    </row>
    <row r="3" spans="1:13" s="27" customFormat="1" x14ac:dyDescent="0.2">
      <c r="B3" s="24"/>
      <c r="C3" s="24"/>
      <c r="E3" s="25" t="s">
        <v>195</v>
      </c>
      <c r="G3" s="31">
        <f ca="1">NOW()</f>
        <v>45133.186623611109</v>
      </c>
      <c r="H3" s="28"/>
      <c r="I3" s="30"/>
      <c r="J3" s="28"/>
      <c r="K3" s="25" t="s">
        <v>185</v>
      </c>
      <c r="L3" s="29">
        <f>'Часть 0'!D1</f>
        <v>30</v>
      </c>
      <c r="M3" s="29"/>
    </row>
    <row r="4" spans="1:13" s="27" customFormat="1" x14ac:dyDescent="0.2">
      <c r="B4" s="24"/>
      <c r="C4" s="24"/>
      <c r="E4" s="25" t="s">
        <v>193</v>
      </c>
      <c r="G4" s="31">
        <v>45132.372188425928</v>
      </c>
      <c r="H4" s="28"/>
      <c r="I4" s="30"/>
      <c r="K4" s="25" t="s">
        <v>186</v>
      </c>
      <c r="L4" s="29">
        <v>30</v>
      </c>
      <c r="M4" s="29"/>
    </row>
    <row r="5" spans="1:13" s="27" customFormat="1" x14ac:dyDescent="0.2">
      <c r="B5" s="24"/>
      <c r="C5" s="24"/>
      <c r="E5" s="25" t="s">
        <v>194</v>
      </c>
      <c r="G5" s="31"/>
      <c r="H5" s="28"/>
      <c r="I5" s="30"/>
      <c r="K5" s="25" t="s">
        <v>187</v>
      </c>
      <c r="L5" s="49" t="str">
        <f ca="1">ROUND(IF(G5="",G3-G4,G5-G4)*24*60/(L3+1),1)&amp;" мин"</f>
        <v>37,8 мин</v>
      </c>
      <c r="M5" s="49"/>
    </row>
    <row r="6" spans="1:13" s="27" customFormat="1" x14ac:dyDescent="0.2">
      <c r="B6" s="24"/>
      <c r="C6" s="24"/>
      <c r="E6" s="28"/>
      <c r="F6" s="29"/>
      <c r="G6" s="30"/>
      <c r="I6" s="35"/>
      <c r="L6" s="29"/>
      <c r="M6" s="29"/>
    </row>
    <row r="7" spans="1:13" s="5" customFormat="1" x14ac:dyDescent="0.2">
      <c r="B7" s="21"/>
      <c r="C7" s="21"/>
      <c r="E7" s="22"/>
      <c r="F7" s="23"/>
      <c r="G7" s="20"/>
      <c r="I7" s="36"/>
      <c r="L7" s="23"/>
      <c r="M7" s="23"/>
    </row>
    <row r="8" spans="1:13" s="6" customFormat="1" x14ac:dyDescent="0.2">
      <c r="B8" s="6">
        <v>1</v>
      </c>
      <c r="C8" s="6" t="s">
        <v>90</v>
      </c>
      <c r="D8" s="6" t="s">
        <v>91</v>
      </c>
      <c r="E8" s="10"/>
      <c r="F8" s="8"/>
      <c r="G8" s="18"/>
      <c r="I8" s="37"/>
      <c r="L8" s="8"/>
      <c r="M8" s="8"/>
    </row>
    <row r="9" spans="1:13" ht="5.0999999999999996" customHeight="1" x14ac:dyDescent="0.2"/>
    <row r="10" spans="1:13" x14ac:dyDescent="0.2">
      <c r="C10" s="7"/>
      <c r="E10" s="11">
        <v>1</v>
      </c>
      <c r="F10" s="9" t="s">
        <v>156</v>
      </c>
      <c r="G10" s="17" t="s">
        <v>0</v>
      </c>
    </row>
    <row r="11" spans="1:13" x14ac:dyDescent="0.2">
      <c r="C11" s="7"/>
      <c r="E11" s="11">
        <v>2</v>
      </c>
      <c r="F11" s="9" t="s">
        <v>156</v>
      </c>
      <c r="G11" s="17" t="s">
        <v>1</v>
      </c>
    </row>
    <row r="12" spans="1:13" x14ac:dyDescent="0.2">
      <c r="C12" s="7"/>
      <c r="E12" s="11">
        <v>3</v>
      </c>
      <c r="F12" s="9" t="s">
        <v>156</v>
      </c>
      <c r="G12" s="17" t="s">
        <v>2</v>
      </c>
    </row>
    <row r="13" spans="1:13" ht="5.0999999999999996" customHeight="1" thickBot="1" x14ac:dyDescent="0.25">
      <c r="G13" s="19"/>
      <c r="H13" s="4"/>
    </row>
    <row r="14" spans="1:13" ht="12" thickBot="1" x14ac:dyDescent="0.25">
      <c r="C14" s="61">
        <f>B8</f>
        <v>1</v>
      </c>
      <c r="D14" s="6" t="s">
        <v>220</v>
      </c>
      <c r="E14" s="6"/>
      <c r="F14" s="6"/>
      <c r="G14" s="6"/>
      <c r="H14" s="6"/>
      <c r="I14" s="62">
        <v>2</v>
      </c>
    </row>
    <row r="15" spans="1:13" x14ac:dyDescent="0.2">
      <c r="G15" s="20"/>
      <c r="H15" s="5"/>
    </row>
    <row r="16" spans="1:13" s="6" customFormat="1" x14ac:dyDescent="0.2">
      <c r="B16" s="6">
        <v>2</v>
      </c>
      <c r="C16" s="6" t="s">
        <v>90</v>
      </c>
      <c r="D16" s="6" t="s">
        <v>92</v>
      </c>
      <c r="E16" s="10"/>
      <c r="F16" s="8"/>
      <c r="G16" s="18"/>
      <c r="I16" s="37"/>
      <c r="L16" s="8"/>
      <c r="M16" s="8"/>
    </row>
    <row r="17" spans="2:13" ht="5.0999999999999996" customHeight="1" x14ac:dyDescent="0.2"/>
    <row r="18" spans="2:13" x14ac:dyDescent="0.2">
      <c r="C18" s="7"/>
      <c r="E18" s="11">
        <v>1</v>
      </c>
      <c r="F18" s="9" t="s">
        <v>156</v>
      </c>
      <c r="G18" s="17" t="s">
        <v>3</v>
      </c>
    </row>
    <row r="19" spans="2:13" x14ac:dyDescent="0.2">
      <c r="C19" s="7"/>
      <c r="E19" s="11">
        <v>2</v>
      </c>
      <c r="F19" s="9" t="s">
        <v>156</v>
      </c>
      <c r="G19" s="17" t="s">
        <v>4</v>
      </c>
    </row>
    <row r="20" spans="2:13" x14ac:dyDescent="0.2">
      <c r="C20" s="7"/>
      <c r="E20" s="11">
        <v>3</v>
      </c>
      <c r="F20" s="9" t="s">
        <v>156</v>
      </c>
      <c r="G20" s="17" t="s">
        <v>5</v>
      </c>
    </row>
    <row r="21" spans="2:13" ht="5.0999999999999996" customHeight="1" thickBot="1" x14ac:dyDescent="0.25">
      <c r="G21" s="19"/>
      <c r="H21" s="4"/>
    </row>
    <row r="22" spans="2:13" ht="12" thickBot="1" x14ac:dyDescent="0.25">
      <c r="C22" s="61">
        <f t="shared" ref="C22" si="0">B16</f>
        <v>2</v>
      </c>
      <c r="D22" s="6" t="s">
        <v>220</v>
      </c>
      <c r="E22" s="6"/>
      <c r="F22" s="6"/>
      <c r="G22" s="6"/>
      <c r="H22" s="6"/>
      <c r="I22" s="62">
        <v>2</v>
      </c>
    </row>
    <row r="23" spans="2:13" x14ac:dyDescent="0.2">
      <c r="G23" s="20"/>
      <c r="H23" s="5"/>
    </row>
    <row r="24" spans="2:13" s="6" customFormat="1" x14ac:dyDescent="0.2">
      <c r="B24" s="6">
        <v>3</v>
      </c>
      <c r="C24" s="6" t="s">
        <v>90</v>
      </c>
      <c r="D24" s="6" t="s">
        <v>93</v>
      </c>
      <c r="E24" s="10"/>
      <c r="F24" s="8"/>
      <c r="G24" s="18"/>
      <c r="I24" s="37"/>
      <c r="L24" s="8"/>
      <c r="M24" s="8"/>
    </row>
    <row r="25" spans="2:13" ht="5.0999999999999996" customHeight="1" x14ac:dyDescent="0.2"/>
    <row r="26" spans="2:13" x14ac:dyDescent="0.2">
      <c r="C26" s="7"/>
      <c r="E26" s="11">
        <v>1</v>
      </c>
      <c r="F26" s="9" t="s">
        <v>156</v>
      </c>
      <c r="G26" s="17" t="s">
        <v>6</v>
      </c>
    </row>
    <row r="27" spans="2:13" x14ac:dyDescent="0.2">
      <c r="C27" s="7"/>
      <c r="E27" s="11">
        <v>2</v>
      </c>
      <c r="F27" s="9" t="s">
        <v>156</v>
      </c>
      <c r="G27" s="17" t="s">
        <v>7</v>
      </c>
    </row>
    <row r="28" spans="2:13" x14ac:dyDescent="0.2">
      <c r="C28" s="7"/>
      <c r="E28" s="11">
        <v>3</v>
      </c>
      <c r="F28" s="9" t="s">
        <v>156</v>
      </c>
      <c r="G28" s="17" t="s">
        <v>8</v>
      </c>
    </row>
    <row r="29" spans="2:13" ht="5.0999999999999996" customHeight="1" thickBot="1" x14ac:dyDescent="0.25">
      <c r="G29" s="19"/>
      <c r="H29" s="4"/>
    </row>
    <row r="30" spans="2:13" ht="12" thickBot="1" x14ac:dyDescent="0.25">
      <c r="C30" s="61">
        <f t="shared" ref="C30" si="1">B24</f>
        <v>3</v>
      </c>
      <c r="D30" s="6" t="s">
        <v>220</v>
      </c>
      <c r="E30" s="6"/>
      <c r="F30" s="6"/>
      <c r="G30" s="6"/>
      <c r="H30" s="6"/>
      <c r="I30" s="62">
        <v>3</v>
      </c>
    </row>
    <row r="31" spans="2:13" x14ac:dyDescent="0.2">
      <c r="G31" s="20"/>
      <c r="H31" s="5"/>
    </row>
    <row r="32" spans="2:13" s="6" customFormat="1" x14ac:dyDescent="0.2">
      <c r="B32" s="6">
        <v>4</v>
      </c>
      <c r="C32" s="6" t="s">
        <v>90</v>
      </c>
      <c r="D32" s="6" t="s">
        <v>94</v>
      </c>
      <c r="E32" s="10"/>
      <c r="F32" s="8"/>
      <c r="G32" s="18"/>
      <c r="I32" s="37"/>
      <c r="L32" s="8"/>
      <c r="M32" s="8"/>
    </row>
    <row r="33" spans="2:13" ht="5.0999999999999996" customHeight="1" x14ac:dyDescent="0.2"/>
    <row r="34" spans="2:13" x14ac:dyDescent="0.2">
      <c r="C34" s="7"/>
      <c r="E34" s="11">
        <v>1</v>
      </c>
      <c r="F34" s="9" t="s">
        <v>156</v>
      </c>
      <c r="G34" s="17" t="s">
        <v>9</v>
      </c>
    </row>
    <row r="35" spans="2:13" x14ac:dyDescent="0.2">
      <c r="C35" s="7"/>
      <c r="E35" s="11">
        <v>2</v>
      </c>
      <c r="F35" s="9" t="s">
        <v>156</v>
      </c>
      <c r="G35" s="17" t="s">
        <v>10</v>
      </c>
    </row>
    <row r="36" spans="2:13" x14ac:dyDescent="0.2">
      <c r="C36" s="7"/>
      <c r="E36" s="11">
        <v>3</v>
      </c>
      <c r="F36" s="9" t="s">
        <v>156</v>
      </c>
      <c r="G36" s="17" t="s">
        <v>11</v>
      </c>
    </row>
    <row r="37" spans="2:13" ht="5.0999999999999996" customHeight="1" thickBot="1" x14ac:dyDescent="0.25">
      <c r="G37" s="19"/>
      <c r="H37" s="4"/>
    </row>
    <row r="38" spans="2:13" ht="12" thickBot="1" x14ac:dyDescent="0.25">
      <c r="C38" s="61">
        <f t="shared" ref="C38" si="2">B32</f>
        <v>4</v>
      </c>
      <c r="D38" s="6" t="s">
        <v>220</v>
      </c>
      <c r="E38" s="6"/>
      <c r="F38" s="6"/>
      <c r="G38" s="6"/>
      <c r="H38" s="6"/>
      <c r="I38" s="62">
        <v>1</v>
      </c>
    </row>
    <row r="39" spans="2:13" x14ac:dyDescent="0.2">
      <c r="G39" s="20"/>
      <c r="H39" s="5"/>
    </row>
    <row r="40" spans="2:13" s="6" customFormat="1" x14ac:dyDescent="0.2">
      <c r="B40" s="6">
        <v>5</v>
      </c>
      <c r="C40" s="6" t="s">
        <v>90</v>
      </c>
      <c r="D40" s="6" t="s">
        <v>95</v>
      </c>
      <c r="E40" s="10"/>
      <c r="F40" s="8"/>
      <c r="G40" s="18"/>
      <c r="I40" s="37"/>
      <c r="L40" s="8"/>
      <c r="M40" s="8"/>
    </row>
    <row r="41" spans="2:13" ht="5.0999999999999996" customHeight="1" x14ac:dyDescent="0.2"/>
    <row r="42" spans="2:13" x14ac:dyDescent="0.2">
      <c r="C42" s="7"/>
      <c r="E42" s="11">
        <v>1</v>
      </c>
      <c r="F42" s="9" t="s">
        <v>156</v>
      </c>
      <c r="G42" s="17" t="s">
        <v>12</v>
      </c>
    </row>
    <row r="43" spans="2:13" x14ac:dyDescent="0.2">
      <c r="C43" s="7"/>
      <c r="E43" s="11">
        <v>2</v>
      </c>
      <c r="F43" s="9" t="s">
        <v>156</v>
      </c>
      <c r="G43" s="17" t="s">
        <v>13</v>
      </c>
    </row>
    <row r="44" spans="2:13" x14ac:dyDescent="0.2">
      <c r="C44" s="7"/>
      <c r="E44" s="11">
        <v>3</v>
      </c>
      <c r="F44" s="9" t="s">
        <v>156</v>
      </c>
      <c r="G44" s="17" t="s">
        <v>14</v>
      </c>
    </row>
    <row r="45" spans="2:13" ht="5.0999999999999996" customHeight="1" thickBot="1" x14ac:dyDescent="0.25">
      <c r="G45" s="19"/>
      <c r="H45" s="4"/>
    </row>
    <row r="46" spans="2:13" ht="12" thickBot="1" x14ac:dyDescent="0.25">
      <c r="C46" s="61">
        <f t="shared" ref="C46" si="3">B40</f>
        <v>5</v>
      </c>
      <c r="D46" s="6" t="s">
        <v>220</v>
      </c>
      <c r="E46" s="6"/>
      <c r="F46" s="6"/>
      <c r="G46" s="6"/>
      <c r="H46" s="6"/>
      <c r="I46" s="62">
        <v>3</v>
      </c>
    </row>
    <row r="47" spans="2:13" x14ac:dyDescent="0.2">
      <c r="G47" s="20"/>
      <c r="H47" s="5"/>
    </row>
    <row r="48" spans="2:13" s="6" customFormat="1" x14ac:dyDescent="0.2">
      <c r="B48" s="6">
        <v>6</v>
      </c>
      <c r="C48" s="6" t="s">
        <v>90</v>
      </c>
      <c r="D48" s="6" t="s">
        <v>96</v>
      </c>
      <c r="E48" s="10"/>
      <c r="F48" s="8"/>
      <c r="G48" s="18"/>
      <c r="I48" s="37"/>
      <c r="L48" s="8"/>
      <c r="M48" s="8"/>
    </row>
    <row r="49" spans="2:13" ht="5.0999999999999996" customHeight="1" x14ac:dyDescent="0.2"/>
    <row r="50" spans="2:13" x14ac:dyDescent="0.2">
      <c r="C50" s="7"/>
      <c r="E50" s="11">
        <v>1</v>
      </c>
      <c r="F50" s="9" t="s">
        <v>156</v>
      </c>
      <c r="G50" s="17" t="s">
        <v>15</v>
      </c>
    </row>
    <row r="51" spans="2:13" x14ac:dyDescent="0.2">
      <c r="C51" s="7"/>
      <c r="E51" s="11">
        <v>2</v>
      </c>
      <c r="F51" s="9" t="s">
        <v>156</v>
      </c>
      <c r="G51" s="17" t="s">
        <v>16</v>
      </c>
    </row>
    <row r="52" spans="2:13" x14ac:dyDescent="0.2">
      <c r="C52" s="7"/>
      <c r="E52" s="11">
        <v>3</v>
      </c>
      <c r="F52" s="9" t="s">
        <v>156</v>
      </c>
      <c r="G52" s="17" t="s">
        <v>17</v>
      </c>
    </row>
    <row r="53" spans="2:13" ht="5.0999999999999996" customHeight="1" thickBot="1" x14ac:dyDescent="0.25">
      <c r="G53" s="19"/>
      <c r="H53" s="4"/>
    </row>
    <row r="54" spans="2:13" ht="12" thickBot="1" x14ac:dyDescent="0.25">
      <c r="C54" s="61">
        <f t="shared" ref="C54" si="4">B48</f>
        <v>6</v>
      </c>
      <c r="D54" s="6" t="s">
        <v>220</v>
      </c>
      <c r="E54" s="6"/>
      <c r="F54" s="6"/>
      <c r="G54" s="6"/>
      <c r="H54" s="6"/>
      <c r="I54" s="62">
        <v>1</v>
      </c>
    </row>
    <row r="55" spans="2:13" x14ac:dyDescent="0.2">
      <c r="G55" s="20"/>
      <c r="H55" s="5"/>
    </row>
    <row r="56" spans="2:13" s="6" customFormat="1" x14ac:dyDescent="0.2">
      <c r="B56" s="6">
        <v>7</v>
      </c>
      <c r="C56" s="6" t="s">
        <v>90</v>
      </c>
      <c r="D56" s="6" t="s">
        <v>97</v>
      </c>
      <c r="E56" s="10"/>
      <c r="F56" s="8"/>
      <c r="G56" s="18"/>
      <c r="I56" s="37"/>
      <c r="L56" s="8"/>
      <c r="M56" s="8"/>
    </row>
    <row r="57" spans="2:13" ht="5.0999999999999996" customHeight="1" x14ac:dyDescent="0.2"/>
    <row r="58" spans="2:13" x14ac:dyDescent="0.2">
      <c r="C58" s="7"/>
      <c r="E58" s="11">
        <v>1</v>
      </c>
      <c r="F58" s="9" t="s">
        <v>156</v>
      </c>
      <c r="G58" s="17" t="s">
        <v>18</v>
      </c>
    </row>
    <row r="59" spans="2:13" x14ac:dyDescent="0.2">
      <c r="C59" s="7"/>
      <c r="E59" s="11">
        <v>2</v>
      </c>
      <c r="F59" s="9" t="s">
        <v>156</v>
      </c>
      <c r="G59" s="17" t="s">
        <v>19</v>
      </c>
    </row>
    <row r="60" spans="2:13" x14ac:dyDescent="0.2">
      <c r="C60" s="7"/>
      <c r="E60" s="11">
        <v>3</v>
      </c>
      <c r="F60" s="9" t="s">
        <v>156</v>
      </c>
      <c r="G60" s="17" t="s">
        <v>20</v>
      </c>
    </row>
    <row r="61" spans="2:13" ht="5.0999999999999996" customHeight="1" thickBot="1" x14ac:dyDescent="0.25">
      <c r="G61" s="19"/>
      <c r="H61" s="4"/>
    </row>
    <row r="62" spans="2:13" ht="12" thickBot="1" x14ac:dyDescent="0.25">
      <c r="C62" s="61">
        <f t="shared" ref="C62" si="5">B56</f>
        <v>7</v>
      </c>
      <c r="D62" s="6" t="s">
        <v>220</v>
      </c>
      <c r="E62" s="6"/>
      <c r="F62" s="6"/>
      <c r="G62" s="6"/>
      <c r="H62" s="6"/>
      <c r="I62" s="62">
        <v>2</v>
      </c>
    </row>
    <row r="63" spans="2:13" x14ac:dyDescent="0.2">
      <c r="G63" s="20"/>
      <c r="H63" s="5"/>
    </row>
    <row r="64" spans="2:13" s="6" customFormat="1" x14ac:dyDescent="0.2">
      <c r="B64" s="6">
        <v>8</v>
      </c>
      <c r="C64" s="6" t="s">
        <v>90</v>
      </c>
      <c r="D64" s="6" t="s">
        <v>98</v>
      </c>
      <c r="E64" s="10"/>
      <c r="F64" s="8"/>
      <c r="G64" s="18"/>
      <c r="I64" s="37"/>
      <c r="L64" s="8"/>
      <c r="M64" s="8"/>
    </row>
    <row r="65" spans="2:13" ht="5.0999999999999996" customHeight="1" x14ac:dyDescent="0.2"/>
    <row r="66" spans="2:13" x14ac:dyDescent="0.2">
      <c r="C66" s="7"/>
      <c r="E66" s="11">
        <v>1</v>
      </c>
      <c r="F66" s="9" t="s">
        <v>156</v>
      </c>
      <c r="G66" s="17" t="s">
        <v>21</v>
      </c>
    </row>
    <row r="67" spans="2:13" x14ac:dyDescent="0.2">
      <c r="C67" s="7"/>
      <c r="E67" s="11">
        <v>2</v>
      </c>
      <c r="F67" s="9" t="s">
        <v>156</v>
      </c>
      <c r="G67" s="17" t="s">
        <v>22</v>
      </c>
    </row>
    <row r="68" spans="2:13" x14ac:dyDescent="0.2">
      <c r="C68" s="7"/>
      <c r="E68" s="11">
        <v>3</v>
      </c>
      <c r="F68" s="9" t="s">
        <v>156</v>
      </c>
      <c r="G68" s="17" t="s">
        <v>23</v>
      </c>
    </row>
    <row r="69" spans="2:13" ht="5.0999999999999996" customHeight="1" thickBot="1" x14ac:dyDescent="0.25">
      <c r="G69" s="19"/>
      <c r="H69" s="4"/>
    </row>
    <row r="70" spans="2:13" ht="12" thickBot="1" x14ac:dyDescent="0.25">
      <c r="C70" s="61">
        <f t="shared" ref="C70" si="6">B64</f>
        <v>8</v>
      </c>
      <c r="D70" s="6" t="s">
        <v>220</v>
      </c>
      <c r="E70" s="6"/>
      <c r="F70" s="6"/>
      <c r="G70" s="6"/>
      <c r="H70" s="6"/>
      <c r="I70" s="62">
        <v>2</v>
      </c>
    </row>
    <row r="71" spans="2:13" x14ac:dyDescent="0.2">
      <c r="G71" s="20"/>
      <c r="H71" s="5"/>
    </row>
    <row r="72" spans="2:13" s="6" customFormat="1" x14ac:dyDescent="0.2">
      <c r="B72" s="6">
        <v>9</v>
      </c>
      <c r="C72" s="6" t="s">
        <v>90</v>
      </c>
      <c r="D72" s="6" t="s">
        <v>99</v>
      </c>
      <c r="E72" s="10"/>
      <c r="F72" s="8"/>
      <c r="G72" s="18"/>
      <c r="I72" s="37"/>
      <c r="L72" s="8"/>
      <c r="M72" s="8"/>
    </row>
    <row r="73" spans="2:13" ht="5.0999999999999996" customHeight="1" x14ac:dyDescent="0.2"/>
    <row r="74" spans="2:13" x14ac:dyDescent="0.2">
      <c r="C74" s="7"/>
      <c r="E74" s="11">
        <v>1</v>
      </c>
      <c r="F74" s="9" t="s">
        <v>156</v>
      </c>
      <c r="G74" s="17" t="s">
        <v>24</v>
      </c>
    </row>
    <row r="75" spans="2:13" x14ac:dyDescent="0.2">
      <c r="C75" s="7"/>
      <c r="E75" s="11">
        <v>2</v>
      </c>
      <c r="F75" s="9" t="s">
        <v>156</v>
      </c>
      <c r="G75" s="17" t="s">
        <v>25</v>
      </c>
    </row>
    <row r="76" spans="2:13" x14ac:dyDescent="0.2">
      <c r="C76" s="7"/>
      <c r="E76" s="11">
        <v>3</v>
      </c>
      <c r="F76" s="9" t="s">
        <v>156</v>
      </c>
      <c r="G76" s="17" t="s">
        <v>26</v>
      </c>
    </row>
    <row r="77" spans="2:13" ht="5.0999999999999996" customHeight="1" thickBot="1" x14ac:dyDescent="0.25">
      <c r="G77" s="19"/>
      <c r="H77" s="4"/>
    </row>
    <row r="78" spans="2:13" ht="12" thickBot="1" x14ac:dyDescent="0.25">
      <c r="C78" s="61">
        <f t="shared" ref="C78" si="7">B72</f>
        <v>9</v>
      </c>
      <c r="D78" s="6" t="s">
        <v>220</v>
      </c>
      <c r="E78" s="6"/>
      <c r="F78" s="6"/>
      <c r="G78" s="6"/>
      <c r="H78" s="6"/>
      <c r="I78" s="62">
        <v>3</v>
      </c>
    </row>
    <row r="79" spans="2:13" x14ac:dyDescent="0.2">
      <c r="G79" s="20"/>
      <c r="H79" s="5"/>
    </row>
    <row r="80" spans="2:13" s="6" customFormat="1" x14ac:dyDescent="0.2">
      <c r="B80" s="6">
        <v>10</v>
      </c>
      <c r="C80" s="6" t="s">
        <v>90</v>
      </c>
      <c r="D80" s="6" t="s">
        <v>100</v>
      </c>
      <c r="E80" s="10"/>
      <c r="F80" s="8"/>
      <c r="G80" s="18"/>
      <c r="I80" s="37"/>
      <c r="L80" s="8"/>
      <c r="M80" s="8"/>
    </row>
    <row r="81" spans="2:13" ht="5.0999999999999996" customHeight="1" x14ac:dyDescent="0.2"/>
    <row r="82" spans="2:13" x14ac:dyDescent="0.2">
      <c r="C82" s="7"/>
      <c r="E82" s="11">
        <v>1</v>
      </c>
      <c r="F82" s="9" t="s">
        <v>156</v>
      </c>
      <c r="G82" s="17" t="s">
        <v>27</v>
      </c>
    </row>
    <row r="83" spans="2:13" x14ac:dyDescent="0.2">
      <c r="C83" s="7"/>
      <c r="E83" s="11">
        <v>2</v>
      </c>
      <c r="F83" s="9" t="s">
        <v>156</v>
      </c>
      <c r="G83" s="17" t="s">
        <v>28</v>
      </c>
    </row>
    <row r="84" spans="2:13" x14ac:dyDescent="0.2">
      <c r="C84" s="7"/>
      <c r="E84" s="11">
        <v>3</v>
      </c>
      <c r="F84" s="9" t="s">
        <v>156</v>
      </c>
      <c r="G84" s="17" t="s">
        <v>29</v>
      </c>
    </row>
    <row r="85" spans="2:13" ht="5.0999999999999996" customHeight="1" thickBot="1" x14ac:dyDescent="0.25">
      <c r="G85" s="19"/>
      <c r="H85" s="4"/>
    </row>
    <row r="86" spans="2:13" ht="12" thickBot="1" x14ac:dyDescent="0.25">
      <c r="C86" s="61">
        <f t="shared" ref="C86" si="8">B80</f>
        <v>10</v>
      </c>
      <c r="D86" s="6" t="s">
        <v>220</v>
      </c>
      <c r="E86" s="6"/>
      <c r="F86" s="6"/>
      <c r="G86" s="6"/>
      <c r="H86" s="6"/>
      <c r="I86" s="62">
        <v>3</v>
      </c>
    </row>
    <row r="87" spans="2:13" x14ac:dyDescent="0.2">
      <c r="G87" s="20"/>
      <c r="H87" s="5"/>
    </row>
    <row r="88" spans="2:13" s="6" customFormat="1" x14ac:dyDescent="0.2">
      <c r="B88" s="6">
        <v>11</v>
      </c>
      <c r="C88" s="6" t="s">
        <v>90</v>
      </c>
      <c r="D88" s="6" t="s">
        <v>101</v>
      </c>
      <c r="E88" s="10"/>
      <c r="F88" s="8"/>
      <c r="G88" s="18"/>
      <c r="I88" s="37"/>
      <c r="L88" s="8"/>
      <c r="M88" s="8"/>
    </row>
    <row r="89" spans="2:13" ht="5.0999999999999996" customHeight="1" x14ac:dyDescent="0.2"/>
    <row r="90" spans="2:13" x14ac:dyDescent="0.2">
      <c r="C90" s="7"/>
      <c r="E90" s="11">
        <v>1</v>
      </c>
      <c r="F90" s="9" t="s">
        <v>156</v>
      </c>
      <c r="G90" s="17" t="s">
        <v>30</v>
      </c>
    </row>
    <row r="91" spans="2:13" x14ac:dyDescent="0.2">
      <c r="C91" s="7"/>
      <c r="E91" s="11">
        <v>2</v>
      </c>
      <c r="F91" s="9" t="s">
        <v>156</v>
      </c>
      <c r="G91" s="17" t="s">
        <v>31</v>
      </c>
    </row>
    <row r="92" spans="2:13" x14ac:dyDescent="0.2">
      <c r="C92" s="7"/>
      <c r="E92" s="11">
        <v>3</v>
      </c>
      <c r="F92" s="9" t="s">
        <v>156</v>
      </c>
      <c r="G92" s="17" t="s">
        <v>32</v>
      </c>
    </row>
    <row r="93" spans="2:13" ht="5.0999999999999996" customHeight="1" thickBot="1" x14ac:dyDescent="0.25">
      <c r="G93" s="19"/>
      <c r="H93" s="4"/>
    </row>
    <row r="94" spans="2:13" ht="12" thickBot="1" x14ac:dyDescent="0.25">
      <c r="C94" s="61">
        <f t="shared" ref="C94" si="9">B88</f>
        <v>11</v>
      </c>
      <c r="D94" s="6" t="s">
        <v>220</v>
      </c>
      <c r="E94" s="6"/>
      <c r="F94" s="6"/>
      <c r="G94" s="6"/>
      <c r="H94" s="6"/>
      <c r="I94" s="62">
        <v>3</v>
      </c>
    </row>
    <row r="95" spans="2:13" x14ac:dyDescent="0.2">
      <c r="G95" s="20"/>
      <c r="H95" s="5"/>
    </row>
    <row r="96" spans="2:13" s="6" customFormat="1" x14ac:dyDescent="0.2">
      <c r="B96" s="6">
        <v>12</v>
      </c>
      <c r="C96" s="6" t="s">
        <v>90</v>
      </c>
      <c r="D96" s="6" t="s">
        <v>102</v>
      </c>
      <c r="E96" s="10"/>
      <c r="F96" s="8"/>
      <c r="G96" s="18"/>
      <c r="I96" s="37"/>
      <c r="L96" s="8"/>
      <c r="M96" s="8"/>
    </row>
    <row r="97" spans="2:13" ht="5.0999999999999996" customHeight="1" x14ac:dyDescent="0.2"/>
    <row r="98" spans="2:13" x14ac:dyDescent="0.2">
      <c r="C98" s="7"/>
      <c r="E98" s="11">
        <v>1</v>
      </c>
      <c r="F98" s="9" t="s">
        <v>156</v>
      </c>
      <c r="G98" s="17" t="s">
        <v>33</v>
      </c>
    </row>
    <row r="99" spans="2:13" x14ac:dyDescent="0.2">
      <c r="C99" s="7"/>
      <c r="E99" s="11">
        <v>2</v>
      </c>
      <c r="F99" s="9" t="s">
        <v>156</v>
      </c>
      <c r="G99" s="17" t="s">
        <v>34</v>
      </c>
    </row>
    <row r="100" spans="2:13" x14ac:dyDescent="0.2">
      <c r="C100" s="7"/>
      <c r="E100" s="11">
        <v>3</v>
      </c>
      <c r="F100" s="9" t="s">
        <v>156</v>
      </c>
      <c r="G100" s="17" t="s">
        <v>35</v>
      </c>
    </row>
    <row r="101" spans="2:13" ht="5.0999999999999996" customHeight="1" thickBot="1" x14ac:dyDescent="0.25">
      <c r="G101" s="19"/>
      <c r="H101" s="4"/>
    </row>
    <row r="102" spans="2:13" ht="12" thickBot="1" x14ac:dyDescent="0.25">
      <c r="C102" s="61">
        <f t="shared" ref="C102" si="10">B96</f>
        <v>12</v>
      </c>
      <c r="D102" s="6" t="s">
        <v>220</v>
      </c>
      <c r="E102" s="6"/>
      <c r="F102" s="6"/>
      <c r="G102" s="6"/>
      <c r="H102" s="6"/>
      <c r="I102" s="62">
        <v>1</v>
      </c>
    </row>
    <row r="103" spans="2:13" x14ac:dyDescent="0.2">
      <c r="G103" s="20"/>
      <c r="H103" s="5"/>
    </row>
    <row r="104" spans="2:13" s="6" customFormat="1" x14ac:dyDescent="0.2">
      <c r="B104" s="6">
        <v>13</v>
      </c>
      <c r="C104" s="6" t="s">
        <v>90</v>
      </c>
      <c r="D104" s="6" t="s">
        <v>103</v>
      </c>
      <c r="E104" s="10"/>
      <c r="F104" s="8"/>
      <c r="G104" s="18"/>
      <c r="I104" s="37"/>
      <c r="L104" s="8"/>
      <c r="M104" s="8"/>
    </row>
    <row r="105" spans="2:13" ht="5.0999999999999996" customHeight="1" x14ac:dyDescent="0.2"/>
    <row r="106" spans="2:13" x14ac:dyDescent="0.2">
      <c r="C106" s="7"/>
      <c r="E106" s="11">
        <v>1</v>
      </c>
      <c r="F106" s="9" t="s">
        <v>156</v>
      </c>
      <c r="G106" s="17" t="s">
        <v>36</v>
      </c>
    </row>
    <row r="107" spans="2:13" x14ac:dyDescent="0.2">
      <c r="C107" s="7"/>
      <c r="E107" s="11">
        <v>2</v>
      </c>
      <c r="F107" s="9" t="s">
        <v>156</v>
      </c>
      <c r="G107" s="17" t="s">
        <v>37</v>
      </c>
    </row>
    <row r="108" spans="2:13" x14ac:dyDescent="0.2">
      <c r="C108" s="7"/>
      <c r="E108" s="11">
        <v>3</v>
      </c>
      <c r="F108" s="9" t="s">
        <v>156</v>
      </c>
      <c r="G108" s="17" t="s">
        <v>38</v>
      </c>
    </row>
    <row r="109" spans="2:13" ht="5.0999999999999996" customHeight="1" thickBot="1" x14ac:dyDescent="0.25">
      <c r="G109" s="19"/>
      <c r="H109" s="4"/>
    </row>
    <row r="110" spans="2:13" ht="12" thickBot="1" x14ac:dyDescent="0.25">
      <c r="C110" s="61">
        <f t="shared" ref="C110" si="11">B104</f>
        <v>13</v>
      </c>
      <c r="D110" s="6" t="s">
        <v>220</v>
      </c>
      <c r="E110" s="6"/>
      <c r="F110" s="6"/>
      <c r="G110" s="6"/>
      <c r="H110" s="6"/>
      <c r="I110" s="62">
        <v>3</v>
      </c>
    </row>
    <row r="111" spans="2:13" x14ac:dyDescent="0.2">
      <c r="G111" s="20"/>
      <c r="H111" s="5"/>
    </row>
    <row r="112" spans="2:13" s="6" customFormat="1" x14ac:dyDescent="0.2">
      <c r="B112" s="6">
        <v>14</v>
      </c>
      <c r="C112" s="6" t="s">
        <v>90</v>
      </c>
      <c r="D112" s="6" t="s">
        <v>104</v>
      </c>
      <c r="E112" s="10"/>
      <c r="F112" s="8"/>
      <c r="G112" s="18"/>
      <c r="I112" s="37"/>
      <c r="L112" s="8"/>
      <c r="M112" s="8"/>
    </row>
    <row r="113" spans="2:13" ht="5.0999999999999996" customHeight="1" x14ac:dyDescent="0.2"/>
    <row r="114" spans="2:13" x14ac:dyDescent="0.2">
      <c r="C114" s="7"/>
      <c r="E114" s="11">
        <v>1</v>
      </c>
      <c r="F114" s="9" t="s">
        <v>156</v>
      </c>
      <c r="G114" s="17" t="s">
        <v>39</v>
      </c>
    </row>
    <row r="115" spans="2:13" x14ac:dyDescent="0.2">
      <c r="C115" s="7"/>
      <c r="E115" s="11">
        <v>2</v>
      </c>
      <c r="F115" s="9" t="s">
        <v>156</v>
      </c>
      <c r="G115" s="17" t="s">
        <v>40</v>
      </c>
    </row>
    <row r="116" spans="2:13" x14ac:dyDescent="0.2">
      <c r="C116" s="7"/>
      <c r="E116" s="11">
        <v>3</v>
      </c>
      <c r="F116" s="9" t="s">
        <v>156</v>
      </c>
      <c r="G116" s="17" t="s">
        <v>41</v>
      </c>
    </row>
    <row r="117" spans="2:13" ht="5.0999999999999996" customHeight="1" thickBot="1" x14ac:dyDescent="0.25">
      <c r="G117" s="19"/>
      <c r="H117" s="4"/>
    </row>
    <row r="118" spans="2:13" ht="12" thickBot="1" x14ac:dyDescent="0.25">
      <c r="C118" s="61">
        <f t="shared" ref="C118" si="12">B112</f>
        <v>14</v>
      </c>
      <c r="D118" s="6" t="s">
        <v>220</v>
      </c>
      <c r="E118" s="6"/>
      <c r="F118" s="6"/>
      <c r="G118" s="6"/>
      <c r="H118" s="6"/>
      <c r="I118" s="62">
        <v>2</v>
      </c>
    </row>
    <row r="119" spans="2:13" x14ac:dyDescent="0.2">
      <c r="G119" s="20"/>
      <c r="H119" s="5"/>
    </row>
    <row r="120" spans="2:13" s="6" customFormat="1" x14ac:dyDescent="0.2">
      <c r="B120" s="6">
        <v>15</v>
      </c>
      <c r="C120" s="6" t="s">
        <v>90</v>
      </c>
      <c r="D120" s="6" t="s">
        <v>105</v>
      </c>
      <c r="E120" s="10"/>
      <c r="F120" s="8"/>
      <c r="G120" s="18"/>
      <c r="I120" s="37"/>
      <c r="L120" s="8"/>
      <c r="M120" s="8"/>
    </row>
    <row r="121" spans="2:13" ht="5.0999999999999996" customHeight="1" x14ac:dyDescent="0.2"/>
    <row r="122" spans="2:13" x14ac:dyDescent="0.2">
      <c r="C122" s="7"/>
      <c r="E122" s="11">
        <v>1</v>
      </c>
      <c r="F122" s="9" t="s">
        <v>156</v>
      </c>
      <c r="G122" s="17" t="s">
        <v>42</v>
      </c>
    </row>
    <row r="123" spans="2:13" x14ac:dyDescent="0.2">
      <c r="C123" s="7"/>
      <c r="E123" s="11">
        <v>2</v>
      </c>
      <c r="F123" s="9" t="s">
        <v>156</v>
      </c>
      <c r="G123" s="17" t="s">
        <v>43</v>
      </c>
    </row>
    <row r="124" spans="2:13" x14ac:dyDescent="0.2">
      <c r="C124" s="7"/>
      <c r="E124" s="11">
        <v>3</v>
      </c>
      <c r="F124" s="9" t="s">
        <v>156</v>
      </c>
      <c r="G124" s="17" t="s">
        <v>44</v>
      </c>
    </row>
    <row r="125" spans="2:13" ht="5.0999999999999996" customHeight="1" thickBot="1" x14ac:dyDescent="0.25">
      <c r="G125" s="19"/>
      <c r="H125" s="4"/>
    </row>
    <row r="126" spans="2:13" ht="12" thickBot="1" x14ac:dyDescent="0.25">
      <c r="C126" s="61">
        <f t="shared" ref="C126" si="13">B120</f>
        <v>15</v>
      </c>
      <c r="D126" s="6" t="s">
        <v>220</v>
      </c>
      <c r="E126" s="6"/>
      <c r="F126" s="6"/>
      <c r="G126" s="6"/>
      <c r="H126" s="6"/>
      <c r="I126" s="62">
        <v>2</v>
      </c>
    </row>
    <row r="127" spans="2:13" x14ac:dyDescent="0.2">
      <c r="G127" s="20"/>
      <c r="H127" s="5"/>
    </row>
    <row r="128" spans="2:13" s="6" customFormat="1" x14ac:dyDescent="0.2">
      <c r="B128" s="6">
        <v>16</v>
      </c>
      <c r="C128" s="6" t="s">
        <v>90</v>
      </c>
      <c r="D128" s="6" t="s">
        <v>106</v>
      </c>
      <c r="E128" s="10"/>
      <c r="F128" s="8"/>
      <c r="G128" s="18"/>
      <c r="I128" s="37"/>
      <c r="L128" s="8"/>
      <c r="M128" s="8"/>
    </row>
    <row r="129" spans="2:13" ht="5.0999999999999996" customHeight="1" x14ac:dyDescent="0.2"/>
    <row r="130" spans="2:13" x14ac:dyDescent="0.2">
      <c r="C130" s="7"/>
      <c r="E130" s="11">
        <v>1</v>
      </c>
      <c r="F130" s="9" t="s">
        <v>156</v>
      </c>
      <c r="G130" s="17" t="s">
        <v>45</v>
      </c>
    </row>
    <row r="131" spans="2:13" x14ac:dyDescent="0.2">
      <c r="C131" s="7"/>
      <c r="E131" s="11">
        <v>2</v>
      </c>
      <c r="F131" s="9" t="s">
        <v>156</v>
      </c>
      <c r="G131" s="17" t="s">
        <v>46</v>
      </c>
    </row>
    <row r="132" spans="2:13" x14ac:dyDescent="0.2">
      <c r="C132" s="7"/>
      <c r="E132" s="11">
        <v>3</v>
      </c>
      <c r="F132" s="9" t="s">
        <v>156</v>
      </c>
      <c r="G132" s="17" t="s">
        <v>47</v>
      </c>
    </row>
    <row r="133" spans="2:13" ht="5.0999999999999996" customHeight="1" thickBot="1" x14ac:dyDescent="0.25">
      <c r="G133" s="19"/>
      <c r="H133" s="4"/>
    </row>
    <row r="134" spans="2:13" ht="12" thickBot="1" x14ac:dyDescent="0.25">
      <c r="C134" s="61">
        <f t="shared" ref="C134" si="14">B128</f>
        <v>16</v>
      </c>
      <c r="D134" s="6" t="s">
        <v>220</v>
      </c>
      <c r="E134" s="6"/>
      <c r="F134" s="6"/>
      <c r="G134" s="6"/>
      <c r="H134" s="6"/>
      <c r="I134" s="62">
        <v>2</v>
      </c>
    </row>
    <row r="135" spans="2:13" x14ac:dyDescent="0.2">
      <c r="G135" s="20"/>
      <c r="H135" s="5"/>
    </row>
    <row r="136" spans="2:13" s="6" customFormat="1" x14ac:dyDescent="0.2">
      <c r="B136" s="6">
        <v>17</v>
      </c>
      <c r="C136" s="6" t="s">
        <v>90</v>
      </c>
      <c r="D136" s="6" t="s">
        <v>107</v>
      </c>
      <c r="E136" s="10"/>
      <c r="F136" s="8"/>
      <c r="G136" s="18"/>
      <c r="I136" s="37"/>
      <c r="L136" s="8"/>
      <c r="M136" s="8"/>
    </row>
    <row r="137" spans="2:13" ht="5.0999999999999996" customHeight="1" x14ac:dyDescent="0.2"/>
    <row r="138" spans="2:13" x14ac:dyDescent="0.2">
      <c r="C138" s="7"/>
      <c r="E138" s="11">
        <v>1</v>
      </c>
      <c r="F138" s="9" t="s">
        <v>156</v>
      </c>
      <c r="G138" s="17" t="s">
        <v>48</v>
      </c>
    </row>
    <row r="139" spans="2:13" x14ac:dyDescent="0.2">
      <c r="C139" s="7"/>
      <c r="E139" s="11">
        <v>2</v>
      </c>
      <c r="F139" s="9" t="s">
        <v>156</v>
      </c>
      <c r="G139" s="17" t="s">
        <v>49</v>
      </c>
    </row>
    <row r="140" spans="2:13" x14ac:dyDescent="0.2">
      <c r="C140" s="7"/>
      <c r="E140" s="11">
        <v>3</v>
      </c>
      <c r="F140" s="9" t="s">
        <v>156</v>
      </c>
      <c r="G140" s="17" t="s">
        <v>50</v>
      </c>
    </row>
    <row r="141" spans="2:13" ht="5.0999999999999996" customHeight="1" thickBot="1" x14ac:dyDescent="0.25">
      <c r="G141" s="19"/>
      <c r="H141" s="4"/>
    </row>
    <row r="142" spans="2:13" ht="12" thickBot="1" x14ac:dyDescent="0.25">
      <c r="C142" s="61">
        <f t="shared" ref="C142" si="15">B136</f>
        <v>17</v>
      </c>
      <c r="D142" s="6" t="s">
        <v>220</v>
      </c>
      <c r="E142" s="6"/>
      <c r="F142" s="6"/>
      <c r="G142" s="6"/>
      <c r="H142" s="6"/>
      <c r="I142" s="62">
        <v>2</v>
      </c>
    </row>
    <row r="143" spans="2:13" x14ac:dyDescent="0.2">
      <c r="G143" s="20"/>
      <c r="H143" s="5"/>
    </row>
    <row r="144" spans="2:13" s="6" customFormat="1" x14ac:dyDescent="0.2">
      <c r="B144" s="6">
        <v>18</v>
      </c>
      <c r="C144" s="6" t="s">
        <v>90</v>
      </c>
      <c r="D144" s="6" t="s">
        <v>108</v>
      </c>
      <c r="E144" s="10"/>
      <c r="F144" s="8"/>
      <c r="G144" s="18"/>
      <c r="I144" s="37"/>
      <c r="L144" s="8"/>
      <c r="M144" s="8"/>
    </row>
    <row r="145" spans="2:13" ht="5.0999999999999996" customHeight="1" x14ac:dyDescent="0.2"/>
    <row r="146" spans="2:13" x14ac:dyDescent="0.2">
      <c r="C146" s="7"/>
      <c r="E146" s="11">
        <v>1</v>
      </c>
      <c r="F146" s="9" t="s">
        <v>156</v>
      </c>
      <c r="G146" s="17" t="s">
        <v>51</v>
      </c>
    </row>
    <row r="147" spans="2:13" x14ac:dyDescent="0.2">
      <c r="C147" s="7"/>
      <c r="E147" s="11">
        <v>2</v>
      </c>
      <c r="F147" s="9" t="s">
        <v>156</v>
      </c>
      <c r="G147" s="17" t="s">
        <v>52</v>
      </c>
    </row>
    <row r="148" spans="2:13" x14ac:dyDescent="0.2">
      <c r="C148" s="7"/>
      <c r="E148" s="11">
        <v>3</v>
      </c>
      <c r="F148" s="9" t="s">
        <v>156</v>
      </c>
      <c r="G148" s="17" t="s">
        <v>53</v>
      </c>
    </row>
    <row r="149" spans="2:13" ht="5.0999999999999996" customHeight="1" thickBot="1" x14ac:dyDescent="0.25">
      <c r="G149" s="19"/>
      <c r="H149" s="4"/>
    </row>
    <row r="150" spans="2:13" ht="12" thickBot="1" x14ac:dyDescent="0.25">
      <c r="C150" s="61">
        <f t="shared" ref="C150" si="16">B144</f>
        <v>18</v>
      </c>
      <c r="D150" s="6" t="s">
        <v>220</v>
      </c>
      <c r="E150" s="6"/>
      <c r="F150" s="6"/>
      <c r="G150" s="6"/>
      <c r="H150" s="6"/>
      <c r="I150" s="62">
        <v>3</v>
      </c>
    </row>
    <row r="151" spans="2:13" x14ac:dyDescent="0.2">
      <c r="G151" s="20"/>
      <c r="H151" s="5"/>
    </row>
    <row r="152" spans="2:13" s="6" customFormat="1" x14ac:dyDescent="0.2">
      <c r="B152" s="6">
        <v>19</v>
      </c>
      <c r="C152" s="6" t="s">
        <v>90</v>
      </c>
      <c r="D152" s="6" t="s">
        <v>109</v>
      </c>
      <c r="E152" s="10"/>
      <c r="F152" s="8"/>
      <c r="G152" s="18"/>
      <c r="I152" s="37"/>
      <c r="L152" s="8"/>
      <c r="M152" s="8"/>
    </row>
    <row r="153" spans="2:13" ht="5.0999999999999996" customHeight="1" x14ac:dyDescent="0.2"/>
    <row r="154" spans="2:13" x14ac:dyDescent="0.2">
      <c r="C154" s="7"/>
      <c r="E154" s="11">
        <v>1</v>
      </c>
      <c r="F154" s="9" t="s">
        <v>156</v>
      </c>
      <c r="G154" s="17" t="s">
        <v>54</v>
      </c>
    </row>
    <row r="155" spans="2:13" x14ac:dyDescent="0.2">
      <c r="C155" s="7"/>
      <c r="E155" s="11">
        <v>2</v>
      </c>
      <c r="F155" s="9" t="s">
        <v>156</v>
      </c>
      <c r="G155" s="17" t="s">
        <v>55</v>
      </c>
    </row>
    <row r="156" spans="2:13" x14ac:dyDescent="0.2">
      <c r="C156" s="7"/>
      <c r="E156" s="11">
        <v>3</v>
      </c>
      <c r="F156" s="9" t="s">
        <v>156</v>
      </c>
      <c r="G156" s="17" t="s">
        <v>56</v>
      </c>
    </row>
    <row r="157" spans="2:13" ht="5.0999999999999996" customHeight="1" thickBot="1" x14ac:dyDescent="0.25">
      <c r="G157" s="19"/>
      <c r="H157" s="4"/>
    </row>
    <row r="158" spans="2:13" ht="12" thickBot="1" x14ac:dyDescent="0.25">
      <c r="C158" s="61">
        <f t="shared" ref="C158" si="17">B152</f>
        <v>19</v>
      </c>
      <c r="D158" s="6" t="s">
        <v>220</v>
      </c>
      <c r="E158" s="6"/>
      <c r="F158" s="6"/>
      <c r="G158" s="6"/>
      <c r="H158" s="6"/>
      <c r="I158" s="62">
        <v>1</v>
      </c>
    </row>
    <row r="159" spans="2:13" x14ac:dyDescent="0.2">
      <c r="G159" s="20"/>
      <c r="H159" s="5"/>
    </row>
    <row r="160" spans="2:13" s="6" customFormat="1" x14ac:dyDescent="0.2">
      <c r="B160" s="6">
        <v>20</v>
      </c>
      <c r="C160" s="6" t="s">
        <v>90</v>
      </c>
      <c r="D160" s="6" t="s">
        <v>110</v>
      </c>
      <c r="E160" s="10"/>
      <c r="F160" s="8"/>
      <c r="G160" s="18"/>
      <c r="I160" s="37"/>
      <c r="L160" s="8"/>
      <c r="M160" s="8"/>
    </row>
    <row r="161" spans="2:13" ht="5.0999999999999996" customHeight="1" x14ac:dyDescent="0.2"/>
    <row r="162" spans="2:13" x14ac:dyDescent="0.2">
      <c r="C162" s="7"/>
      <c r="E162" s="11">
        <v>1</v>
      </c>
      <c r="F162" s="9" t="s">
        <v>156</v>
      </c>
      <c r="G162" s="17" t="s">
        <v>57</v>
      </c>
    </row>
    <row r="163" spans="2:13" x14ac:dyDescent="0.2">
      <c r="C163" s="7"/>
      <c r="E163" s="11">
        <v>2</v>
      </c>
      <c r="F163" s="9" t="s">
        <v>156</v>
      </c>
      <c r="G163" s="17" t="s">
        <v>58</v>
      </c>
    </row>
    <row r="164" spans="2:13" x14ac:dyDescent="0.2">
      <c r="C164" s="7"/>
      <c r="E164" s="11">
        <v>3</v>
      </c>
      <c r="F164" s="9" t="s">
        <v>156</v>
      </c>
      <c r="G164" s="17" t="s">
        <v>59</v>
      </c>
    </row>
    <row r="165" spans="2:13" ht="5.0999999999999996" customHeight="1" thickBot="1" x14ac:dyDescent="0.25">
      <c r="G165" s="19"/>
      <c r="H165" s="4"/>
    </row>
    <row r="166" spans="2:13" ht="12" thickBot="1" x14ac:dyDescent="0.25">
      <c r="C166" s="61">
        <f t="shared" ref="C166" si="18">B160</f>
        <v>20</v>
      </c>
      <c r="D166" s="6" t="s">
        <v>220</v>
      </c>
      <c r="E166" s="6"/>
      <c r="F166" s="6"/>
      <c r="G166" s="6"/>
      <c r="H166" s="6"/>
      <c r="I166" s="62">
        <v>3</v>
      </c>
    </row>
    <row r="167" spans="2:13" x14ac:dyDescent="0.2">
      <c r="G167" s="20"/>
      <c r="H167" s="5"/>
    </row>
    <row r="168" spans="2:13" s="6" customFormat="1" x14ac:dyDescent="0.2">
      <c r="B168" s="6">
        <v>21</v>
      </c>
      <c r="C168" s="6" t="s">
        <v>90</v>
      </c>
      <c r="D168" s="6" t="s">
        <v>111</v>
      </c>
      <c r="E168" s="10"/>
      <c r="F168" s="8"/>
      <c r="G168" s="18"/>
      <c r="I168" s="37"/>
      <c r="L168" s="8"/>
      <c r="M168" s="8"/>
    </row>
    <row r="169" spans="2:13" ht="5.0999999999999996" customHeight="1" x14ac:dyDescent="0.2"/>
    <row r="170" spans="2:13" x14ac:dyDescent="0.2">
      <c r="C170" s="7"/>
      <c r="E170" s="11">
        <v>1</v>
      </c>
      <c r="F170" s="9" t="s">
        <v>156</v>
      </c>
      <c r="G170" s="17" t="s">
        <v>60</v>
      </c>
    </row>
    <row r="171" spans="2:13" x14ac:dyDescent="0.2">
      <c r="C171" s="7"/>
      <c r="E171" s="11">
        <v>2</v>
      </c>
      <c r="F171" s="9" t="s">
        <v>156</v>
      </c>
      <c r="G171" s="17" t="s">
        <v>61</v>
      </c>
    </row>
    <row r="172" spans="2:13" x14ac:dyDescent="0.2">
      <c r="C172" s="7"/>
      <c r="E172" s="11">
        <v>3</v>
      </c>
      <c r="F172" s="9" t="s">
        <v>156</v>
      </c>
      <c r="G172" s="17" t="s">
        <v>62</v>
      </c>
    </row>
    <row r="173" spans="2:13" ht="5.0999999999999996" customHeight="1" thickBot="1" x14ac:dyDescent="0.25">
      <c r="G173" s="19"/>
      <c r="H173" s="4"/>
    </row>
    <row r="174" spans="2:13" ht="12" thickBot="1" x14ac:dyDescent="0.25">
      <c r="C174" s="61">
        <f t="shared" ref="C174" si="19">B168</f>
        <v>21</v>
      </c>
      <c r="D174" s="6" t="s">
        <v>220</v>
      </c>
      <c r="E174" s="6"/>
      <c r="F174" s="6"/>
      <c r="G174" s="6"/>
      <c r="H174" s="6"/>
      <c r="I174" s="62">
        <v>1</v>
      </c>
    </row>
    <row r="175" spans="2:13" x14ac:dyDescent="0.2">
      <c r="G175" s="20"/>
      <c r="H175" s="5"/>
    </row>
    <row r="176" spans="2:13" s="6" customFormat="1" x14ac:dyDescent="0.2">
      <c r="B176" s="6">
        <v>22</v>
      </c>
      <c r="C176" s="6" t="s">
        <v>90</v>
      </c>
      <c r="D176" s="6" t="s">
        <v>112</v>
      </c>
      <c r="E176" s="10"/>
      <c r="F176" s="8"/>
      <c r="G176" s="18"/>
      <c r="I176" s="37"/>
      <c r="L176" s="8"/>
      <c r="M176" s="8"/>
    </row>
    <row r="177" spans="2:13" ht="5.0999999999999996" customHeight="1" x14ac:dyDescent="0.2"/>
    <row r="178" spans="2:13" x14ac:dyDescent="0.2">
      <c r="C178" s="7"/>
      <c r="E178" s="11">
        <v>1</v>
      </c>
      <c r="F178" s="9" t="s">
        <v>156</v>
      </c>
      <c r="G178" s="17" t="s">
        <v>63</v>
      </c>
    </row>
    <row r="179" spans="2:13" x14ac:dyDescent="0.2">
      <c r="C179" s="7"/>
      <c r="E179" s="11">
        <v>2</v>
      </c>
      <c r="F179" s="9" t="s">
        <v>156</v>
      </c>
      <c r="G179" s="17" t="s">
        <v>64</v>
      </c>
    </row>
    <row r="180" spans="2:13" x14ac:dyDescent="0.2">
      <c r="C180" s="7"/>
      <c r="E180" s="11">
        <v>3</v>
      </c>
      <c r="F180" s="9" t="s">
        <v>156</v>
      </c>
      <c r="G180" s="17" t="s">
        <v>65</v>
      </c>
    </row>
    <row r="181" spans="2:13" ht="5.0999999999999996" customHeight="1" thickBot="1" x14ac:dyDescent="0.25">
      <c r="G181" s="19"/>
      <c r="H181" s="4"/>
    </row>
    <row r="182" spans="2:13" ht="12" thickBot="1" x14ac:dyDescent="0.25">
      <c r="C182" s="61">
        <f t="shared" ref="C182" si="20">B176</f>
        <v>22</v>
      </c>
      <c r="D182" s="6" t="s">
        <v>220</v>
      </c>
      <c r="E182" s="6"/>
      <c r="F182" s="6"/>
      <c r="G182" s="6"/>
      <c r="H182" s="6"/>
      <c r="I182" s="62">
        <v>3</v>
      </c>
    </row>
    <row r="183" spans="2:13" x14ac:dyDescent="0.2">
      <c r="G183" s="20"/>
      <c r="H183" s="5"/>
    </row>
    <row r="184" spans="2:13" s="6" customFormat="1" x14ac:dyDescent="0.2">
      <c r="B184" s="6">
        <v>23</v>
      </c>
      <c r="C184" s="6" t="s">
        <v>90</v>
      </c>
      <c r="D184" s="6" t="s">
        <v>113</v>
      </c>
      <c r="E184" s="10"/>
      <c r="F184" s="8"/>
      <c r="G184" s="18"/>
      <c r="I184" s="37"/>
      <c r="L184" s="8"/>
      <c r="M184" s="8"/>
    </row>
    <row r="185" spans="2:13" ht="5.0999999999999996" customHeight="1" x14ac:dyDescent="0.2"/>
    <row r="186" spans="2:13" x14ac:dyDescent="0.2">
      <c r="C186" s="7"/>
      <c r="E186" s="11">
        <v>1</v>
      </c>
      <c r="F186" s="9" t="s">
        <v>156</v>
      </c>
      <c r="G186" s="17" t="s">
        <v>66</v>
      </c>
    </row>
    <row r="187" spans="2:13" x14ac:dyDescent="0.2">
      <c r="C187" s="7"/>
      <c r="E187" s="11">
        <v>2</v>
      </c>
      <c r="F187" s="9" t="s">
        <v>156</v>
      </c>
      <c r="G187" s="17" t="s">
        <v>67</v>
      </c>
    </row>
    <row r="188" spans="2:13" x14ac:dyDescent="0.2">
      <c r="C188" s="7"/>
      <c r="E188" s="11">
        <v>3</v>
      </c>
      <c r="F188" s="9" t="s">
        <v>156</v>
      </c>
      <c r="G188" s="17" t="s">
        <v>68</v>
      </c>
    </row>
    <row r="189" spans="2:13" ht="5.0999999999999996" customHeight="1" thickBot="1" x14ac:dyDescent="0.25">
      <c r="G189" s="19"/>
      <c r="H189" s="4"/>
    </row>
    <row r="190" spans="2:13" ht="12" thickBot="1" x14ac:dyDescent="0.25">
      <c r="C190" s="61">
        <f t="shared" ref="C190" si="21">B184</f>
        <v>23</v>
      </c>
      <c r="D190" s="6" t="s">
        <v>220</v>
      </c>
      <c r="E190" s="6"/>
      <c r="F190" s="6"/>
      <c r="G190" s="6"/>
      <c r="H190" s="6"/>
      <c r="I190" s="62">
        <v>1</v>
      </c>
    </row>
    <row r="191" spans="2:13" x14ac:dyDescent="0.2">
      <c r="G191" s="20"/>
      <c r="H191" s="5"/>
    </row>
    <row r="192" spans="2:13" s="6" customFormat="1" x14ac:dyDescent="0.2">
      <c r="B192" s="6">
        <v>24</v>
      </c>
      <c r="C192" s="6" t="s">
        <v>90</v>
      </c>
      <c r="D192" s="6" t="s">
        <v>114</v>
      </c>
      <c r="E192" s="10"/>
      <c r="F192" s="8"/>
      <c r="G192" s="18"/>
      <c r="I192" s="37"/>
      <c r="L192" s="8"/>
      <c r="M192" s="8"/>
    </row>
    <row r="193" spans="2:13" ht="5.0999999999999996" customHeight="1" x14ac:dyDescent="0.2"/>
    <row r="194" spans="2:13" x14ac:dyDescent="0.2">
      <c r="C194" s="7"/>
      <c r="E194" s="11">
        <v>1</v>
      </c>
      <c r="F194" s="9" t="s">
        <v>156</v>
      </c>
      <c r="G194" s="17" t="s">
        <v>69</v>
      </c>
    </row>
    <row r="195" spans="2:13" x14ac:dyDescent="0.2">
      <c r="C195" s="7"/>
      <c r="E195" s="11">
        <v>2</v>
      </c>
      <c r="F195" s="9" t="s">
        <v>156</v>
      </c>
      <c r="G195" s="17" t="s">
        <v>70</v>
      </c>
    </row>
    <row r="196" spans="2:13" x14ac:dyDescent="0.2">
      <c r="C196" s="7"/>
      <c r="E196" s="11">
        <v>3</v>
      </c>
      <c r="F196" s="9" t="s">
        <v>156</v>
      </c>
      <c r="G196" s="17" t="s">
        <v>71</v>
      </c>
    </row>
    <row r="197" spans="2:13" ht="5.0999999999999996" customHeight="1" thickBot="1" x14ac:dyDescent="0.25">
      <c r="G197" s="19"/>
      <c r="H197" s="4"/>
    </row>
    <row r="198" spans="2:13" ht="12" thickBot="1" x14ac:dyDescent="0.25">
      <c r="C198" s="61">
        <f t="shared" ref="C198" si="22">B192</f>
        <v>24</v>
      </c>
      <c r="D198" s="6" t="s">
        <v>220</v>
      </c>
      <c r="E198" s="6"/>
      <c r="F198" s="6"/>
      <c r="G198" s="6"/>
      <c r="H198" s="6"/>
      <c r="I198" s="62">
        <v>3</v>
      </c>
    </row>
    <row r="199" spans="2:13" x14ac:dyDescent="0.2">
      <c r="G199" s="20"/>
      <c r="H199" s="5"/>
    </row>
    <row r="200" spans="2:13" s="6" customFormat="1" x14ac:dyDescent="0.2">
      <c r="B200" s="6">
        <v>25</v>
      </c>
      <c r="C200" s="6" t="s">
        <v>90</v>
      </c>
      <c r="D200" s="6" t="s">
        <v>115</v>
      </c>
      <c r="E200" s="10"/>
      <c r="F200" s="8"/>
      <c r="G200" s="18"/>
      <c r="I200" s="37"/>
      <c r="L200" s="8"/>
      <c r="M200" s="8"/>
    </row>
    <row r="201" spans="2:13" ht="5.0999999999999996" customHeight="1" x14ac:dyDescent="0.2"/>
    <row r="202" spans="2:13" x14ac:dyDescent="0.2">
      <c r="C202" s="7"/>
      <c r="E202" s="11">
        <v>1</v>
      </c>
      <c r="F202" s="9" t="s">
        <v>156</v>
      </c>
      <c r="G202" s="17" t="s">
        <v>72</v>
      </c>
    </row>
    <row r="203" spans="2:13" x14ac:dyDescent="0.2">
      <c r="C203" s="7"/>
      <c r="E203" s="11">
        <v>2</v>
      </c>
      <c r="F203" s="9" t="s">
        <v>156</v>
      </c>
      <c r="G203" s="17" t="s">
        <v>73</v>
      </c>
    </row>
    <row r="204" spans="2:13" x14ac:dyDescent="0.2">
      <c r="C204" s="7"/>
      <c r="E204" s="11">
        <v>3</v>
      </c>
      <c r="F204" s="9" t="s">
        <v>156</v>
      </c>
      <c r="G204" s="17" t="s">
        <v>74</v>
      </c>
    </row>
    <row r="205" spans="2:13" ht="5.0999999999999996" customHeight="1" thickBot="1" x14ac:dyDescent="0.25">
      <c r="G205" s="19"/>
      <c r="H205" s="4"/>
    </row>
    <row r="206" spans="2:13" ht="12" thickBot="1" x14ac:dyDescent="0.25">
      <c r="C206" s="61">
        <f t="shared" ref="C206" si="23">B200</f>
        <v>25</v>
      </c>
      <c r="D206" s="6" t="s">
        <v>220</v>
      </c>
      <c r="E206" s="6"/>
      <c r="F206" s="6"/>
      <c r="G206" s="6"/>
      <c r="H206" s="6"/>
      <c r="I206" s="62">
        <v>1</v>
      </c>
    </row>
    <row r="207" spans="2:13" x14ac:dyDescent="0.2">
      <c r="G207" s="20"/>
      <c r="H207" s="5"/>
    </row>
    <row r="208" spans="2:13" s="6" customFormat="1" x14ac:dyDescent="0.2">
      <c r="B208" s="6">
        <v>26</v>
      </c>
      <c r="C208" s="6" t="s">
        <v>90</v>
      </c>
      <c r="D208" s="6" t="s">
        <v>116</v>
      </c>
      <c r="E208" s="10"/>
      <c r="F208" s="8"/>
      <c r="G208" s="18"/>
      <c r="I208" s="37"/>
      <c r="L208" s="8"/>
      <c r="M208" s="8"/>
    </row>
    <row r="209" spans="2:13" ht="5.0999999999999996" customHeight="1" x14ac:dyDescent="0.2"/>
    <row r="210" spans="2:13" x14ac:dyDescent="0.2">
      <c r="C210" s="7"/>
      <c r="E210" s="11">
        <v>1</v>
      </c>
      <c r="F210" s="9" t="s">
        <v>156</v>
      </c>
      <c r="G210" s="17" t="s">
        <v>75</v>
      </c>
    </row>
    <row r="211" spans="2:13" x14ac:dyDescent="0.2">
      <c r="C211" s="7"/>
      <c r="E211" s="11">
        <v>2</v>
      </c>
      <c r="F211" s="9" t="s">
        <v>156</v>
      </c>
      <c r="G211" s="17" t="s">
        <v>76</v>
      </c>
    </row>
    <row r="212" spans="2:13" x14ac:dyDescent="0.2">
      <c r="C212" s="7"/>
      <c r="E212" s="11">
        <v>3</v>
      </c>
      <c r="F212" s="9" t="s">
        <v>156</v>
      </c>
      <c r="G212" s="17" t="s">
        <v>77</v>
      </c>
    </row>
    <row r="213" spans="2:13" ht="5.0999999999999996" customHeight="1" thickBot="1" x14ac:dyDescent="0.25">
      <c r="G213" s="19"/>
      <c r="H213" s="4"/>
    </row>
    <row r="214" spans="2:13" ht="12" thickBot="1" x14ac:dyDescent="0.25">
      <c r="C214" s="61">
        <f t="shared" ref="C214" si="24">B208</f>
        <v>26</v>
      </c>
      <c r="D214" s="6" t="s">
        <v>220</v>
      </c>
      <c r="E214" s="6"/>
      <c r="F214" s="6"/>
      <c r="G214" s="6"/>
      <c r="H214" s="6"/>
      <c r="I214" s="62">
        <v>2</v>
      </c>
    </row>
    <row r="215" spans="2:13" x14ac:dyDescent="0.2">
      <c r="G215" s="20"/>
      <c r="H215" s="5"/>
    </row>
    <row r="216" spans="2:13" s="6" customFormat="1" x14ac:dyDescent="0.2">
      <c r="B216" s="6">
        <v>27</v>
      </c>
      <c r="C216" s="6" t="s">
        <v>90</v>
      </c>
      <c r="D216" s="6" t="s">
        <v>117</v>
      </c>
      <c r="E216" s="10"/>
      <c r="F216" s="8"/>
      <c r="G216" s="18"/>
      <c r="I216" s="37"/>
      <c r="L216" s="8"/>
      <c r="M216" s="8"/>
    </row>
    <row r="217" spans="2:13" ht="5.0999999999999996" customHeight="1" x14ac:dyDescent="0.2"/>
    <row r="218" spans="2:13" x14ac:dyDescent="0.2">
      <c r="C218" s="7"/>
      <c r="E218" s="11">
        <v>1</v>
      </c>
      <c r="F218" s="9" t="s">
        <v>156</v>
      </c>
      <c r="G218" s="17" t="s">
        <v>78</v>
      </c>
    </row>
    <row r="219" spans="2:13" x14ac:dyDescent="0.2">
      <c r="C219" s="7"/>
      <c r="E219" s="11">
        <v>2</v>
      </c>
      <c r="F219" s="9" t="s">
        <v>156</v>
      </c>
      <c r="G219" s="17" t="s">
        <v>79</v>
      </c>
    </row>
    <row r="220" spans="2:13" x14ac:dyDescent="0.2">
      <c r="C220" s="7"/>
      <c r="E220" s="11">
        <v>3</v>
      </c>
      <c r="F220" s="9" t="s">
        <v>156</v>
      </c>
      <c r="G220" s="17" t="s">
        <v>80</v>
      </c>
    </row>
    <row r="221" spans="2:13" ht="5.0999999999999996" customHeight="1" thickBot="1" x14ac:dyDescent="0.25">
      <c r="G221" s="19"/>
      <c r="H221" s="4"/>
    </row>
    <row r="222" spans="2:13" ht="12" thickBot="1" x14ac:dyDescent="0.25">
      <c r="C222" s="61">
        <f t="shared" ref="C222" si="25">B216</f>
        <v>27</v>
      </c>
      <c r="D222" s="6" t="s">
        <v>220</v>
      </c>
      <c r="E222" s="6"/>
      <c r="F222" s="6"/>
      <c r="G222" s="6"/>
      <c r="H222" s="6"/>
      <c r="I222" s="62">
        <v>1</v>
      </c>
    </row>
    <row r="223" spans="2:13" x14ac:dyDescent="0.2">
      <c r="G223" s="20"/>
      <c r="H223" s="5"/>
    </row>
    <row r="224" spans="2:13" s="6" customFormat="1" x14ac:dyDescent="0.2">
      <c r="B224" s="6">
        <v>28</v>
      </c>
      <c r="C224" s="6" t="s">
        <v>90</v>
      </c>
      <c r="D224" s="6" t="s">
        <v>118</v>
      </c>
      <c r="E224" s="10"/>
      <c r="F224" s="8"/>
      <c r="G224" s="18"/>
      <c r="I224" s="37"/>
      <c r="L224" s="8"/>
      <c r="M224" s="8"/>
    </row>
    <row r="225" spans="2:13" ht="5.0999999999999996" customHeight="1" x14ac:dyDescent="0.2"/>
    <row r="226" spans="2:13" x14ac:dyDescent="0.2">
      <c r="C226" s="7"/>
      <c r="E226" s="11">
        <v>1</v>
      </c>
      <c r="F226" s="9" t="s">
        <v>156</v>
      </c>
      <c r="G226" s="17" t="s">
        <v>81</v>
      </c>
    </row>
    <row r="227" spans="2:13" x14ac:dyDescent="0.2">
      <c r="C227" s="7"/>
      <c r="E227" s="11">
        <v>2</v>
      </c>
      <c r="F227" s="9" t="s">
        <v>156</v>
      </c>
      <c r="G227" s="17" t="s">
        <v>82</v>
      </c>
    </row>
    <row r="228" spans="2:13" x14ac:dyDescent="0.2">
      <c r="C228" s="7"/>
      <c r="E228" s="11">
        <v>3</v>
      </c>
      <c r="F228" s="9" t="s">
        <v>156</v>
      </c>
      <c r="G228" s="17" t="s">
        <v>83</v>
      </c>
    </row>
    <row r="229" spans="2:13" ht="5.0999999999999996" customHeight="1" thickBot="1" x14ac:dyDescent="0.25">
      <c r="G229" s="19"/>
      <c r="H229" s="4"/>
    </row>
    <row r="230" spans="2:13" ht="12" thickBot="1" x14ac:dyDescent="0.25">
      <c r="C230" s="61">
        <f t="shared" ref="C230" si="26">B224</f>
        <v>28</v>
      </c>
      <c r="D230" s="6" t="s">
        <v>220</v>
      </c>
      <c r="E230" s="6"/>
      <c r="F230" s="6"/>
      <c r="G230" s="6"/>
      <c r="H230" s="6"/>
      <c r="I230" s="62">
        <v>3</v>
      </c>
    </row>
    <row r="231" spans="2:13" x14ac:dyDescent="0.2">
      <c r="G231" s="20"/>
      <c r="H231" s="5"/>
    </row>
    <row r="232" spans="2:13" s="6" customFormat="1" x14ac:dyDescent="0.2">
      <c r="B232" s="6">
        <v>29</v>
      </c>
      <c r="C232" s="6" t="s">
        <v>90</v>
      </c>
      <c r="D232" s="6" t="s">
        <v>119</v>
      </c>
      <c r="E232" s="10"/>
      <c r="F232" s="8"/>
      <c r="G232" s="18"/>
      <c r="I232" s="37"/>
      <c r="L232" s="8"/>
      <c r="M232" s="8"/>
    </row>
    <row r="233" spans="2:13" ht="5.0999999999999996" customHeight="1" x14ac:dyDescent="0.2"/>
    <row r="234" spans="2:13" x14ac:dyDescent="0.2">
      <c r="C234" s="7"/>
      <c r="E234" s="11">
        <v>1</v>
      </c>
      <c r="F234" s="9" t="s">
        <v>156</v>
      </c>
      <c r="G234" s="17" t="s">
        <v>84</v>
      </c>
    </row>
    <row r="235" spans="2:13" x14ac:dyDescent="0.2">
      <c r="C235" s="7"/>
      <c r="E235" s="11">
        <v>2</v>
      </c>
      <c r="F235" s="9" t="s">
        <v>156</v>
      </c>
      <c r="G235" s="17" t="s">
        <v>85</v>
      </c>
    </row>
    <row r="236" spans="2:13" x14ac:dyDescent="0.2">
      <c r="C236" s="7"/>
      <c r="E236" s="11">
        <v>3</v>
      </c>
      <c r="F236" s="9" t="s">
        <v>156</v>
      </c>
      <c r="G236" s="17" t="s">
        <v>86</v>
      </c>
    </row>
    <row r="237" spans="2:13" ht="5.0999999999999996" customHeight="1" thickBot="1" x14ac:dyDescent="0.25">
      <c r="G237" s="19"/>
      <c r="H237" s="4"/>
    </row>
    <row r="238" spans="2:13" ht="12" thickBot="1" x14ac:dyDescent="0.25">
      <c r="C238" s="61">
        <f t="shared" ref="C238" si="27">B232</f>
        <v>29</v>
      </c>
      <c r="D238" s="6" t="s">
        <v>220</v>
      </c>
      <c r="E238" s="6"/>
      <c r="F238" s="6"/>
      <c r="G238" s="6"/>
      <c r="H238" s="6"/>
      <c r="I238" s="62">
        <v>3</v>
      </c>
    </row>
    <row r="239" spans="2:13" x14ac:dyDescent="0.2">
      <c r="G239" s="20"/>
      <c r="H239" s="5"/>
    </row>
    <row r="240" spans="2:13" s="6" customFormat="1" x14ac:dyDescent="0.2">
      <c r="B240" s="6">
        <v>30</v>
      </c>
      <c r="C240" s="6" t="s">
        <v>90</v>
      </c>
      <c r="D240" s="6" t="s">
        <v>120</v>
      </c>
      <c r="E240" s="10"/>
      <c r="F240" s="8"/>
      <c r="G240" s="18"/>
      <c r="I240" s="37"/>
      <c r="L240" s="8"/>
      <c r="M240" s="8"/>
    </row>
    <row r="241" spans="3:13" ht="5.0999999999999996" customHeight="1" x14ac:dyDescent="0.2"/>
    <row r="242" spans="3:13" x14ac:dyDescent="0.2">
      <c r="C242" s="7"/>
      <c r="E242" s="11">
        <v>1</v>
      </c>
      <c r="F242" s="9" t="s">
        <v>156</v>
      </c>
      <c r="G242" s="17" t="s">
        <v>87</v>
      </c>
    </row>
    <row r="243" spans="3:13" x14ac:dyDescent="0.2">
      <c r="C243" s="7"/>
      <c r="E243" s="11">
        <v>2</v>
      </c>
      <c r="F243" s="9" t="s">
        <v>156</v>
      </c>
      <c r="G243" s="17" t="s">
        <v>88</v>
      </c>
    </row>
    <row r="244" spans="3:13" x14ac:dyDescent="0.2">
      <c r="C244" s="7"/>
      <c r="E244" s="11">
        <v>3</v>
      </c>
      <c r="F244" s="9" t="s">
        <v>156</v>
      </c>
      <c r="G244" s="17" t="s">
        <v>89</v>
      </c>
    </row>
    <row r="245" spans="3:13" ht="5.0999999999999996" customHeight="1" thickBot="1" x14ac:dyDescent="0.25">
      <c r="G245" s="19"/>
      <c r="H245" s="4"/>
    </row>
    <row r="246" spans="3:13" ht="12" thickBot="1" x14ac:dyDescent="0.25">
      <c r="C246" s="61">
        <f t="shared" ref="C246" si="28">B240</f>
        <v>30</v>
      </c>
      <c r="D246" s="6" t="s">
        <v>220</v>
      </c>
      <c r="E246" s="6"/>
      <c r="F246" s="6"/>
      <c r="G246" s="6"/>
      <c r="H246" s="6"/>
      <c r="I246" s="62">
        <v>1</v>
      </c>
    </row>
    <row r="247" spans="3:13" x14ac:dyDescent="0.2">
      <c r="G247" s="20"/>
      <c r="H247" s="5"/>
    </row>
    <row r="248" spans="3:13" s="6" customFormat="1" x14ac:dyDescent="0.2">
      <c r="E248" s="10"/>
      <c r="F248" s="8"/>
      <c r="G248" s="18"/>
      <c r="I248" s="37"/>
      <c r="L248" s="8"/>
      <c r="M248" s="8"/>
    </row>
    <row r="249" spans="3:13" s="6" customFormat="1" x14ac:dyDescent="0.2">
      <c r="E249" s="10"/>
      <c r="F249" s="8"/>
      <c r="G249" s="18"/>
      <c r="I249" s="37"/>
      <c r="L249" s="8"/>
      <c r="M249" s="8"/>
    </row>
    <row r="250" spans="3:13" s="6" customFormat="1" x14ac:dyDescent="0.2">
      <c r="E250" s="10"/>
      <c r="F250" s="8"/>
      <c r="G250" s="18"/>
      <c r="I250" s="37"/>
      <c r="L250" s="8"/>
      <c r="M250" s="8"/>
    </row>
    <row r="251" spans="3:13" s="6" customFormat="1" x14ac:dyDescent="0.2">
      <c r="E251" s="10"/>
      <c r="F251" s="8"/>
      <c r="G251" s="18"/>
      <c r="I251" s="37"/>
      <c r="L251" s="8"/>
      <c r="M251" s="8"/>
    </row>
    <row r="252" spans="3:13" s="6" customFormat="1" x14ac:dyDescent="0.2">
      <c r="E252" s="10"/>
      <c r="F252" s="8"/>
      <c r="G252" s="18"/>
      <c r="I252" s="37"/>
      <c r="L252" s="8"/>
      <c r="M252" s="8"/>
    </row>
    <row r="253" spans="3:13" s="6" customFormat="1" x14ac:dyDescent="0.2">
      <c r="E253" s="10"/>
      <c r="F253" s="8"/>
      <c r="G253" s="18"/>
      <c r="I253" s="37"/>
      <c r="L253" s="8"/>
      <c r="M253" s="8"/>
    </row>
    <row r="254" spans="3:13" s="6" customFormat="1" x14ac:dyDescent="0.2">
      <c r="E254" s="10"/>
      <c r="F254" s="8"/>
      <c r="G254" s="18"/>
      <c r="I254" s="37"/>
      <c r="L254" s="8"/>
      <c r="M254" s="8"/>
    </row>
    <row r="255" spans="3:13" s="6" customFormat="1" x14ac:dyDescent="0.2">
      <c r="E255" s="10"/>
      <c r="F255" s="8"/>
      <c r="G255" s="18"/>
      <c r="I255" s="37"/>
      <c r="L255" s="8"/>
      <c r="M255" s="8"/>
    </row>
    <row r="256" spans="3:13" s="6" customFormat="1" x14ac:dyDescent="0.2">
      <c r="E256" s="10"/>
      <c r="F256" s="8"/>
      <c r="G256" s="18"/>
      <c r="I256" s="37"/>
      <c r="L256" s="8"/>
      <c r="M256" s="8"/>
    </row>
    <row r="257" spans="5:13" s="6" customFormat="1" x14ac:dyDescent="0.2">
      <c r="E257" s="10"/>
      <c r="F257" s="8"/>
      <c r="G257" s="18"/>
      <c r="I257" s="37"/>
      <c r="L257" s="8"/>
      <c r="M257" s="8"/>
    </row>
    <row r="258" spans="5:13" s="6" customFormat="1" x14ac:dyDescent="0.2">
      <c r="E258" s="10"/>
      <c r="F258" s="8"/>
      <c r="G258" s="18"/>
      <c r="I258" s="37"/>
      <c r="L258" s="8"/>
      <c r="M258" s="8"/>
    </row>
    <row r="259" spans="5:13" s="6" customFormat="1" x14ac:dyDescent="0.2">
      <c r="E259" s="10"/>
      <c r="F259" s="8"/>
      <c r="G259" s="18"/>
      <c r="I259" s="37"/>
      <c r="L259" s="8"/>
      <c r="M259" s="8"/>
    </row>
    <row r="260" spans="5:13" s="6" customFormat="1" x14ac:dyDescent="0.2">
      <c r="E260" s="10"/>
      <c r="F260" s="8"/>
      <c r="G260" s="18"/>
      <c r="I260" s="37"/>
      <c r="L260" s="8"/>
      <c r="M260" s="8"/>
    </row>
    <row r="261" spans="5:13" s="6" customFormat="1" x14ac:dyDescent="0.2">
      <c r="E261" s="10"/>
      <c r="F261" s="8"/>
      <c r="G261" s="18"/>
      <c r="I261" s="37"/>
      <c r="L261" s="8"/>
      <c r="M261" s="8"/>
    </row>
    <row r="262" spans="5:13" s="6" customFormat="1" x14ac:dyDescent="0.2">
      <c r="E262" s="10"/>
      <c r="F262" s="8"/>
      <c r="G262" s="18"/>
      <c r="I262" s="37"/>
      <c r="L262" s="8"/>
      <c r="M262" s="8"/>
    </row>
    <row r="263" spans="5:13" s="6" customFormat="1" x14ac:dyDescent="0.2">
      <c r="E263" s="10"/>
      <c r="F263" s="8"/>
      <c r="G263" s="18"/>
      <c r="I263" s="37"/>
      <c r="L263" s="8"/>
      <c r="M263" s="8"/>
    </row>
    <row r="264" spans="5:13" s="6" customFormat="1" x14ac:dyDescent="0.2">
      <c r="E264" s="10"/>
      <c r="F264" s="8"/>
      <c r="G264" s="18"/>
      <c r="I264" s="37"/>
      <c r="L264" s="8"/>
      <c r="M264" s="8"/>
    </row>
    <row r="265" spans="5:13" s="6" customFormat="1" x14ac:dyDescent="0.2">
      <c r="E265" s="10"/>
      <c r="F265" s="8"/>
      <c r="G265" s="18"/>
      <c r="I265" s="37"/>
      <c r="L265" s="8"/>
      <c r="M265" s="8"/>
    </row>
    <row r="266" spans="5:13" s="6" customFormat="1" x14ac:dyDescent="0.2">
      <c r="E266" s="10"/>
      <c r="F266" s="8"/>
      <c r="G266" s="18"/>
      <c r="I266" s="37"/>
      <c r="L266" s="8"/>
      <c r="M266" s="8"/>
    </row>
    <row r="267" spans="5:13" s="6" customFormat="1" x14ac:dyDescent="0.2">
      <c r="E267" s="10"/>
      <c r="F267" s="8"/>
      <c r="G267" s="18"/>
      <c r="I267" s="37"/>
      <c r="L267" s="8"/>
      <c r="M267" s="8"/>
    </row>
    <row r="268" spans="5:13" s="6" customFormat="1" x14ac:dyDescent="0.2">
      <c r="E268" s="10"/>
      <c r="F268" s="8"/>
      <c r="G268" s="18"/>
      <c r="I268" s="37"/>
      <c r="L268" s="8"/>
      <c r="M268" s="8"/>
    </row>
    <row r="269" spans="5:13" s="6" customFormat="1" x14ac:dyDescent="0.2">
      <c r="E269" s="10"/>
      <c r="F269" s="8"/>
      <c r="G269" s="18"/>
      <c r="I269" s="37"/>
      <c r="L269" s="8"/>
      <c r="M269" s="8"/>
    </row>
    <row r="270" spans="5:13" s="6" customFormat="1" x14ac:dyDescent="0.2">
      <c r="E270" s="10"/>
      <c r="F270" s="8"/>
      <c r="G270" s="18"/>
      <c r="I270" s="37"/>
      <c r="L270" s="8"/>
      <c r="M270" s="8"/>
    </row>
    <row r="271" spans="5:13" s="6" customFormat="1" x14ac:dyDescent="0.2">
      <c r="E271" s="10"/>
      <c r="F271" s="8"/>
      <c r="G271" s="18"/>
      <c r="I271" s="37"/>
      <c r="L271" s="8"/>
      <c r="M271" s="8"/>
    </row>
    <row r="272" spans="5:13" s="6" customFormat="1" x14ac:dyDescent="0.2">
      <c r="E272" s="10"/>
      <c r="F272" s="8"/>
      <c r="G272" s="18"/>
      <c r="I272" s="37"/>
      <c r="L272" s="8"/>
      <c r="M272" s="8"/>
    </row>
    <row r="273" spans="5:13" s="6" customFormat="1" x14ac:dyDescent="0.2">
      <c r="E273" s="10"/>
      <c r="F273" s="8"/>
      <c r="G273" s="18"/>
      <c r="I273" s="37"/>
      <c r="L273" s="8"/>
      <c r="M273" s="8"/>
    </row>
    <row r="274" spans="5:13" s="6" customFormat="1" x14ac:dyDescent="0.2">
      <c r="E274" s="10"/>
      <c r="F274" s="8"/>
      <c r="G274" s="18"/>
      <c r="I274" s="37"/>
      <c r="L274" s="8"/>
      <c r="M274" s="8"/>
    </row>
    <row r="275" spans="5:13" s="6" customFormat="1" x14ac:dyDescent="0.2">
      <c r="E275" s="10"/>
      <c r="F275" s="8"/>
      <c r="G275" s="18"/>
      <c r="I275" s="37"/>
      <c r="L275" s="8"/>
      <c r="M275" s="8"/>
    </row>
    <row r="276" spans="5:13" s="6" customFormat="1" x14ac:dyDescent="0.2">
      <c r="E276" s="10"/>
      <c r="F276" s="8"/>
      <c r="G276" s="18"/>
      <c r="I276" s="37"/>
      <c r="L276" s="8"/>
      <c r="M276" s="8"/>
    </row>
    <row r="277" spans="5:13" s="6" customFormat="1" x14ac:dyDescent="0.2">
      <c r="E277" s="10"/>
      <c r="F277" s="8"/>
      <c r="G277" s="18"/>
      <c r="I277" s="37"/>
      <c r="L277" s="8"/>
      <c r="M277" s="8"/>
    </row>
    <row r="278" spans="5:13" s="6" customFormat="1" x14ac:dyDescent="0.2">
      <c r="E278" s="10"/>
      <c r="F278" s="8"/>
      <c r="G278" s="18"/>
      <c r="I278" s="37"/>
      <c r="L278" s="8"/>
      <c r="M278" s="8"/>
    </row>
    <row r="279" spans="5:13" s="6" customFormat="1" x14ac:dyDescent="0.2">
      <c r="E279" s="10"/>
      <c r="F279" s="8"/>
      <c r="G279" s="18"/>
      <c r="I279" s="37"/>
      <c r="L279" s="8"/>
      <c r="M279" s="8"/>
    </row>
    <row r="280" spans="5:13" s="6" customFormat="1" x14ac:dyDescent="0.2">
      <c r="E280" s="10"/>
      <c r="F280" s="8"/>
      <c r="G280" s="18"/>
      <c r="I280" s="37"/>
      <c r="L280" s="8"/>
      <c r="M280" s="8"/>
    </row>
    <row r="281" spans="5:13" s="6" customFormat="1" x14ac:dyDescent="0.2">
      <c r="E281" s="10"/>
      <c r="F281" s="8"/>
      <c r="G281" s="18"/>
      <c r="I281" s="37"/>
      <c r="L281" s="8"/>
      <c r="M281" s="8"/>
    </row>
    <row r="282" spans="5:13" s="6" customFormat="1" x14ac:dyDescent="0.2">
      <c r="E282" s="10"/>
      <c r="F282" s="8"/>
      <c r="G282" s="18"/>
      <c r="I282" s="37"/>
      <c r="L282" s="8"/>
      <c r="M282" s="8"/>
    </row>
    <row r="283" spans="5:13" s="6" customFormat="1" x14ac:dyDescent="0.2">
      <c r="E283" s="10"/>
      <c r="F283" s="8"/>
      <c r="G283" s="18"/>
      <c r="I283" s="37"/>
      <c r="L283" s="8"/>
      <c r="M283" s="8"/>
    </row>
    <row r="284" spans="5:13" s="6" customFormat="1" x14ac:dyDescent="0.2">
      <c r="E284" s="10"/>
      <c r="F284" s="8"/>
      <c r="G284" s="18"/>
      <c r="I284" s="37"/>
      <c r="L284" s="8"/>
      <c r="M284" s="8"/>
    </row>
    <row r="285" spans="5:13" s="6" customFormat="1" x14ac:dyDescent="0.2">
      <c r="E285" s="10"/>
      <c r="F285" s="8"/>
      <c r="G285" s="18"/>
      <c r="I285" s="37"/>
      <c r="L285" s="8"/>
      <c r="M285" s="8"/>
    </row>
    <row r="286" spans="5:13" s="6" customFormat="1" x14ac:dyDescent="0.2">
      <c r="E286" s="10"/>
      <c r="F286" s="8"/>
      <c r="G286" s="18"/>
      <c r="I286" s="37"/>
      <c r="L286" s="8"/>
      <c r="M286" s="8"/>
    </row>
    <row r="287" spans="5:13" s="6" customFormat="1" x14ac:dyDescent="0.2">
      <c r="E287" s="10"/>
      <c r="F287" s="8"/>
      <c r="G287" s="18"/>
      <c r="I287" s="37"/>
      <c r="L287" s="8"/>
      <c r="M287" s="8"/>
    </row>
    <row r="288" spans="5:13" s="6" customFormat="1" x14ac:dyDescent="0.2">
      <c r="E288" s="10"/>
      <c r="F288" s="8"/>
      <c r="G288" s="18"/>
      <c r="I288" s="37"/>
      <c r="L288" s="8"/>
      <c r="M288" s="8"/>
    </row>
    <row r="289" spans="5:13" s="6" customFormat="1" x14ac:dyDescent="0.2">
      <c r="E289" s="10"/>
      <c r="F289" s="8"/>
      <c r="G289" s="18"/>
      <c r="I289" s="37"/>
      <c r="L289" s="8"/>
      <c r="M289" s="8"/>
    </row>
    <row r="290" spans="5:13" s="6" customFormat="1" x14ac:dyDescent="0.2">
      <c r="E290" s="10"/>
      <c r="F290" s="8"/>
      <c r="G290" s="18"/>
      <c r="I290" s="37"/>
      <c r="L290" s="8"/>
      <c r="M290" s="8"/>
    </row>
    <row r="291" spans="5:13" s="6" customFormat="1" x14ac:dyDescent="0.2">
      <c r="E291" s="10"/>
      <c r="F291" s="8"/>
      <c r="G291" s="18"/>
      <c r="I291" s="37"/>
      <c r="L291" s="8"/>
      <c r="M291" s="8"/>
    </row>
    <row r="292" spans="5:13" s="6" customFormat="1" x14ac:dyDescent="0.2">
      <c r="E292" s="10"/>
      <c r="F292" s="8"/>
      <c r="G292" s="18"/>
      <c r="I292" s="37"/>
      <c r="L292" s="8"/>
      <c r="M292" s="8"/>
    </row>
    <row r="293" spans="5:13" s="6" customFormat="1" x14ac:dyDescent="0.2">
      <c r="E293" s="10"/>
      <c r="F293" s="8"/>
      <c r="G293" s="18"/>
      <c r="I293" s="37"/>
      <c r="L293" s="8"/>
      <c r="M293" s="8"/>
    </row>
    <row r="294" spans="5:13" s="6" customFormat="1" x14ac:dyDescent="0.2">
      <c r="E294" s="10"/>
      <c r="F294" s="8"/>
      <c r="G294" s="18"/>
      <c r="I294" s="37"/>
      <c r="L294" s="8"/>
      <c r="M294" s="8"/>
    </row>
    <row r="295" spans="5:13" s="6" customFormat="1" x14ac:dyDescent="0.2">
      <c r="E295" s="10"/>
      <c r="F295" s="8"/>
      <c r="G295" s="18"/>
      <c r="I295" s="37"/>
      <c r="L295" s="8"/>
      <c r="M295" s="8"/>
    </row>
    <row r="296" spans="5:13" s="6" customFormat="1" x14ac:dyDescent="0.2">
      <c r="E296" s="10"/>
      <c r="F296" s="8"/>
      <c r="G296" s="18"/>
      <c r="I296" s="37"/>
      <c r="L296" s="8"/>
      <c r="M296" s="8"/>
    </row>
    <row r="297" spans="5:13" s="6" customFormat="1" x14ac:dyDescent="0.2">
      <c r="E297" s="10"/>
      <c r="F297" s="8"/>
      <c r="G297" s="18"/>
      <c r="I297" s="37"/>
      <c r="L297" s="8"/>
      <c r="M297" s="8"/>
    </row>
    <row r="298" spans="5:13" s="6" customFormat="1" x14ac:dyDescent="0.2">
      <c r="E298" s="10"/>
      <c r="F298" s="8"/>
      <c r="G298" s="18"/>
      <c r="I298" s="37"/>
      <c r="L298" s="8"/>
      <c r="M298" s="8"/>
    </row>
    <row r="299" spans="5:13" s="6" customFormat="1" x14ac:dyDescent="0.2">
      <c r="E299" s="10"/>
      <c r="F299" s="8"/>
      <c r="G299" s="18"/>
      <c r="I299" s="37"/>
      <c r="L299" s="8"/>
      <c r="M299" s="8"/>
    </row>
    <row r="300" spans="5:13" s="6" customFormat="1" x14ac:dyDescent="0.2">
      <c r="E300" s="10"/>
      <c r="F300" s="8"/>
      <c r="G300" s="18"/>
      <c r="I300" s="37"/>
      <c r="L300" s="8"/>
      <c r="M300" s="8"/>
    </row>
    <row r="301" spans="5:13" s="6" customFormat="1" x14ac:dyDescent="0.2">
      <c r="E301" s="10"/>
      <c r="F301" s="8"/>
      <c r="G301" s="18"/>
      <c r="I301" s="37"/>
      <c r="L301" s="8"/>
      <c r="M301" s="8"/>
    </row>
    <row r="302" spans="5:13" s="6" customFormat="1" x14ac:dyDescent="0.2">
      <c r="E302" s="10"/>
      <c r="F302" s="8"/>
      <c r="G302" s="18"/>
      <c r="I302" s="37"/>
      <c r="L302" s="8"/>
      <c r="M302" s="8"/>
    </row>
    <row r="303" spans="5:13" s="6" customFormat="1" x14ac:dyDescent="0.2">
      <c r="E303" s="10"/>
      <c r="F303" s="8"/>
      <c r="G303" s="18"/>
      <c r="I303" s="37"/>
      <c r="L303" s="8"/>
      <c r="M303" s="8"/>
    </row>
    <row r="304" spans="5:13" s="6" customFormat="1" x14ac:dyDescent="0.2">
      <c r="E304" s="10"/>
      <c r="F304" s="8"/>
      <c r="G304" s="18"/>
      <c r="I304" s="37"/>
      <c r="L304" s="8"/>
      <c r="M304" s="8"/>
    </row>
    <row r="305" spans="5:13" s="6" customFormat="1" x14ac:dyDescent="0.2">
      <c r="E305" s="10"/>
      <c r="F305" s="8"/>
      <c r="G305" s="18"/>
      <c r="I305" s="37"/>
      <c r="L305" s="8"/>
      <c r="M305" s="8"/>
    </row>
    <row r="306" spans="5:13" s="6" customFormat="1" x14ac:dyDescent="0.2">
      <c r="E306" s="10"/>
      <c r="F306" s="8"/>
      <c r="G306" s="18"/>
      <c r="I306" s="37"/>
      <c r="L306" s="8"/>
      <c r="M306" s="8"/>
    </row>
    <row r="307" spans="5:13" s="6" customFormat="1" x14ac:dyDescent="0.2">
      <c r="E307" s="10"/>
      <c r="F307" s="8"/>
      <c r="G307" s="18"/>
      <c r="I307" s="37"/>
      <c r="L307" s="8"/>
      <c r="M307" s="8"/>
    </row>
    <row r="308" spans="5:13" s="6" customFormat="1" x14ac:dyDescent="0.2">
      <c r="E308" s="10"/>
      <c r="F308" s="8"/>
      <c r="G308" s="18"/>
      <c r="I308" s="37"/>
      <c r="L308" s="8"/>
      <c r="M308" s="8"/>
    </row>
    <row r="309" spans="5:13" s="6" customFormat="1" x14ac:dyDescent="0.2">
      <c r="E309" s="10"/>
      <c r="F309" s="8"/>
      <c r="G309" s="18"/>
      <c r="I309" s="37"/>
      <c r="L309" s="8"/>
      <c r="M309" s="8"/>
    </row>
    <row r="310" spans="5:13" s="6" customFormat="1" x14ac:dyDescent="0.2">
      <c r="E310" s="10"/>
      <c r="F310" s="8"/>
      <c r="G310" s="18"/>
      <c r="I310" s="37"/>
      <c r="L310" s="8"/>
      <c r="M310" s="8"/>
    </row>
    <row r="311" spans="5:13" s="6" customFormat="1" x14ac:dyDescent="0.2">
      <c r="E311" s="10"/>
      <c r="F311" s="8"/>
      <c r="G311" s="18"/>
      <c r="I311" s="37"/>
      <c r="L311" s="8"/>
      <c r="M311" s="8"/>
    </row>
    <row r="312" spans="5:13" s="6" customFormat="1" x14ac:dyDescent="0.2">
      <c r="E312" s="10"/>
      <c r="F312" s="8"/>
      <c r="G312" s="18"/>
      <c r="I312" s="37"/>
      <c r="L312" s="8"/>
      <c r="M312" s="8"/>
    </row>
    <row r="313" spans="5:13" s="6" customFormat="1" x14ac:dyDescent="0.2">
      <c r="E313" s="10"/>
      <c r="F313" s="8"/>
      <c r="G313" s="18"/>
      <c r="I313" s="37"/>
      <c r="L313" s="8"/>
      <c r="M313" s="8"/>
    </row>
    <row r="314" spans="5:13" s="6" customFormat="1" x14ac:dyDescent="0.2">
      <c r="E314" s="10"/>
      <c r="F314" s="8"/>
      <c r="G314" s="18"/>
      <c r="I314" s="37"/>
      <c r="L314" s="8"/>
      <c r="M314" s="8"/>
    </row>
    <row r="315" spans="5:13" s="6" customFormat="1" x14ac:dyDescent="0.2">
      <c r="E315" s="10"/>
      <c r="F315" s="8"/>
      <c r="G315" s="18"/>
      <c r="I315" s="37"/>
      <c r="L315" s="8"/>
      <c r="M315" s="8"/>
    </row>
    <row r="316" spans="5:13" s="6" customFormat="1" x14ac:dyDescent="0.2">
      <c r="E316" s="10"/>
      <c r="F316" s="8"/>
      <c r="G316" s="18"/>
      <c r="I316" s="37"/>
      <c r="L316" s="8"/>
      <c r="M316" s="8"/>
    </row>
    <row r="317" spans="5:13" s="6" customFormat="1" x14ac:dyDescent="0.2">
      <c r="E317" s="10"/>
      <c r="F317" s="8"/>
      <c r="G317" s="18"/>
      <c r="I317" s="37"/>
      <c r="L317" s="8"/>
      <c r="M317" s="8"/>
    </row>
    <row r="318" spans="5:13" s="6" customFormat="1" x14ac:dyDescent="0.2">
      <c r="E318" s="10"/>
      <c r="F318" s="8"/>
      <c r="G318" s="18"/>
      <c r="I318" s="37"/>
      <c r="L318" s="8"/>
      <c r="M318" s="8"/>
    </row>
    <row r="319" spans="5:13" s="6" customFormat="1" x14ac:dyDescent="0.2">
      <c r="E319" s="10"/>
      <c r="F319" s="8"/>
      <c r="G319" s="18"/>
      <c r="I319" s="37"/>
      <c r="L319" s="8"/>
      <c r="M319" s="8"/>
    </row>
    <row r="320" spans="5:13" s="6" customFormat="1" x14ac:dyDescent="0.2">
      <c r="E320" s="10"/>
      <c r="F320" s="8"/>
      <c r="G320" s="18"/>
      <c r="I320" s="37"/>
      <c r="L320" s="8"/>
      <c r="M320" s="8"/>
    </row>
    <row r="321" spans="5:13" s="6" customFormat="1" x14ac:dyDescent="0.2">
      <c r="E321" s="10"/>
      <c r="F321" s="8"/>
      <c r="G321" s="18"/>
      <c r="I321" s="37"/>
      <c r="L321" s="8"/>
      <c r="M321" s="8"/>
    </row>
    <row r="322" spans="5:13" s="6" customFormat="1" x14ac:dyDescent="0.2">
      <c r="E322" s="10"/>
      <c r="F322" s="8"/>
      <c r="G322" s="18"/>
      <c r="I322" s="37"/>
      <c r="L322" s="8"/>
      <c r="M322" s="8"/>
    </row>
    <row r="323" spans="5:13" s="6" customFormat="1" x14ac:dyDescent="0.2">
      <c r="E323" s="10"/>
      <c r="F323" s="8"/>
      <c r="G323" s="18"/>
      <c r="I323" s="37"/>
      <c r="L323" s="8"/>
      <c r="M323" s="8"/>
    </row>
    <row r="324" spans="5:13" s="6" customFormat="1" x14ac:dyDescent="0.2">
      <c r="E324" s="10"/>
      <c r="F324" s="8"/>
      <c r="G324" s="18"/>
      <c r="I324" s="37"/>
      <c r="L324" s="8"/>
      <c r="M324" s="8"/>
    </row>
    <row r="325" spans="5:13" s="6" customFormat="1" x14ac:dyDescent="0.2">
      <c r="E325" s="10"/>
      <c r="F325" s="8"/>
      <c r="G325" s="18"/>
      <c r="I325" s="37"/>
      <c r="L325" s="8"/>
      <c r="M325" s="8"/>
    </row>
    <row r="326" spans="5:13" s="6" customFormat="1" x14ac:dyDescent="0.2">
      <c r="E326" s="10"/>
      <c r="F326" s="8"/>
      <c r="G326" s="18"/>
      <c r="I326" s="37"/>
      <c r="L326" s="8"/>
      <c r="M326" s="8"/>
    </row>
    <row r="327" spans="5:13" s="6" customFormat="1" x14ac:dyDescent="0.2">
      <c r="E327" s="10"/>
      <c r="F327" s="8"/>
      <c r="G327" s="18"/>
      <c r="I327" s="37"/>
      <c r="L327" s="8"/>
      <c r="M327" s="8"/>
    </row>
    <row r="328" spans="5:13" s="6" customFormat="1" x14ac:dyDescent="0.2">
      <c r="E328" s="10"/>
      <c r="F328" s="8"/>
      <c r="G328" s="18"/>
      <c r="I328" s="37"/>
      <c r="L328" s="8"/>
      <c r="M328" s="8"/>
    </row>
    <row r="329" spans="5:13" s="6" customFormat="1" x14ac:dyDescent="0.2">
      <c r="E329" s="10"/>
      <c r="F329" s="8"/>
      <c r="G329" s="18"/>
      <c r="I329" s="37"/>
      <c r="L329" s="8"/>
      <c r="M329" s="8"/>
    </row>
    <row r="330" spans="5:13" s="6" customFormat="1" x14ac:dyDescent="0.2">
      <c r="E330" s="10"/>
      <c r="F330" s="8"/>
      <c r="G330" s="18"/>
      <c r="I330" s="37"/>
      <c r="L330" s="8"/>
      <c r="M330" s="8"/>
    </row>
    <row r="331" spans="5:13" s="6" customFormat="1" x14ac:dyDescent="0.2">
      <c r="E331" s="10"/>
      <c r="F331" s="8"/>
      <c r="G331" s="18"/>
      <c r="I331" s="37"/>
      <c r="L331" s="8"/>
      <c r="M331" s="8"/>
    </row>
    <row r="332" spans="5:13" s="6" customFormat="1" x14ac:dyDescent="0.2">
      <c r="E332" s="10"/>
      <c r="F332" s="8"/>
      <c r="G332" s="18"/>
      <c r="I332" s="37"/>
      <c r="L332" s="8"/>
      <c r="M332" s="8"/>
    </row>
    <row r="333" spans="5:13" s="6" customFormat="1" x14ac:dyDescent="0.2">
      <c r="E333" s="10"/>
      <c r="F333" s="8"/>
      <c r="G333" s="18"/>
      <c r="I333" s="37"/>
      <c r="L333" s="8"/>
      <c r="M333" s="8"/>
    </row>
    <row r="334" spans="5:13" s="6" customFormat="1" x14ac:dyDescent="0.2">
      <c r="E334" s="10"/>
      <c r="F334" s="8"/>
      <c r="G334" s="18"/>
      <c r="I334" s="37"/>
      <c r="L334" s="8"/>
      <c r="M334" s="8"/>
    </row>
    <row r="335" spans="5:13" s="6" customFormat="1" x14ac:dyDescent="0.2">
      <c r="E335" s="10"/>
      <c r="F335" s="8"/>
      <c r="G335" s="18"/>
      <c r="I335" s="37"/>
      <c r="L335" s="8"/>
      <c r="M335" s="8"/>
    </row>
    <row r="336" spans="5:13" s="6" customFormat="1" x14ac:dyDescent="0.2">
      <c r="E336" s="10"/>
      <c r="F336" s="8"/>
      <c r="G336" s="18"/>
      <c r="I336" s="37"/>
      <c r="L336" s="8"/>
      <c r="M336" s="8"/>
    </row>
    <row r="337" spans="5:13" s="6" customFormat="1" x14ac:dyDescent="0.2">
      <c r="E337" s="10"/>
      <c r="F337" s="8"/>
      <c r="G337" s="18"/>
      <c r="I337" s="37"/>
      <c r="L337" s="8"/>
      <c r="M337" s="8"/>
    </row>
    <row r="338" spans="5:13" s="6" customFormat="1" x14ac:dyDescent="0.2">
      <c r="E338" s="10"/>
      <c r="F338" s="8"/>
      <c r="G338" s="18"/>
      <c r="I338" s="37"/>
      <c r="L338" s="8"/>
      <c r="M338" s="8"/>
    </row>
    <row r="339" spans="5:13" s="6" customFormat="1" x14ac:dyDescent="0.2">
      <c r="E339" s="10"/>
      <c r="F339" s="8"/>
      <c r="G339" s="18"/>
      <c r="I339" s="37"/>
      <c r="L339" s="8"/>
      <c r="M339" s="8"/>
    </row>
    <row r="340" spans="5:13" s="6" customFormat="1" x14ac:dyDescent="0.2">
      <c r="E340" s="10"/>
      <c r="F340" s="8"/>
      <c r="G340" s="18"/>
      <c r="I340" s="37"/>
      <c r="L340" s="8"/>
      <c r="M340" s="8"/>
    </row>
    <row r="341" spans="5:13" s="6" customFormat="1" x14ac:dyDescent="0.2">
      <c r="E341" s="10"/>
      <c r="F341" s="8"/>
      <c r="G341" s="18"/>
      <c r="I341" s="37"/>
      <c r="L341" s="8"/>
      <c r="M341" s="8"/>
    </row>
    <row r="342" spans="5:13" s="6" customFormat="1" x14ac:dyDescent="0.2">
      <c r="E342" s="10"/>
      <c r="F342" s="8"/>
      <c r="G342" s="18"/>
      <c r="I342" s="37"/>
      <c r="L342" s="8"/>
      <c r="M342" s="8"/>
    </row>
    <row r="343" spans="5:13" s="6" customFormat="1" x14ac:dyDescent="0.2">
      <c r="E343" s="10"/>
      <c r="F343" s="8"/>
      <c r="G343" s="18"/>
      <c r="I343" s="37"/>
      <c r="L343" s="8"/>
      <c r="M343" s="8"/>
    </row>
    <row r="344" spans="5:13" s="6" customFormat="1" x14ac:dyDescent="0.2">
      <c r="E344" s="10"/>
      <c r="F344" s="8"/>
      <c r="G344" s="18"/>
      <c r="I344" s="37"/>
      <c r="L344" s="8"/>
      <c r="M344" s="8"/>
    </row>
    <row r="345" spans="5:13" s="6" customFormat="1" x14ac:dyDescent="0.2">
      <c r="E345" s="10"/>
      <c r="F345" s="8"/>
      <c r="G345" s="18"/>
      <c r="I345" s="37"/>
      <c r="L345" s="8"/>
      <c r="M345" s="8"/>
    </row>
    <row r="346" spans="5:13" s="6" customFormat="1" x14ac:dyDescent="0.2">
      <c r="E346" s="10"/>
      <c r="F346" s="8"/>
      <c r="G346" s="18"/>
      <c r="I346" s="37"/>
      <c r="L346" s="8"/>
      <c r="M346" s="8"/>
    </row>
    <row r="347" spans="5:13" s="6" customFormat="1" x14ac:dyDescent="0.2">
      <c r="E347" s="10"/>
      <c r="F347" s="8"/>
      <c r="G347" s="18"/>
      <c r="I347" s="37"/>
      <c r="L347" s="8"/>
      <c r="M347" s="8"/>
    </row>
    <row r="348" spans="5:13" s="6" customFormat="1" x14ac:dyDescent="0.2">
      <c r="E348" s="10"/>
      <c r="F348" s="8"/>
      <c r="G348" s="18"/>
      <c r="I348" s="37"/>
      <c r="L348" s="8"/>
      <c r="M348" s="8"/>
    </row>
    <row r="349" spans="5:13" s="6" customFormat="1" x14ac:dyDescent="0.2">
      <c r="E349" s="10"/>
      <c r="F349" s="8"/>
      <c r="G349" s="18"/>
      <c r="I349" s="37"/>
      <c r="L349" s="8"/>
      <c r="M349" s="8"/>
    </row>
    <row r="350" spans="5:13" s="6" customFormat="1" x14ac:dyDescent="0.2">
      <c r="E350" s="10"/>
      <c r="F350" s="8"/>
      <c r="G350" s="18"/>
      <c r="I350" s="37"/>
      <c r="L350" s="8"/>
      <c r="M350" s="8"/>
    </row>
    <row r="351" spans="5:13" s="6" customFormat="1" x14ac:dyDescent="0.2">
      <c r="E351" s="10"/>
      <c r="F351" s="8"/>
      <c r="G351" s="18"/>
      <c r="I351" s="37"/>
      <c r="L351" s="8"/>
      <c r="M351" s="8"/>
    </row>
    <row r="352" spans="5:13" s="6" customFormat="1" x14ac:dyDescent="0.2">
      <c r="E352" s="10"/>
      <c r="F352" s="8"/>
      <c r="G352" s="18"/>
      <c r="I352" s="37"/>
      <c r="L352" s="8"/>
      <c r="M352" s="8"/>
    </row>
    <row r="353" spans="5:13" s="6" customFormat="1" x14ac:dyDescent="0.2">
      <c r="E353" s="10"/>
      <c r="F353" s="8"/>
      <c r="G353" s="18"/>
      <c r="I353" s="37"/>
      <c r="L353" s="8"/>
      <c r="M353" s="8"/>
    </row>
    <row r="354" spans="5:13" s="6" customFormat="1" x14ac:dyDescent="0.2">
      <c r="E354" s="10"/>
      <c r="F354" s="8"/>
      <c r="G354" s="18"/>
      <c r="I354" s="37"/>
      <c r="L354" s="8"/>
      <c r="M354" s="8"/>
    </row>
    <row r="355" spans="5:13" s="6" customFormat="1" x14ac:dyDescent="0.2">
      <c r="E355" s="10"/>
      <c r="F355" s="8"/>
      <c r="G355" s="18"/>
      <c r="I355" s="37"/>
      <c r="L355" s="8"/>
      <c r="M355" s="8"/>
    </row>
    <row r="356" spans="5:13" s="6" customFormat="1" x14ac:dyDescent="0.2">
      <c r="E356" s="10"/>
      <c r="F356" s="8"/>
      <c r="G356" s="18"/>
      <c r="I356" s="37"/>
      <c r="L356" s="8"/>
      <c r="M356" s="8"/>
    </row>
    <row r="357" spans="5:13" s="6" customFormat="1" x14ac:dyDescent="0.2">
      <c r="E357" s="10"/>
      <c r="F357" s="8"/>
      <c r="G357" s="18"/>
      <c r="I357" s="37"/>
      <c r="L357" s="8"/>
      <c r="M357" s="8"/>
    </row>
    <row r="358" spans="5:13" s="6" customFormat="1" x14ac:dyDescent="0.2">
      <c r="E358" s="10"/>
      <c r="F358" s="8"/>
      <c r="G358" s="18"/>
      <c r="I358" s="37"/>
      <c r="L358" s="8"/>
      <c r="M358" s="8"/>
    </row>
    <row r="359" spans="5:13" s="6" customFormat="1" x14ac:dyDescent="0.2">
      <c r="E359" s="10"/>
      <c r="F359" s="8"/>
      <c r="G359" s="18"/>
      <c r="I359" s="37"/>
      <c r="L359" s="8"/>
      <c r="M359" s="8"/>
    </row>
    <row r="360" spans="5:13" s="6" customFormat="1" x14ac:dyDescent="0.2">
      <c r="E360" s="10"/>
      <c r="F360" s="8"/>
      <c r="G360" s="18"/>
      <c r="I360" s="37"/>
      <c r="L360" s="8"/>
      <c r="M360" s="8"/>
    </row>
    <row r="361" spans="5:13" s="6" customFormat="1" x14ac:dyDescent="0.2">
      <c r="E361" s="10"/>
      <c r="F361" s="8"/>
      <c r="G361" s="18"/>
      <c r="I361" s="37"/>
      <c r="L361" s="8"/>
      <c r="M361" s="8"/>
    </row>
    <row r="362" spans="5:13" s="6" customFormat="1" x14ac:dyDescent="0.2">
      <c r="E362" s="10"/>
      <c r="F362" s="8"/>
      <c r="G362" s="18"/>
      <c r="I362" s="37"/>
      <c r="L362" s="8"/>
      <c r="M362" s="8"/>
    </row>
    <row r="363" spans="5:13" s="6" customFormat="1" x14ac:dyDescent="0.2">
      <c r="E363" s="10"/>
      <c r="F363" s="8"/>
      <c r="G363" s="18"/>
      <c r="I363" s="37"/>
      <c r="L363" s="8"/>
      <c r="M363" s="8"/>
    </row>
    <row r="364" spans="5:13" s="6" customFormat="1" x14ac:dyDescent="0.2">
      <c r="E364" s="10"/>
      <c r="F364" s="8"/>
      <c r="G364" s="18"/>
      <c r="I364" s="37"/>
      <c r="L364" s="8"/>
      <c r="M364" s="8"/>
    </row>
    <row r="365" spans="5:13" s="6" customFormat="1" x14ac:dyDescent="0.2">
      <c r="E365" s="10"/>
      <c r="F365" s="8"/>
      <c r="G365" s="18"/>
      <c r="I365" s="37"/>
      <c r="L365" s="8"/>
      <c r="M365" s="8"/>
    </row>
    <row r="366" spans="5:13" s="6" customFormat="1" x14ac:dyDescent="0.2">
      <c r="E366" s="10"/>
      <c r="F366" s="8"/>
      <c r="G366" s="18"/>
      <c r="I366" s="37"/>
      <c r="L366" s="8"/>
      <c r="M366" s="8"/>
    </row>
    <row r="367" spans="5:13" s="6" customFormat="1" x14ac:dyDescent="0.2">
      <c r="E367" s="10"/>
      <c r="F367" s="8"/>
      <c r="G367" s="18"/>
      <c r="I367" s="37"/>
      <c r="L367" s="8"/>
      <c r="M367" s="8"/>
    </row>
    <row r="368" spans="5:13" s="6" customFormat="1" x14ac:dyDescent="0.2">
      <c r="E368" s="10"/>
      <c r="F368" s="8"/>
      <c r="G368" s="18"/>
      <c r="I368" s="37"/>
      <c r="L368" s="8"/>
      <c r="M368" s="8"/>
    </row>
    <row r="369" spans="5:13" s="6" customFormat="1" x14ac:dyDescent="0.2">
      <c r="E369" s="10"/>
      <c r="F369" s="8"/>
      <c r="G369" s="18"/>
      <c r="I369" s="37"/>
      <c r="L369" s="8"/>
      <c r="M369" s="8"/>
    </row>
    <row r="370" spans="5:13" s="6" customFormat="1" x14ac:dyDescent="0.2">
      <c r="E370" s="10"/>
      <c r="F370" s="8"/>
      <c r="G370" s="18"/>
      <c r="I370" s="37"/>
      <c r="L370" s="8"/>
      <c r="M370" s="8"/>
    </row>
    <row r="371" spans="5:13" s="6" customFormat="1" x14ac:dyDescent="0.2">
      <c r="E371" s="10"/>
      <c r="F371" s="8"/>
      <c r="G371" s="18"/>
      <c r="I371" s="37"/>
      <c r="L371" s="8"/>
      <c r="M371" s="8"/>
    </row>
    <row r="372" spans="5:13" s="6" customFormat="1" x14ac:dyDescent="0.2">
      <c r="E372" s="10"/>
      <c r="F372" s="8"/>
      <c r="G372" s="18"/>
      <c r="I372" s="37"/>
      <c r="L372" s="8"/>
      <c r="M372" s="8"/>
    </row>
    <row r="373" spans="5:13" s="6" customFormat="1" x14ac:dyDescent="0.2">
      <c r="E373" s="10"/>
      <c r="F373" s="8"/>
      <c r="G373" s="18"/>
      <c r="I373" s="37"/>
      <c r="L373" s="8"/>
      <c r="M373" s="8"/>
    </row>
    <row r="374" spans="5:13" s="6" customFormat="1" x14ac:dyDescent="0.2">
      <c r="E374" s="10"/>
      <c r="F374" s="8"/>
      <c r="G374" s="18"/>
      <c r="I374" s="37"/>
      <c r="L374" s="8"/>
      <c r="M374" s="8"/>
    </row>
    <row r="375" spans="5:13" s="6" customFormat="1" x14ac:dyDescent="0.2">
      <c r="E375" s="10"/>
      <c r="F375" s="8"/>
      <c r="G375" s="18"/>
      <c r="I375" s="37"/>
      <c r="L375" s="8"/>
      <c r="M375" s="8"/>
    </row>
    <row r="376" spans="5:13" s="6" customFormat="1" x14ac:dyDescent="0.2">
      <c r="E376" s="10"/>
      <c r="F376" s="8"/>
      <c r="G376" s="18"/>
      <c r="I376" s="37"/>
      <c r="L376" s="8"/>
      <c r="M376" s="8"/>
    </row>
    <row r="377" spans="5:13" s="6" customFormat="1" x14ac:dyDescent="0.2">
      <c r="E377" s="10"/>
      <c r="F377" s="8"/>
      <c r="G377" s="18"/>
      <c r="I377" s="37"/>
      <c r="L377" s="8"/>
      <c r="M377" s="8"/>
    </row>
    <row r="378" spans="5:13" s="6" customFormat="1" x14ac:dyDescent="0.2">
      <c r="E378" s="10"/>
      <c r="F378" s="8"/>
      <c r="G378" s="18"/>
      <c r="I378" s="37"/>
      <c r="L378" s="8"/>
      <c r="M378" s="8"/>
    </row>
    <row r="379" spans="5:13" s="6" customFormat="1" x14ac:dyDescent="0.2">
      <c r="E379" s="10"/>
      <c r="F379" s="8"/>
      <c r="G379" s="18"/>
      <c r="I379" s="37"/>
      <c r="L379" s="8"/>
      <c r="M379" s="8"/>
    </row>
    <row r="380" spans="5:13" s="6" customFormat="1" x14ac:dyDescent="0.2">
      <c r="E380" s="10"/>
      <c r="F380" s="8"/>
      <c r="G380" s="18"/>
      <c r="I380" s="37"/>
      <c r="L380" s="8"/>
      <c r="M380" s="8"/>
    </row>
    <row r="381" spans="5:13" s="6" customFormat="1" x14ac:dyDescent="0.2">
      <c r="E381" s="10"/>
      <c r="F381" s="8"/>
      <c r="G381" s="18"/>
      <c r="I381" s="37"/>
      <c r="L381" s="8"/>
      <c r="M381" s="8"/>
    </row>
    <row r="382" spans="5:13" s="6" customFormat="1" x14ac:dyDescent="0.2">
      <c r="E382" s="10"/>
      <c r="F382" s="8"/>
      <c r="G382" s="18"/>
      <c r="I382" s="37"/>
      <c r="L382" s="8"/>
      <c r="M382" s="8"/>
    </row>
    <row r="383" spans="5:13" s="6" customFormat="1" x14ac:dyDescent="0.2">
      <c r="E383" s="10"/>
      <c r="F383" s="8"/>
      <c r="G383" s="18"/>
      <c r="I383" s="37"/>
      <c r="L383" s="8"/>
      <c r="M383" s="8"/>
    </row>
    <row r="384" spans="5:13" s="6" customFormat="1" x14ac:dyDescent="0.2">
      <c r="E384" s="10"/>
      <c r="F384" s="8"/>
      <c r="G384" s="18"/>
      <c r="I384" s="37"/>
      <c r="L384" s="8"/>
      <c r="M384" s="8"/>
    </row>
    <row r="385" spans="5:13" s="6" customFormat="1" x14ac:dyDescent="0.2">
      <c r="E385" s="10"/>
      <c r="F385" s="8"/>
      <c r="G385" s="18"/>
      <c r="I385" s="37"/>
      <c r="L385" s="8"/>
      <c r="M385" s="8"/>
    </row>
    <row r="386" spans="5:13" s="6" customFormat="1" x14ac:dyDescent="0.2">
      <c r="E386" s="10"/>
      <c r="F386" s="8"/>
      <c r="G386" s="18"/>
      <c r="I386" s="37"/>
      <c r="L386" s="8"/>
      <c r="M386" s="8"/>
    </row>
    <row r="387" spans="5:13" s="6" customFormat="1" x14ac:dyDescent="0.2">
      <c r="E387" s="10"/>
      <c r="F387" s="8"/>
      <c r="G387" s="18"/>
      <c r="I387" s="37"/>
      <c r="L387" s="8"/>
      <c r="M387" s="8"/>
    </row>
    <row r="388" spans="5:13" s="6" customFormat="1" x14ac:dyDescent="0.2">
      <c r="E388" s="10"/>
      <c r="F388" s="8"/>
      <c r="G388" s="18"/>
      <c r="I388" s="37"/>
      <c r="L388" s="8"/>
      <c r="M388" s="8"/>
    </row>
    <row r="389" spans="5:13" s="6" customFormat="1" x14ac:dyDescent="0.2">
      <c r="E389" s="10"/>
      <c r="F389" s="8"/>
      <c r="G389" s="18"/>
      <c r="I389" s="37"/>
      <c r="L389" s="8"/>
      <c r="M389" s="8"/>
    </row>
    <row r="390" spans="5:13" s="6" customFormat="1" x14ac:dyDescent="0.2">
      <c r="E390" s="10"/>
      <c r="F390" s="8"/>
      <c r="G390" s="18"/>
      <c r="I390" s="37"/>
      <c r="L390" s="8"/>
      <c r="M390" s="8"/>
    </row>
    <row r="391" spans="5:13" s="6" customFormat="1" x14ac:dyDescent="0.2">
      <c r="E391" s="10"/>
      <c r="F391" s="8"/>
      <c r="G391" s="18"/>
      <c r="I391" s="37"/>
      <c r="L391" s="8"/>
      <c r="M391" s="8"/>
    </row>
    <row r="392" spans="5:13" s="6" customFormat="1" x14ac:dyDescent="0.2">
      <c r="E392" s="10"/>
      <c r="F392" s="8"/>
      <c r="G392" s="18"/>
      <c r="I392" s="37"/>
      <c r="L392" s="8"/>
      <c r="M392" s="8"/>
    </row>
    <row r="393" spans="5:13" s="6" customFormat="1" x14ac:dyDescent="0.2">
      <c r="E393" s="10"/>
      <c r="F393" s="8"/>
      <c r="G393" s="18"/>
      <c r="I393" s="37"/>
      <c r="L393" s="8"/>
      <c r="M393" s="8"/>
    </row>
    <row r="394" spans="5:13" s="6" customFormat="1" x14ac:dyDescent="0.2">
      <c r="E394" s="10"/>
      <c r="F394" s="8"/>
      <c r="G394" s="18"/>
      <c r="I394" s="37"/>
      <c r="L394" s="8"/>
      <c r="M394" s="8"/>
    </row>
    <row r="395" spans="5:13" s="6" customFormat="1" x14ac:dyDescent="0.2">
      <c r="E395" s="10"/>
      <c r="F395" s="8"/>
      <c r="G395" s="18"/>
      <c r="I395" s="37"/>
      <c r="L395" s="8"/>
      <c r="M395" s="8"/>
    </row>
    <row r="396" spans="5:13" s="6" customFormat="1" x14ac:dyDescent="0.2">
      <c r="E396" s="10"/>
      <c r="F396" s="8"/>
      <c r="G396" s="18"/>
      <c r="I396" s="37"/>
      <c r="L396" s="8"/>
      <c r="M396" s="8"/>
    </row>
    <row r="397" spans="5:13" s="6" customFormat="1" x14ac:dyDescent="0.2">
      <c r="E397" s="10"/>
      <c r="F397" s="8"/>
      <c r="G397" s="18"/>
      <c r="I397" s="37"/>
      <c r="L397" s="8"/>
      <c r="M397" s="8"/>
    </row>
    <row r="398" spans="5:13" s="6" customFormat="1" x14ac:dyDescent="0.2">
      <c r="E398" s="10"/>
      <c r="F398" s="8"/>
      <c r="G398" s="18"/>
      <c r="I398" s="37"/>
      <c r="L398" s="8"/>
      <c r="M398" s="8"/>
    </row>
    <row r="399" spans="5:13" s="6" customFormat="1" x14ac:dyDescent="0.2">
      <c r="E399" s="10"/>
      <c r="F399" s="8"/>
      <c r="G399" s="18"/>
      <c r="I399" s="37"/>
      <c r="L399" s="8"/>
      <c r="M399" s="8"/>
    </row>
    <row r="400" spans="5:13" s="6" customFormat="1" x14ac:dyDescent="0.2">
      <c r="E400" s="10"/>
      <c r="F400" s="8"/>
      <c r="G400" s="18"/>
      <c r="I400" s="37"/>
      <c r="L400" s="8"/>
      <c r="M400" s="8"/>
    </row>
    <row r="401" spans="5:13" s="6" customFormat="1" x14ac:dyDescent="0.2">
      <c r="E401" s="10"/>
      <c r="F401" s="8"/>
      <c r="G401" s="18"/>
      <c r="I401" s="37"/>
      <c r="L401" s="8"/>
      <c r="M401" s="8"/>
    </row>
    <row r="402" spans="5:13" s="6" customFormat="1" x14ac:dyDescent="0.2">
      <c r="E402" s="10"/>
      <c r="F402" s="8"/>
      <c r="G402" s="18"/>
      <c r="I402" s="37"/>
      <c r="L402" s="8"/>
      <c r="M402" s="8"/>
    </row>
    <row r="403" spans="5:13" s="6" customFormat="1" x14ac:dyDescent="0.2">
      <c r="E403" s="10"/>
      <c r="F403" s="8"/>
      <c r="G403" s="18"/>
      <c r="I403" s="37"/>
      <c r="L403" s="8"/>
      <c r="M403" s="8"/>
    </row>
    <row r="404" spans="5:13" s="6" customFormat="1" x14ac:dyDescent="0.2">
      <c r="E404" s="10"/>
      <c r="F404" s="8"/>
      <c r="G404" s="18"/>
      <c r="I404" s="37"/>
      <c r="L404" s="8"/>
      <c r="M404" s="8"/>
    </row>
    <row r="405" spans="5:13" s="6" customFormat="1" x14ac:dyDescent="0.2">
      <c r="E405" s="10"/>
      <c r="F405" s="8"/>
      <c r="G405" s="18"/>
      <c r="I405" s="37"/>
      <c r="L405" s="8"/>
      <c r="M405" s="8"/>
    </row>
    <row r="406" spans="5:13" s="6" customFormat="1" x14ac:dyDescent="0.2">
      <c r="E406" s="10"/>
      <c r="F406" s="8"/>
      <c r="G406" s="18"/>
      <c r="I406" s="37"/>
      <c r="L406" s="8"/>
      <c r="M406" s="8"/>
    </row>
    <row r="407" spans="5:13" s="6" customFormat="1" x14ac:dyDescent="0.2">
      <c r="E407" s="10"/>
      <c r="F407" s="8"/>
      <c r="G407" s="18"/>
      <c r="I407" s="37"/>
      <c r="L407" s="8"/>
      <c r="M407" s="8"/>
    </row>
    <row r="408" spans="5:13" s="6" customFormat="1" x14ac:dyDescent="0.2">
      <c r="E408" s="10"/>
      <c r="F408" s="8"/>
      <c r="G408" s="18"/>
      <c r="I408" s="37"/>
      <c r="L408" s="8"/>
      <c r="M408" s="8"/>
    </row>
    <row r="409" spans="5:13" s="6" customFormat="1" x14ac:dyDescent="0.2">
      <c r="E409" s="10"/>
      <c r="F409" s="8"/>
      <c r="G409" s="18"/>
      <c r="I409" s="37"/>
      <c r="L409" s="8"/>
      <c r="M409" s="8"/>
    </row>
    <row r="410" spans="5:13" s="6" customFormat="1" x14ac:dyDescent="0.2">
      <c r="E410" s="10"/>
      <c r="F410" s="8"/>
      <c r="G410" s="18"/>
      <c r="I410" s="37"/>
      <c r="L410" s="8"/>
      <c r="M410" s="8"/>
    </row>
    <row r="411" spans="5:13" s="6" customFormat="1" x14ac:dyDescent="0.2">
      <c r="E411" s="10"/>
      <c r="F411" s="8"/>
      <c r="G411" s="18"/>
      <c r="I411" s="37"/>
      <c r="L411" s="8"/>
      <c r="M411" s="8"/>
    </row>
    <row r="412" spans="5:13" s="6" customFormat="1" x14ac:dyDescent="0.2">
      <c r="E412" s="10"/>
      <c r="F412" s="8"/>
      <c r="G412" s="18"/>
      <c r="I412" s="37"/>
      <c r="L412" s="8"/>
      <c r="M412" s="8"/>
    </row>
    <row r="413" spans="5:13" s="6" customFormat="1" x14ac:dyDescent="0.2">
      <c r="E413" s="10"/>
      <c r="F413" s="8"/>
      <c r="G413" s="18"/>
      <c r="I413" s="37"/>
      <c r="L413" s="8"/>
      <c r="M413" s="8"/>
    </row>
    <row r="414" spans="5:13" s="6" customFormat="1" x14ac:dyDescent="0.2">
      <c r="E414" s="10"/>
      <c r="F414" s="8"/>
      <c r="G414" s="18"/>
      <c r="I414" s="37"/>
      <c r="L414" s="8"/>
      <c r="M414" s="8"/>
    </row>
    <row r="415" spans="5:13" s="6" customFormat="1" x14ac:dyDescent="0.2">
      <c r="E415" s="10"/>
      <c r="F415" s="8"/>
      <c r="G415" s="18"/>
      <c r="I415" s="37"/>
      <c r="L415" s="8"/>
      <c r="M415" s="8"/>
    </row>
    <row r="416" spans="5:13" s="6" customFormat="1" x14ac:dyDescent="0.2">
      <c r="E416" s="10"/>
      <c r="F416" s="8"/>
      <c r="G416" s="18"/>
      <c r="I416" s="37"/>
      <c r="L416" s="8"/>
      <c r="M416" s="8"/>
    </row>
    <row r="417" spans="5:13" s="6" customFormat="1" x14ac:dyDescent="0.2">
      <c r="E417" s="10"/>
      <c r="F417" s="8"/>
      <c r="G417" s="18"/>
      <c r="I417" s="37"/>
      <c r="L417" s="8"/>
      <c r="M417" s="8"/>
    </row>
    <row r="418" spans="5:13" s="6" customFormat="1" x14ac:dyDescent="0.2">
      <c r="E418" s="10"/>
      <c r="F418" s="8"/>
      <c r="G418" s="18"/>
      <c r="I418" s="37"/>
      <c r="L418" s="8"/>
      <c r="M418" s="8"/>
    </row>
    <row r="419" spans="5:13" s="6" customFormat="1" x14ac:dyDescent="0.2">
      <c r="E419" s="10"/>
      <c r="F419" s="8"/>
      <c r="G419" s="18"/>
      <c r="I419" s="37"/>
      <c r="L419" s="8"/>
      <c r="M419" s="8"/>
    </row>
    <row r="420" spans="5:13" s="6" customFormat="1" x14ac:dyDescent="0.2">
      <c r="E420" s="10"/>
      <c r="F420" s="8"/>
      <c r="G420" s="18"/>
      <c r="I420" s="37"/>
      <c r="L420" s="8"/>
      <c r="M420" s="8"/>
    </row>
    <row r="421" spans="5:13" s="6" customFormat="1" x14ac:dyDescent="0.2">
      <c r="E421" s="10"/>
      <c r="F421" s="8"/>
      <c r="G421" s="18"/>
      <c r="I421" s="37"/>
      <c r="L421" s="8"/>
      <c r="M421" s="8"/>
    </row>
    <row r="422" spans="5:13" s="6" customFormat="1" x14ac:dyDescent="0.2">
      <c r="E422" s="10"/>
      <c r="F422" s="8"/>
      <c r="G422" s="18"/>
      <c r="I422" s="37"/>
      <c r="L422" s="8"/>
      <c r="M422" s="8"/>
    </row>
    <row r="423" spans="5:13" s="6" customFormat="1" x14ac:dyDescent="0.2">
      <c r="E423" s="10"/>
      <c r="F423" s="8"/>
      <c r="G423" s="18"/>
      <c r="I423" s="37"/>
      <c r="L423" s="8"/>
      <c r="M423" s="8"/>
    </row>
    <row r="424" spans="5:13" s="6" customFormat="1" x14ac:dyDescent="0.2">
      <c r="E424" s="10"/>
      <c r="F424" s="8"/>
      <c r="G424" s="18"/>
      <c r="I424" s="37"/>
      <c r="L424" s="8"/>
      <c r="M424" s="8"/>
    </row>
    <row r="425" spans="5:13" s="6" customFormat="1" x14ac:dyDescent="0.2">
      <c r="E425" s="10"/>
      <c r="F425" s="8"/>
      <c r="G425" s="18"/>
      <c r="I425" s="37"/>
      <c r="L425" s="8"/>
      <c r="M425" s="8"/>
    </row>
    <row r="426" spans="5:13" s="6" customFormat="1" x14ac:dyDescent="0.2">
      <c r="E426" s="10"/>
      <c r="F426" s="8"/>
      <c r="G426" s="18"/>
      <c r="I426" s="37"/>
      <c r="L426" s="8"/>
      <c r="M426" s="8"/>
    </row>
    <row r="427" spans="5:13" s="6" customFormat="1" x14ac:dyDescent="0.2">
      <c r="E427" s="10"/>
      <c r="F427" s="8"/>
      <c r="G427" s="18"/>
      <c r="I427" s="37"/>
      <c r="L427" s="8"/>
      <c r="M427" s="8"/>
    </row>
    <row r="428" spans="5:13" s="6" customFormat="1" x14ac:dyDescent="0.2">
      <c r="E428" s="10"/>
      <c r="F428" s="8"/>
      <c r="G428" s="18"/>
      <c r="I428" s="37"/>
      <c r="L428" s="8"/>
      <c r="M428" s="8"/>
    </row>
    <row r="429" spans="5:13" s="6" customFormat="1" x14ac:dyDescent="0.2">
      <c r="E429" s="10"/>
      <c r="F429" s="8"/>
      <c r="G429" s="18"/>
      <c r="I429" s="37"/>
      <c r="L429" s="8"/>
      <c r="M429" s="8"/>
    </row>
    <row r="430" spans="5:13" s="6" customFormat="1" x14ac:dyDescent="0.2">
      <c r="E430" s="10"/>
      <c r="F430" s="8"/>
      <c r="G430" s="18"/>
      <c r="I430" s="37"/>
      <c r="L430" s="8"/>
      <c r="M430" s="8"/>
    </row>
    <row r="431" spans="5:13" s="6" customFormat="1" x14ac:dyDescent="0.2">
      <c r="E431" s="10"/>
      <c r="F431" s="8"/>
      <c r="G431" s="18"/>
      <c r="I431" s="37"/>
      <c r="L431" s="8"/>
      <c r="M431" s="8"/>
    </row>
    <row r="432" spans="5:13" s="6" customFormat="1" x14ac:dyDescent="0.2">
      <c r="E432" s="10"/>
      <c r="F432" s="8"/>
      <c r="G432" s="18"/>
      <c r="I432" s="37"/>
      <c r="L432" s="8"/>
      <c r="M432" s="8"/>
    </row>
    <row r="433" spans="5:13" s="6" customFormat="1" x14ac:dyDescent="0.2">
      <c r="E433" s="10"/>
      <c r="F433" s="8"/>
      <c r="G433" s="18"/>
      <c r="I433" s="37"/>
      <c r="L433" s="8"/>
      <c r="M433" s="8"/>
    </row>
    <row r="434" spans="5:13" s="6" customFormat="1" x14ac:dyDescent="0.2">
      <c r="E434" s="10"/>
      <c r="F434" s="8"/>
      <c r="G434" s="18"/>
      <c r="I434" s="37"/>
      <c r="L434" s="8"/>
      <c r="M434" s="8"/>
    </row>
    <row r="435" spans="5:13" s="6" customFormat="1" x14ac:dyDescent="0.2">
      <c r="E435" s="10"/>
      <c r="F435" s="8"/>
      <c r="G435" s="18"/>
      <c r="I435" s="37"/>
      <c r="L435" s="8"/>
      <c r="M435" s="8"/>
    </row>
    <row r="436" spans="5:13" s="6" customFormat="1" x14ac:dyDescent="0.2">
      <c r="E436" s="10"/>
      <c r="F436" s="8"/>
      <c r="G436" s="18"/>
      <c r="I436" s="37"/>
      <c r="L436" s="8"/>
      <c r="M436" s="8"/>
    </row>
    <row r="437" spans="5:13" s="6" customFormat="1" x14ac:dyDescent="0.2">
      <c r="E437" s="10"/>
      <c r="F437" s="8"/>
      <c r="G437" s="18"/>
      <c r="I437" s="37"/>
      <c r="L437" s="8"/>
      <c r="M437" s="8"/>
    </row>
    <row r="438" spans="5:13" s="6" customFormat="1" x14ac:dyDescent="0.2">
      <c r="E438" s="10"/>
      <c r="F438" s="8"/>
      <c r="G438" s="18"/>
      <c r="I438" s="37"/>
      <c r="L438" s="8"/>
      <c r="M438" s="8"/>
    </row>
    <row r="439" spans="5:13" s="6" customFormat="1" x14ac:dyDescent="0.2">
      <c r="E439" s="10"/>
      <c r="F439" s="8"/>
      <c r="G439" s="18"/>
      <c r="I439" s="37"/>
      <c r="L439" s="8"/>
      <c r="M439" s="8"/>
    </row>
    <row r="440" spans="5:13" s="6" customFormat="1" x14ac:dyDescent="0.2">
      <c r="E440" s="10"/>
      <c r="F440" s="8"/>
      <c r="G440" s="18"/>
      <c r="I440" s="37"/>
      <c r="L440" s="8"/>
      <c r="M440" s="8"/>
    </row>
    <row r="441" spans="5:13" s="6" customFormat="1" x14ac:dyDescent="0.2">
      <c r="E441" s="10"/>
      <c r="F441" s="8"/>
      <c r="G441" s="18"/>
      <c r="I441" s="37"/>
      <c r="L441" s="8"/>
      <c r="M441" s="8"/>
    </row>
    <row r="442" spans="5:13" s="6" customFormat="1" x14ac:dyDescent="0.2">
      <c r="E442" s="10"/>
      <c r="F442" s="8"/>
      <c r="G442" s="18"/>
      <c r="I442" s="37"/>
      <c r="L442" s="8"/>
      <c r="M442" s="8"/>
    </row>
    <row r="443" spans="5:13" s="6" customFormat="1" x14ac:dyDescent="0.2">
      <c r="E443" s="10"/>
      <c r="F443" s="8"/>
      <c r="G443" s="18"/>
      <c r="I443" s="37"/>
      <c r="L443" s="8"/>
      <c r="M443" s="8"/>
    </row>
    <row r="444" spans="5:13" s="6" customFormat="1" x14ac:dyDescent="0.2">
      <c r="E444" s="10"/>
      <c r="F444" s="8"/>
      <c r="G444" s="18"/>
      <c r="I444" s="37"/>
      <c r="L444" s="8"/>
      <c r="M444" s="8"/>
    </row>
    <row r="445" spans="5:13" s="6" customFormat="1" x14ac:dyDescent="0.2">
      <c r="E445" s="10"/>
      <c r="F445" s="8"/>
      <c r="G445" s="18"/>
      <c r="I445" s="37"/>
      <c r="L445" s="8"/>
      <c r="M445" s="8"/>
    </row>
    <row r="446" spans="5:13" s="6" customFormat="1" x14ac:dyDescent="0.2">
      <c r="E446" s="10"/>
      <c r="F446" s="8"/>
      <c r="G446" s="18"/>
      <c r="I446" s="37"/>
      <c r="L446" s="8"/>
      <c r="M446" s="8"/>
    </row>
    <row r="447" spans="5:13" s="6" customFormat="1" x14ac:dyDescent="0.2">
      <c r="E447" s="10"/>
      <c r="F447" s="8"/>
      <c r="G447" s="18"/>
      <c r="I447" s="37"/>
      <c r="L447" s="8"/>
      <c r="M447" s="8"/>
    </row>
    <row r="448" spans="5:13" s="6" customFormat="1" x14ac:dyDescent="0.2">
      <c r="E448" s="10"/>
      <c r="F448" s="8"/>
      <c r="G448" s="18"/>
      <c r="I448" s="37"/>
      <c r="L448" s="8"/>
      <c r="M448" s="8"/>
    </row>
    <row r="449" spans="5:13" s="6" customFormat="1" x14ac:dyDescent="0.2">
      <c r="E449" s="10"/>
      <c r="F449" s="8"/>
      <c r="G449" s="18"/>
      <c r="I449" s="37"/>
      <c r="L449" s="8"/>
      <c r="M449" s="8"/>
    </row>
    <row r="450" spans="5:13" s="6" customFormat="1" x14ac:dyDescent="0.2">
      <c r="E450" s="10"/>
      <c r="F450" s="8"/>
      <c r="G450" s="18"/>
      <c r="I450" s="37"/>
      <c r="L450" s="8"/>
      <c r="M450" s="8"/>
    </row>
    <row r="451" spans="5:13" s="6" customFormat="1" x14ac:dyDescent="0.2">
      <c r="E451" s="10"/>
      <c r="F451" s="8"/>
      <c r="G451" s="18"/>
      <c r="I451" s="37"/>
      <c r="L451" s="8"/>
      <c r="M451" s="8"/>
    </row>
    <row r="452" spans="5:13" s="6" customFormat="1" x14ac:dyDescent="0.2">
      <c r="E452" s="10"/>
      <c r="F452" s="8"/>
      <c r="G452" s="18"/>
      <c r="I452" s="37"/>
      <c r="L452" s="8"/>
      <c r="M452" s="8"/>
    </row>
    <row r="453" spans="5:13" s="6" customFormat="1" x14ac:dyDescent="0.2">
      <c r="E453" s="10"/>
      <c r="F453" s="8"/>
      <c r="G453" s="18"/>
      <c r="I453" s="37"/>
      <c r="L453" s="8"/>
      <c r="M453" s="8"/>
    </row>
    <row r="454" spans="5:13" s="6" customFormat="1" x14ac:dyDescent="0.2">
      <c r="E454" s="10"/>
      <c r="F454" s="8"/>
      <c r="G454" s="18"/>
      <c r="I454" s="37"/>
      <c r="L454" s="8"/>
      <c r="M454" s="8"/>
    </row>
    <row r="455" spans="5:13" s="6" customFormat="1" x14ac:dyDescent="0.2">
      <c r="E455" s="10"/>
      <c r="F455" s="8"/>
      <c r="G455" s="18"/>
      <c r="I455" s="37"/>
      <c r="L455" s="8"/>
      <c r="M455" s="8"/>
    </row>
    <row r="456" spans="5:13" s="6" customFormat="1" x14ac:dyDescent="0.2">
      <c r="E456" s="10"/>
      <c r="F456" s="8"/>
      <c r="G456" s="18"/>
      <c r="I456" s="37"/>
      <c r="L456" s="8"/>
      <c r="M456" s="8"/>
    </row>
    <row r="457" spans="5:13" s="6" customFormat="1" x14ac:dyDescent="0.2">
      <c r="E457" s="10"/>
      <c r="F457" s="8"/>
      <c r="G457" s="18"/>
      <c r="I457" s="37"/>
      <c r="L457" s="8"/>
      <c r="M457" s="8"/>
    </row>
    <row r="458" spans="5:13" s="6" customFormat="1" x14ac:dyDescent="0.2">
      <c r="E458" s="10"/>
      <c r="F458" s="8"/>
      <c r="G458" s="18"/>
      <c r="I458" s="37"/>
      <c r="L458" s="8"/>
      <c r="M458" s="8"/>
    </row>
    <row r="459" spans="5:13" s="6" customFormat="1" x14ac:dyDescent="0.2">
      <c r="E459" s="10"/>
      <c r="F459" s="8"/>
      <c r="G459" s="18"/>
      <c r="I459" s="37"/>
      <c r="L459" s="8"/>
      <c r="M459" s="8"/>
    </row>
  </sheetData>
  <sheetProtection algorithmName="SHA-512" hashValue="T0UvcFneAjDDjoIfGseXxSAIyxPZDZ4WjxbbRi/4qLIYAgi+ZyuyzVqUx78NVRBykD8xdp4vIuRQ3zOKsjfXXQ==" saltValue="o9DvRwLitZw7+MR1AWyomw==" spinCount="100000" sheet="1" objects="1" scenarios="1" selectLockedCells="1"/>
  <conditionalFormatting sqref="E10">
    <cfRule type="cellIs" dxfId="494" priority="15" operator="equal">
      <formula>$I14</formula>
    </cfRule>
  </conditionalFormatting>
  <conditionalFormatting sqref="E11">
    <cfRule type="cellIs" dxfId="493" priority="14" operator="equal">
      <formula>$I14</formula>
    </cfRule>
  </conditionalFormatting>
  <conditionalFormatting sqref="E12">
    <cfRule type="cellIs" dxfId="492" priority="13" operator="equal">
      <formula>$I14</formula>
    </cfRule>
  </conditionalFormatting>
  <conditionalFormatting sqref="E18">
    <cfRule type="cellIs" dxfId="491" priority="12" operator="equal">
      <formula>$G22</formula>
    </cfRule>
  </conditionalFormatting>
  <conditionalFormatting sqref="E19">
    <cfRule type="cellIs" dxfId="490" priority="11" operator="equal">
      <formula>$G22</formula>
    </cfRule>
  </conditionalFormatting>
  <conditionalFormatting sqref="E20">
    <cfRule type="cellIs" dxfId="489" priority="10" operator="equal">
      <formula>$G22</formula>
    </cfRule>
  </conditionalFormatting>
  <conditionalFormatting sqref="E18 E26 E34 E42 E50 E58 E66 E74 E82 E90 E98 E106 E114 E122 E130 E138 E146 E154 E162 E170 E178 E186 E194 E202 E210 E218 E226 E234 E242">
    <cfRule type="cellIs" dxfId="488" priority="9" operator="equal">
      <formula>$G22</formula>
    </cfRule>
  </conditionalFormatting>
  <conditionalFormatting sqref="E19 E27 E35 E43 E51 E59 E67 E75 E83 E91 E99 E107 E115 E123 E131 E139 E147 E155 E163 E171 E179 E187 E195 E203 E211 E219 E227 E235 E243">
    <cfRule type="cellIs" dxfId="487" priority="8" operator="equal">
      <formula>$G22</formula>
    </cfRule>
  </conditionalFormatting>
  <conditionalFormatting sqref="E20 E28 E36 E44 E52 E60 E68 E76 E84 E92 E100 E108 E116 E124 E132 E140 E148 E156 E164 E172 E180 E188 E196 E204 E212 E220 E228 E236 E244">
    <cfRule type="cellIs" dxfId="486" priority="7" operator="equal">
      <formula>$G22</formula>
    </cfRule>
  </conditionalFormatting>
  <conditionalFormatting sqref="E18 E26 E34 E42 E50 E58 E66 E74 E82 E90 E98 E106 E114 E122 E130 E138 E146 E154 E162 E170 E178 E186 E194 E202 E210 E218 E226 E234 E242">
    <cfRule type="cellIs" dxfId="485" priority="6" operator="equal">
      <formula>$G22</formula>
    </cfRule>
  </conditionalFormatting>
  <conditionalFormatting sqref="E19 E27 E35 E43 E51 E59 E67 E75 E83 E91 E99 E107 E115 E123 E131 E139 E147 E155 E163 E171 E179 E187 E195 E203 E211 E219 E227 E235 E243">
    <cfRule type="cellIs" dxfId="484" priority="5" operator="equal">
      <formula>$G22</formula>
    </cfRule>
  </conditionalFormatting>
  <conditionalFormatting sqref="E20 E28 E36 E44 E52 E60 E68 E76 E84 E92 E100 E108 E116 E124 E132 E140 E148 E156 E164 E172 E180 E188 E196 E204 E212 E220 E228 E236 E244">
    <cfRule type="cellIs" dxfId="483" priority="4" operator="equal">
      <formula>$G22</formula>
    </cfRule>
  </conditionalFormatting>
  <conditionalFormatting sqref="E18 E26 E34 E42 E50 E58 E66 E74 E82 E90 E98 E106 E114 E122 E130 E138 E146 E154 E162 E170 E178 E186 E194 E202 E210 E218 E226 E234 E242">
    <cfRule type="cellIs" dxfId="482" priority="3" operator="equal">
      <formula>$I22</formula>
    </cfRule>
  </conditionalFormatting>
  <conditionalFormatting sqref="E19 E27 E35 E43 E51 E59 E67 E75 E83 E91 E99 E107 E115 E123 E131 E139 E147 E155 E163 E171 E179 E187 E195 E203 E211 E219 E227 E235 E243">
    <cfRule type="cellIs" dxfId="481" priority="2" operator="equal">
      <formula>$I22</formula>
    </cfRule>
  </conditionalFormatting>
  <conditionalFormatting sqref="E20 E28 E36 E44 E52 E60 E68 E76 E84 E92 E100 E108 E116 E124 E132 E140 E148 E156 E164 E172 E180 E188 E196 E204 E212 E220 E228 E236 E244">
    <cfRule type="cellIs" dxfId="480" priority="1" operator="equal">
      <formula>$I22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A459"/>
  <sheetViews>
    <sheetView zoomScaleNormal="100" workbookViewId="0">
      <pane xSplit="26" ySplit="6" topLeftCell="AA7" activePane="bottomRight" state="frozenSplit"/>
      <selection pane="topRight" activeCell="AA1" sqref="AA1"/>
      <selection pane="bottomLeft" activeCell="A7" sqref="A7"/>
      <selection pane="bottomRight" activeCell="I14" sqref="I14"/>
    </sheetView>
  </sheetViews>
  <sheetFormatPr defaultRowHeight="11.25" x14ac:dyDescent="0.2"/>
  <cols>
    <col min="1" max="1" width="4.7109375" style="2" customWidth="1"/>
    <col min="2" max="2" width="2.7109375" style="6" customWidth="1"/>
    <col min="3" max="3" width="1.7109375" style="6" customWidth="1"/>
    <col min="4" max="4" width="1.7109375" style="2" customWidth="1"/>
    <col min="5" max="5" width="2.7109375" style="11" customWidth="1"/>
    <col min="6" max="6" width="1.7109375" style="9" customWidth="1"/>
    <col min="7" max="7" width="12.7109375" style="17" customWidth="1"/>
    <col min="8" max="8" width="1.7109375" style="2" customWidth="1"/>
    <col min="9" max="9" width="10.7109375" style="38" customWidth="1"/>
    <col min="10" max="11" width="10.7109375" style="2" customWidth="1"/>
    <col min="12" max="12" width="7.7109375" style="9" customWidth="1"/>
    <col min="13" max="13" width="7.7109375" style="2" customWidth="1"/>
    <col min="14" max="14" width="28.7109375" style="2" customWidth="1"/>
    <col min="15" max="26" width="10.7109375" style="2" customWidth="1"/>
    <col min="27" max="51" width="9.140625" style="2"/>
    <col min="52" max="53" width="9.140625" style="45"/>
    <col min="54" max="16384" width="9.140625" style="2"/>
  </cols>
  <sheetData>
    <row r="1" spans="1:53" s="50" customFormat="1" ht="15" x14ac:dyDescent="0.25">
      <c r="A1" s="50" t="s">
        <v>184</v>
      </c>
      <c r="E1" s="51"/>
      <c r="F1" s="52"/>
      <c r="G1" s="53"/>
      <c r="I1" s="54"/>
      <c r="L1" s="52"/>
      <c r="AZ1" s="55"/>
      <c r="BA1" s="55"/>
    </row>
    <row r="2" spans="1:53" s="27" customFormat="1" ht="15.75" x14ac:dyDescent="0.25">
      <c r="A2" s="26"/>
      <c r="B2" s="24"/>
      <c r="C2" s="24"/>
      <c r="E2" s="28"/>
      <c r="F2" s="29"/>
      <c r="G2" s="30"/>
      <c r="I2" s="35"/>
      <c r="L2" s="29"/>
      <c r="AZ2" s="43"/>
      <c r="BA2" s="43"/>
    </row>
    <row r="3" spans="1:53" s="27" customFormat="1" x14ac:dyDescent="0.2">
      <c r="B3" s="24"/>
      <c r="C3" s="24"/>
      <c r="E3" s="25" t="s">
        <v>195</v>
      </c>
      <c r="G3" s="31">
        <v>45132.375516898152</v>
      </c>
      <c r="H3" s="28"/>
      <c r="I3" s="30"/>
      <c r="J3" s="28"/>
      <c r="K3" s="25" t="s">
        <v>185</v>
      </c>
      <c r="L3" s="29">
        <v>30</v>
      </c>
      <c r="AZ3" s="43"/>
      <c r="BA3" s="43"/>
    </row>
    <row r="4" spans="1:53" s="27" customFormat="1" x14ac:dyDescent="0.2">
      <c r="B4" s="24"/>
      <c r="C4" s="24"/>
      <c r="E4" s="25" t="s">
        <v>193</v>
      </c>
      <c r="G4" s="31">
        <v>45132.372188425928</v>
      </c>
      <c r="H4" s="28"/>
      <c r="I4" s="30"/>
      <c r="K4" s="25" t="s">
        <v>186</v>
      </c>
      <c r="L4" s="29">
        <v>30</v>
      </c>
      <c r="AZ4" s="43"/>
      <c r="BA4" s="43"/>
    </row>
    <row r="5" spans="1:53" s="27" customFormat="1" x14ac:dyDescent="0.2">
      <c r="B5" s="24"/>
      <c r="C5" s="24"/>
      <c r="E5" s="25" t="s">
        <v>194</v>
      </c>
      <c r="G5" s="31">
        <v>45132.375516898152</v>
      </c>
      <c r="H5" s="28"/>
      <c r="I5" s="30"/>
      <c r="K5" s="25" t="s">
        <v>187</v>
      </c>
      <c r="L5" s="49" t="s">
        <v>318</v>
      </c>
      <c r="AZ5" s="43"/>
      <c r="BA5" s="43"/>
    </row>
    <row r="6" spans="1:53" s="27" customFormat="1" x14ac:dyDescent="0.2">
      <c r="B6" s="24"/>
      <c r="C6" s="24"/>
      <c r="E6" s="28"/>
      <c r="F6" s="29"/>
      <c r="G6" s="30"/>
      <c r="I6" s="35"/>
      <c r="L6" s="29"/>
      <c r="AZ6" s="43"/>
      <c r="BA6" s="43"/>
    </row>
    <row r="7" spans="1:53" s="5" customFormat="1" x14ac:dyDescent="0.2">
      <c r="B7" s="21"/>
      <c r="C7" s="21"/>
      <c r="E7" s="22"/>
      <c r="F7" s="23"/>
      <c r="G7" s="20"/>
      <c r="I7" s="36"/>
      <c r="L7" s="23"/>
      <c r="AZ7" s="44"/>
      <c r="BA7" s="44"/>
    </row>
    <row r="8" spans="1:53" s="6" customFormat="1" x14ac:dyDescent="0.2">
      <c r="B8" s="6">
        <v>1</v>
      </c>
      <c r="C8" s="6" t="s">
        <v>90</v>
      </c>
      <c r="D8" s="6" t="s">
        <v>91</v>
      </c>
      <c r="E8" s="10"/>
      <c r="F8" s="8"/>
      <c r="G8" s="18"/>
      <c r="I8" s="37"/>
      <c r="L8" s="8"/>
      <c r="AZ8" s="45">
        <f>IF(Тестирование!$M$3=1,VLOOKUP(MAX($B$8:$B8),'Часть 0'!$A$3:$B$32,2,0),"")</f>
        <v>2</v>
      </c>
      <c r="BA8" s="45">
        <f>VLOOKUP(MAX($B$8:$B8),'Часть 0'!$A$3:$C$32,3,0)</f>
        <v>2</v>
      </c>
    </row>
    <row r="9" spans="1:53" ht="5.0999999999999996" customHeight="1" x14ac:dyDescent="0.2">
      <c r="AZ9" s="45">
        <f>IF(Тестирование!$M$3=1,VLOOKUP(MAX($B$8:$B9),'Часть 0'!$A$3:$B$32,2,0),"")</f>
        <v>2</v>
      </c>
      <c r="BA9" s="45">
        <f>VLOOKUP(MAX($B$8:$B9),'Часть 0'!$A$3:$C$32,3,0)</f>
        <v>2</v>
      </c>
    </row>
    <row r="10" spans="1:53" x14ac:dyDescent="0.2">
      <c r="C10" s="7"/>
      <c r="E10" s="11">
        <v>1</v>
      </c>
      <c r="F10" s="9" t="s">
        <v>156</v>
      </c>
      <c r="G10" s="17" t="s">
        <v>0</v>
      </c>
      <c r="AZ10" s="45">
        <f>IF(Тестирование!$M$3=1,VLOOKUP(MAX($B$8:$B10),'Часть 0'!$A$3:$B$32,2,0),"")</f>
        <v>2</v>
      </c>
      <c r="BA10" s="45">
        <f>VLOOKUP(MAX($B$8:$B10),'Часть 0'!$A$3:$C$32,3,0)</f>
        <v>2</v>
      </c>
    </row>
    <row r="11" spans="1:53" x14ac:dyDescent="0.2">
      <c r="C11" s="7"/>
      <c r="E11" s="11">
        <v>2</v>
      </c>
      <c r="F11" s="9" t="s">
        <v>156</v>
      </c>
      <c r="G11" s="17" t="s">
        <v>1</v>
      </c>
      <c r="AZ11" s="45">
        <f>IF(Тестирование!$M$3=1,VLOOKUP(MAX($B$8:$B11),'Часть 0'!$A$3:$B$32,2,0),"")</f>
        <v>2</v>
      </c>
      <c r="BA11" s="45">
        <f>VLOOKUP(MAX($B$8:$B11),'Часть 0'!$A$3:$C$32,3,0)</f>
        <v>2</v>
      </c>
    </row>
    <row r="12" spans="1:53" x14ac:dyDescent="0.2">
      <c r="C12" s="7"/>
      <c r="E12" s="11">
        <v>3</v>
      </c>
      <c r="F12" s="9" t="s">
        <v>156</v>
      </c>
      <c r="G12" s="17" t="s">
        <v>2</v>
      </c>
      <c r="AZ12" s="45">
        <f>IF(Тестирование!$M$3=1,VLOOKUP(MAX($B$8:$B12),'Часть 0'!$A$3:$B$32,2,0),"")</f>
        <v>2</v>
      </c>
      <c r="BA12" s="45">
        <f>VLOOKUP(MAX($B$8:$B12),'Часть 0'!$A$3:$C$32,3,0)</f>
        <v>2</v>
      </c>
    </row>
    <row r="13" spans="1:53" ht="5.0999999999999996" customHeight="1" thickBot="1" x14ac:dyDescent="0.25">
      <c r="G13" s="19"/>
      <c r="H13" s="4"/>
      <c r="I13" s="40"/>
      <c r="AZ13" s="45">
        <f>IF(Тестирование!$M$3=1,VLOOKUP(MAX($B$8:$B13),'Часть 0'!$A$3:$B$32,2,0),"")</f>
        <v>2</v>
      </c>
      <c r="BA13" s="45">
        <f>VLOOKUP(MAX($B$8:$B13),'Часть 0'!$A$3:$C$32,3,0)</f>
        <v>2</v>
      </c>
    </row>
    <row r="14" spans="1:53" ht="12" thickBot="1" x14ac:dyDescent="0.25">
      <c r="C14" s="61">
        <v>1</v>
      </c>
      <c r="D14" s="6" t="s">
        <v>220</v>
      </c>
      <c r="E14" s="6"/>
      <c r="F14" s="6"/>
      <c r="G14" s="6"/>
      <c r="H14" s="7"/>
      <c r="I14" s="124">
        <v>2</v>
      </c>
      <c r="J14" s="3"/>
      <c r="AZ14" s="45">
        <f>IF(Тестирование!$M$3=1,VLOOKUP(MAX($B$8:$B14),'Часть 0'!$A$3:$B$32,2,0),"")</f>
        <v>2</v>
      </c>
      <c r="BA14" s="45">
        <f>VLOOKUP(MAX($B$8:$B14),'Часть 0'!$A$3:$C$32,3,0)</f>
        <v>2</v>
      </c>
    </row>
    <row r="15" spans="1:53" x14ac:dyDescent="0.2">
      <c r="G15" s="20"/>
      <c r="H15" s="5"/>
      <c r="I15" s="36"/>
      <c r="AZ15" s="45">
        <f>IF(Тестирование!$M$3=1,VLOOKUP(MAX($B$8:$B15),'Часть 0'!$A$3:$B$32,2,0),"")</f>
        <v>2</v>
      </c>
      <c r="BA15" s="45">
        <f>VLOOKUP(MAX($B$8:$B15),'Часть 0'!$A$3:$C$32,3,0)</f>
        <v>2</v>
      </c>
    </row>
    <row r="16" spans="1:53" s="6" customFormat="1" x14ac:dyDescent="0.2">
      <c r="B16" s="6">
        <v>2</v>
      </c>
      <c r="C16" s="6" t="s">
        <v>90</v>
      </c>
      <c r="D16" s="6" t="s">
        <v>92</v>
      </c>
      <c r="E16" s="10"/>
      <c r="F16" s="8"/>
      <c r="G16" s="18"/>
      <c r="I16" s="37"/>
      <c r="L16" s="8"/>
      <c r="AZ16" s="45">
        <f>IF(Тестирование!$M$3=1,VLOOKUP(MAX($B$8:$B16),'Часть 0'!$A$3:$B$32,2,0),"")</f>
        <v>2</v>
      </c>
      <c r="BA16" s="45">
        <f>VLOOKUP(MAX($B$8:$B16),'Часть 0'!$A$3:$C$32,3,0)</f>
        <v>2</v>
      </c>
    </row>
    <row r="17" spans="2:53" ht="5.0999999999999996" customHeight="1" x14ac:dyDescent="0.2">
      <c r="AZ17" s="45">
        <f>IF(Тестирование!$M$3=1,VLOOKUP(MAX($B$8:$B17),'Часть 0'!$A$3:$B$32,2,0),"")</f>
        <v>2</v>
      </c>
      <c r="BA17" s="45">
        <f>VLOOKUP(MAX($B$8:$B17),'Часть 0'!$A$3:$C$32,3,0)</f>
        <v>2</v>
      </c>
    </row>
    <row r="18" spans="2:53" x14ac:dyDescent="0.2">
      <c r="C18" s="7"/>
      <c r="E18" s="11">
        <v>1</v>
      </c>
      <c r="F18" s="9" t="s">
        <v>156</v>
      </c>
      <c r="G18" s="17" t="s">
        <v>3</v>
      </c>
      <c r="AZ18" s="45">
        <f>IF(Тестирование!$M$3=1,VLOOKUP(MAX($B$8:$B18),'Часть 0'!$A$3:$B$32,2,0),"")</f>
        <v>2</v>
      </c>
      <c r="BA18" s="45">
        <f>VLOOKUP(MAX($B$8:$B18),'Часть 0'!$A$3:$C$32,3,0)</f>
        <v>2</v>
      </c>
    </row>
    <row r="19" spans="2:53" x14ac:dyDescent="0.2">
      <c r="C19" s="7"/>
      <c r="E19" s="11">
        <v>2</v>
      </c>
      <c r="F19" s="9" t="s">
        <v>156</v>
      </c>
      <c r="G19" s="17" t="s">
        <v>4</v>
      </c>
      <c r="AZ19" s="45">
        <f>IF(Тестирование!$M$3=1,VLOOKUP(MAX($B$8:$B19),'Часть 0'!$A$3:$B$32,2,0),"")</f>
        <v>2</v>
      </c>
      <c r="BA19" s="45">
        <f>VLOOKUP(MAX($B$8:$B19),'Часть 0'!$A$3:$C$32,3,0)</f>
        <v>2</v>
      </c>
    </row>
    <row r="20" spans="2:53" x14ac:dyDescent="0.2">
      <c r="C20" s="7"/>
      <c r="E20" s="11">
        <v>3</v>
      </c>
      <c r="F20" s="9" t="s">
        <v>156</v>
      </c>
      <c r="G20" s="17" t="s">
        <v>5</v>
      </c>
      <c r="AZ20" s="45">
        <f>IF(Тестирование!$M$3=1,VLOOKUP(MAX($B$8:$B20),'Часть 0'!$A$3:$B$32,2,0),"")</f>
        <v>2</v>
      </c>
      <c r="BA20" s="45">
        <f>VLOOKUP(MAX($B$8:$B20),'Часть 0'!$A$3:$C$32,3,0)</f>
        <v>2</v>
      </c>
    </row>
    <row r="21" spans="2:53" ht="5.0999999999999996" customHeight="1" thickBot="1" x14ac:dyDescent="0.25">
      <c r="G21" s="19"/>
      <c r="H21" s="4"/>
      <c r="AZ21" s="45">
        <f>IF(Тестирование!$M$3=1,VLOOKUP(MAX($B$8:$B21),'Часть 0'!$A$3:$B$32,2,0),"")</f>
        <v>2</v>
      </c>
      <c r="BA21" s="45">
        <f>VLOOKUP(MAX($B$8:$B21),'Часть 0'!$A$3:$C$32,3,0)</f>
        <v>2</v>
      </c>
    </row>
    <row r="22" spans="2:53" ht="12" thickBot="1" x14ac:dyDescent="0.25">
      <c r="C22" s="61">
        <v>2</v>
      </c>
      <c r="D22" s="6" t="s">
        <v>220</v>
      </c>
      <c r="E22" s="6"/>
      <c r="F22" s="6"/>
      <c r="G22" s="6"/>
      <c r="H22" s="6"/>
      <c r="I22" s="124">
        <v>2</v>
      </c>
      <c r="AZ22" s="45">
        <f>IF(Тестирование!$M$3=1,VLOOKUP(MAX($B$8:$B22),'Часть 0'!$A$3:$B$32,2,0),"")</f>
        <v>2</v>
      </c>
      <c r="BA22" s="45">
        <f>VLOOKUP(MAX($B$8:$B22),'Часть 0'!$A$3:$C$32,3,0)</f>
        <v>2</v>
      </c>
    </row>
    <row r="23" spans="2:53" x14ac:dyDescent="0.2">
      <c r="G23" s="20"/>
      <c r="H23" s="5"/>
      <c r="AZ23" s="45">
        <f>IF(Тестирование!$M$3=1,VLOOKUP(MAX($B$8:$B23),'Часть 0'!$A$3:$B$32,2,0),"")</f>
        <v>2</v>
      </c>
      <c r="BA23" s="45">
        <f>VLOOKUP(MAX($B$8:$B23),'Часть 0'!$A$3:$C$32,3,0)</f>
        <v>2</v>
      </c>
    </row>
    <row r="24" spans="2:53" s="6" customFormat="1" x14ac:dyDescent="0.2">
      <c r="B24" s="6">
        <v>3</v>
      </c>
      <c r="C24" s="6" t="s">
        <v>90</v>
      </c>
      <c r="D24" s="6" t="s">
        <v>93</v>
      </c>
      <c r="E24" s="10"/>
      <c r="F24" s="8"/>
      <c r="G24" s="18"/>
      <c r="I24" s="37"/>
      <c r="L24" s="8"/>
      <c r="AZ24" s="45">
        <f>IF(Тестирование!$M$3=1,VLOOKUP(MAX($B$8:$B24),'Часть 0'!$A$3:$B$32,2,0),"")</f>
        <v>3</v>
      </c>
      <c r="BA24" s="45">
        <f>VLOOKUP(MAX($B$8:$B24),'Часть 0'!$A$3:$C$32,3,0)</f>
        <v>3</v>
      </c>
    </row>
    <row r="25" spans="2:53" ht="5.0999999999999996" customHeight="1" x14ac:dyDescent="0.2">
      <c r="AZ25" s="45">
        <f>IF(Тестирование!$M$3=1,VLOOKUP(MAX($B$8:$B25),'Часть 0'!$A$3:$B$32,2,0),"")</f>
        <v>3</v>
      </c>
      <c r="BA25" s="45">
        <f>VLOOKUP(MAX($B$8:$B25),'Часть 0'!$A$3:$C$32,3,0)</f>
        <v>3</v>
      </c>
    </row>
    <row r="26" spans="2:53" x14ac:dyDescent="0.2">
      <c r="C26" s="7"/>
      <c r="E26" s="11">
        <v>1</v>
      </c>
      <c r="F26" s="9" t="s">
        <v>156</v>
      </c>
      <c r="G26" s="17" t="s">
        <v>6</v>
      </c>
      <c r="AZ26" s="45">
        <f>IF(Тестирование!$M$3=1,VLOOKUP(MAX($B$8:$B26),'Часть 0'!$A$3:$B$32,2,0),"")</f>
        <v>3</v>
      </c>
      <c r="BA26" s="45">
        <f>VLOOKUP(MAX($B$8:$B26),'Часть 0'!$A$3:$C$32,3,0)</f>
        <v>3</v>
      </c>
    </row>
    <row r="27" spans="2:53" x14ac:dyDescent="0.2">
      <c r="C27" s="7"/>
      <c r="E27" s="11">
        <v>2</v>
      </c>
      <c r="F27" s="9" t="s">
        <v>156</v>
      </c>
      <c r="G27" s="17" t="s">
        <v>7</v>
      </c>
      <c r="AZ27" s="45">
        <f>IF(Тестирование!$M$3=1,VLOOKUP(MAX($B$8:$B27),'Часть 0'!$A$3:$B$32,2,0),"")</f>
        <v>3</v>
      </c>
      <c r="BA27" s="45">
        <f>VLOOKUP(MAX($B$8:$B27),'Часть 0'!$A$3:$C$32,3,0)</f>
        <v>3</v>
      </c>
    </row>
    <row r="28" spans="2:53" x14ac:dyDescent="0.2">
      <c r="C28" s="7"/>
      <c r="E28" s="11">
        <v>3</v>
      </c>
      <c r="F28" s="9" t="s">
        <v>156</v>
      </c>
      <c r="G28" s="17" t="s">
        <v>8</v>
      </c>
      <c r="AZ28" s="45">
        <f>IF(Тестирование!$M$3=1,VLOOKUP(MAX($B$8:$B28),'Часть 0'!$A$3:$B$32,2,0),"")</f>
        <v>3</v>
      </c>
      <c r="BA28" s="45">
        <f>VLOOKUP(MAX($B$8:$B28),'Часть 0'!$A$3:$C$32,3,0)</f>
        <v>3</v>
      </c>
    </row>
    <row r="29" spans="2:53" ht="5.0999999999999996" customHeight="1" thickBot="1" x14ac:dyDescent="0.25">
      <c r="G29" s="19"/>
      <c r="H29" s="4"/>
      <c r="AZ29" s="45">
        <f>IF(Тестирование!$M$3=1,VLOOKUP(MAX($B$8:$B29),'Часть 0'!$A$3:$B$32,2,0),"")</f>
        <v>3</v>
      </c>
      <c r="BA29" s="45">
        <f>VLOOKUP(MAX($B$8:$B29),'Часть 0'!$A$3:$C$32,3,0)</f>
        <v>3</v>
      </c>
    </row>
    <row r="30" spans="2:53" ht="12" thickBot="1" x14ac:dyDescent="0.25">
      <c r="C30" s="61">
        <v>3</v>
      </c>
      <c r="D30" s="6" t="s">
        <v>220</v>
      </c>
      <c r="E30" s="6"/>
      <c r="F30" s="6"/>
      <c r="G30" s="6"/>
      <c r="H30" s="6"/>
      <c r="I30" s="124">
        <v>3</v>
      </c>
      <c r="AZ30" s="45">
        <f>IF(Тестирование!$M$3=1,VLOOKUP(MAX($B$8:$B30),'Часть 0'!$A$3:$B$32,2,0),"")</f>
        <v>3</v>
      </c>
      <c r="BA30" s="45">
        <f>VLOOKUP(MAX($B$8:$B30),'Часть 0'!$A$3:$C$32,3,0)</f>
        <v>3</v>
      </c>
    </row>
    <row r="31" spans="2:53" x14ac:dyDescent="0.2">
      <c r="G31" s="20"/>
      <c r="H31" s="5"/>
      <c r="AZ31" s="45">
        <f>IF(Тестирование!$M$3=1,VLOOKUP(MAX($B$8:$B31),'Часть 0'!$A$3:$B$32,2,0),"")</f>
        <v>3</v>
      </c>
      <c r="BA31" s="45">
        <f>VLOOKUP(MAX($B$8:$B31),'Часть 0'!$A$3:$C$32,3,0)</f>
        <v>3</v>
      </c>
    </row>
    <row r="32" spans="2:53" s="6" customFormat="1" x14ac:dyDescent="0.2">
      <c r="B32" s="6">
        <v>4</v>
      </c>
      <c r="C32" s="6" t="s">
        <v>90</v>
      </c>
      <c r="D32" s="6" t="s">
        <v>94</v>
      </c>
      <c r="E32" s="10"/>
      <c r="F32" s="8"/>
      <c r="G32" s="18"/>
      <c r="I32" s="37"/>
      <c r="L32" s="8"/>
      <c r="AZ32" s="45">
        <f>IF(Тестирование!$M$3=1,VLOOKUP(MAX($B$8:$B32),'Часть 0'!$A$3:$B$32,2,0),"")</f>
        <v>1</v>
      </c>
      <c r="BA32" s="45">
        <f>VLOOKUP(MAX($B$8:$B32),'Часть 0'!$A$3:$C$32,3,0)</f>
        <v>1</v>
      </c>
    </row>
    <row r="33" spans="2:53" ht="5.0999999999999996" customHeight="1" x14ac:dyDescent="0.2">
      <c r="AZ33" s="45">
        <f>IF(Тестирование!$M$3=1,VLOOKUP(MAX($B$8:$B33),'Часть 0'!$A$3:$B$32,2,0),"")</f>
        <v>1</v>
      </c>
      <c r="BA33" s="45">
        <f>VLOOKUP(MAX($B$8:$B33),'Часть 0'!$A$3:$C$32,3,0)</f>
        <v>1</v>
      </c>
    </row>
    <row r="34" spans="2:53" x14ac:dyDescent="0.2">
      <c r="C34" s="7"/>
      <c r="E34" s="11">
        <v>1</v>
      </c>
      <c r="F34" s="9" t="s">
        <v>156</v>
      </c>
      <c r="G34" s="17" t="s">
        <v>9</v>
      </c>
      <c r="AZ34" s="45">
        <f>IF(Тестирование!$M$3=1,VLOOKUP(MAX($B$8:$B34),'Часть 0'!$A$3:$B$32,2,0),"")</f>
        <v>1</v>
      </c>
      <c r="BA34" s="45">
        <f>VLOOKUP(MAX($B$8:$B34),'Часть 0'!$A$3:$C$32,3,0)</f>
        <v>1</v>
      </c>
    </row>
    <row r="35" spans="2:53" x14ac:dyDescent="0.2">
      <c r="C35" s="7"/>
      <c r="E35" s="11">
        <v>2</v>
      </c>
      <c r="F35" s="9" t="s">
        <v>156</v>
      </c>
      <c r="G35" s="17" t="s">
        <v>10</v>
      </c>
      <c r="AZ35" s="45">
        <f>IF(Тестирование!$M$3=1,VLOOKUP(MAX($B$8:$B35),'Часть 0'!$A$3:$B$32,2,0),"")</f>
        <v>1</v>
      </c>
      <c r="BA35" s="45">
        <f>VLOOKUP(MAX($B$8:$B35),'Часть 0'!$A$3:$C$32,3,0)</f>
        <v>1</v>
      </c>
    </row>
    <row r="36" spans="2:53" x14ac:dyDescent="0.2">
      <c r="C36" s="7"/>
      <c r="E36" s="11">
        <v>3</v>
      </c>
      <c r="F36" s="9" t="s">
        <v>156</v>
      </c>
      <c r="G36" s="17" t="s">
        <v>11</v>
      </c>
      <c r="AZ36" s="45">
        <f>IF(Тестирование!$M$3=1,VLOOKUP(MAX($B$8:$B36),'Часть 0'!$A$3:$B$32,2,0),"")</f>
        <v>1</v>
      </c>
      <c r="BA36" s="45">
        <f>VLOOKUP(MAX($B$8:$B36),'Часть 0'!$A$3:$C$32,3,0)</f>
        <v>1</v>
      </c>
    </row>
    <row r="37" spans="2:53" ht="5.0999999999999996" customHeight="1" thickBot="1" x14ac:dyDescent="0.25">
      <c r="G37" s="19"/>
      <c r="H37" s="4"/>
      <c r="AZ37" s="45">
        <f>IF(Тестирование!$M$3=1,VLOOKUP(MAX($B$8:$B37),'Часть 0'!$A$3:$B$32,2,0),"")</f>
        <v>1</v>
      </c>
      <c r="BA37" s="45">
        <f>VLOOKUP(MAX($B$8:$B37),'Часть 0'!$A$3:$C$32,3,0)</f>
        <v>1</v>
      </c>
    </row>
    <row r="38" spans="2:53" ht="12" thickBot="1" x14ac:dyDescent="0.25">
      <c r="C38" s="61">
        <v>4</v>
      </c>
      <c r="D38" s="6" t="s">
        <v>220</v>
      </c>
      <c r="E38" s="6"/>
      <c r="F38" s="6"/>
      <c r="G38" s="6"/>
      <c r="H38" s="6"/>
      <c r="I38" s="124">
        <v>1</v>
      </c>
      <c r="AZ38" s="45">
        <f>IF(Тестирование!$M$3=1,VLOOKUP(MAX($B$8:$B38),'Часть 0'!$A$3:$B$32,2,0),"")</f>
        <v>1</v>
      </c>
      <c r="BA38" s="45">
        <f>VLOOKUP(MAX($B$8:$B38),'Часть 0'!$A$3:$C$32,3,0)</f>
        <v>1</v>
      </c>
    </row>
    <row r="39" spans="2:53" x14ac:dyDescent="0.2">
      <c r="G39" s="20"/>
      <c r="H39" s="5"/>
      <c r="AZ39" s="45">
        <f>IF(Тестирование!$M$3=1,VLOOKUP(MAX($B$8:$B39),'Часть 0'!$A$3:$B$32,2,0),"")</f>
        <v>1</v>
      </c>
      <c r="BA39" s="45">
        <f>VLOOKUP(MAX($B$8:$B39),'Часть 0'!$A$3:$C$32,3,0)</f>
        <v>1</v>
      </c>
    </row>
    <row r="40" spans="2:53" s="6" customFormat="1" x14ac:dyDescent="0.2">
      <c r="B40" s="6">
        <v>5</v>
      </c>
      <c r="C40" s="6" t="s">
        <v>90</v>
      </c>
      <c r="D40" s="6" t="s">
        <v>95</v>
      </c>
      <c r="E40" s="10"/>
      <c r="F40" s="8"/>
      <c r="G40" s="18"/>
      <c r="I40" s="37"/>
      <c r="L40" s="8"/>
      <c r="AZ40" s="45">
        <f>IF(Тестирование!$M$3=1,VLOOKUP(MAX($B$8:$B40),'Часть 0'!$A$3:$B$32,2,0),"")</f>
        <v>3</v>
      </c>
      <c r="BA40" s="45">
        <f>VLOOKUP(MAX($B$8:$B40),'Часть 0'!$A$3:$C$32,3,0)</f>
        <v>3</v>
      </c>
    </row>
    <row r="41" spans="2:53" ht="5.0999999999999996" customHeight="1" x14ac:dyDescent="0.2">
      <c r="AZ41" s="45">
        <f>IF(Тестирование!$M$3=1,VLOOKUP(MAX($B$8:$B41),'Часть 0'!$A$3:$B$32,2,0),"")</f>
        <v>3</v>
      </c>
      <c r="BA41" s="45">
        <f>VLOOKUP(MAX($B$8:$B41),'Часть 0'!$A$3:$C$32,3,0)</f>
        <v>3</v>
      </c>
    </row>
    <row r="42" spans="2:53" x14ac:dyDescent="0.2">
      <c r="C42" s="7"/>
      <c r="E42" s="11">
        <v>1</v>
      </c>
      <c r="F42" s="9" t="s">
        <v>156</v>
      </c>
      <c r="G42" s="17" t="s">
        <v>12</v>
      </c>
      <c r="AZ42" s="45">
        <f>IF(Тестирование!$M$3=1,VLOOKUP(MAX($B$8:$B42),'Часть 0'!$A$3:$B$32,2,0),"")</f>
        <v>3</v>
      </c>
      <c r="BA42" s="45">
        <f>VLOOKUP(MAX($B$8:$B42),'Часть 0'!$A$3:$C$32,3,0)</f>
        <v>3</v>
      </c>
    </row>
    <row r="43" spans="2:53" x14ac:dyDescent="0.2">
      <c r="C43" s="7"/>
      <c r="E43" s="11">
        <v>2</v>
      </c>
      <c r="F43" s="9" t="s">
        <v>156</v>
      </c>
      <c r="G43" s="17" t="s">
        <v>13</v>
      </c>
      <c r="AZ43" s="45">
        <f>IF(Тестирование!$M$3=1,VLOOKUP(MAX($B$8:$B43),'Часть 0'!$A$3:$B$32,2,0),"")</f>
        <v>3</v>
      </c>
      <c r="BA43" s="45">
        <f>VLOOKUP(MAX($B$8:$B43),'Часть 0'!$A$3:$C$32,3,0)</f>
        <v>3</v>
      </c>
    </row>
    <row r="44" spans="2:53" x14ac:dyDescent="0.2">
      <c r="C44" s="7"/>
      <c r="E44" s="11">
        <v>3</v>
      </c>
      <c r="F44" s="9" t="s">
        <v>156</v>
      </c>
      <c r="G44" s="17" t="s">
        <v>14</v>
      </c>
      <c r="AZ44" s="45">
        <f>IF(Тестирование!$M$3=1,VLOOKUP(MAX($B$8:$B44),'Часть 0'!$A$3:$B$32,2,0),"")</f>
        <v>3</v>
      </c>
      <c r="BA44" s="45">
        <f>VLOOKUP(MAX($B$8:$B44),'Часть 0'!$A$3:$C$32,3,0)</f>
        <v>3</v>
      </c>
    </row>
    <row r="45" spans="2:53" ht="5.0999999999999996" customHeight="1" thickBot="1" x14ac:dyDescent="0.25">
      <c r="G45" s="19"/>
      <c r="H45" s="4"/>
      <c r="AZ45" s="45">
        <f>IF(Тестирование!$M$3=1,VLOOKUP(MAX($B$8:$B45),'Часть 0'!$A$3:$B$32,2,0),"")</f>
        <v>3</v>
      </c>
      <c r="BA45" s="45">
        <f>VLOOKUP(MAX($B$8:$B45),'Часть 0'!$A$3:$C$32,3,0)</f>
        <v>3</v>
      </c>
    </row>
    <row r="46" spans="2:53" ht="12" thickBot="1" x14ac:dyDescent="0.25">
      <c r="C46" s="61">
        <v>5</v>
      </c>
      <c r="D46" s="6" t="s">
        <v>220</v>
      </c>
      <c r="E46" s="6"/>
      <c r="F46" s="6"/>
      <c r="G46" s="6"/>
      <c r="H46" s="6"/>
      <c r="I46" s="124">
        <v>3</v>
      </c>
      <c r="AZ46" s="45">
        <f>IF(Тестирование!$M$3=1,VLOOKUP(MAX($B$8:$B46),'Часть 0'!$A$3:$B$32,2,0),"")</f>
        <v>3</v>
      </c>
      <c r="BA46" s="45">
        <f>VLOOKUP(MAX($B$8:$B46),'Часть 0'!$A$3:$C$32,3,0)</f>
        <v>3</v>
      </c>
    </row>
    <row r="47" spans="2:53" x14ac:dyDescent="0.2">
      <c r="G47" s="20"/>
      <c r="H47" s="5"/>
      <c r="AZ47" s="45">
        <f>IF(Тестирование!$M$3=1,VLOOKUP(MAX($B$8:$B47),'Часть 0'!$A$3:$B$32,2,0),"")</f>
        <v>3</v>
      </c>
      <c r="BA47" s="45">
        <f>VLOOKUP(MAX($B$8:$B47),'Часть 0'!$A$3:$C$32,3,0)</f>
        <v>3</v>
      </c>
    </row>
    <row r="48" spans="2:53" s="6" customFormat="1" x14ac:dyDescent="0.2">
      <c r="B48" s="6">
        <v>6</v>
      </c>
      <c r="C48" s="6" t="s">
        <v>90</v>
      </c>
      <c r="D48" s="6" t="s">
        <v>96</v>
      </c>
      <c r="E48" s="10"/>
      <c r="F48" s="8"/>
      <c r="G48" s="18"/>
      <c r="I48" s="37"/>
      <c r="L48" s="8"/>
      <c r="AZ48" s="45">
        <f>IF(Тестирование!$M$3=1,VLOOKUP(MAX($B$8:$B48),'Часть 0'!$A$3:$B$32,2,0),"")</f>
        <v>1</v>
      </c>
      <c r="BA48" s="45">
        <f>VLOOKUP(MAX($B$8:$B48),'Часть 0'!$A$3:$C$32,3,0)</f>
        <v>1</v>
      </c>
    </row>
    <row r="49" spans="2:53" ht="5.0999999999999996" customHeight="1" x14ac:dyDescent="0.2">
      <c r="AZ49" s="45">
        <f>IF(Тестирование!$M$3=1,VLOOKUP(MAX($B$8:$B49),'Часть 0'!$A$3:$B$32,2,0),"")</f>
        <v>1</v>
      </c>
      <c r="BA49" s="45">
        <f>VLOOKUP(MAX($B$8:$B49),'Часть 0'!$A$3:$C$32,3,0)</f>
        <v>1</v>
      </c>
    </row>
    <row r="50" spans="2:53" x14ac:dyDescent="0.2">
      <c r="C50" s="7"/>
      <c r="E50" s="11">
        <v>1</v>
      </c>
      <c r="F50" s="9" t="s">
        <v>156</v>
      </c>
      <c r="G50" s="17" t="s">
        <v>15</v>
      </c>
      <c r="AZ50" s="45">
        <f>IF(Тестирование!$M$3=1,VLOOKUP(MAX($B$8:$B50),'Часть 0'!$A$3:$B$32,2,0),"")</f>
        <v>1</v>
      </c>
      <c r="BA50" s="45">
        <f>VLOOKUP(MAX($B$8:$B50),'Часть 0'!$A$3:$C$32,3,0)</f>
        <v>1</v>
      </c>
    </row>
    <row r="51" spans="2:53" x14ac:dyDescent="0.2">
      <c r="C51" s="7"/>
      <c r="E51" s="11">
        <v>2</v>
      </c>
      <c r="F51" s="9" t="s">
        <v>156</v>
      </c>
      <c r="G51" s="17" t="s">
        <v>16</v>
      </c>
      <c r="AZ51" s="45">
        <f>IF(Тестирование!$M$3=1,VLOOKUP(MAX($B$8:$B51),'Часть 0'!$A$3:$B$32,2,0),"")</f>
        <v>1</v>
      </c>
      <c r="BA51" s="45">
        <f>VLOOKUP(MAX($B$8:$B51),'Часть 0'!$A$3:$C$32,3,0)</f>
        <v>1</v>
      </c>
    </row>
    <row r="52" spans="2:53" x14ac:dyDescent="0.2">
      <c r="C52" s="7"/>
      <c r="E52" s="11">
        <v>3</v>
      </c>
      <c r="F52" s="9" t="s">
        <v>156</v>
      </c>
      <c r="G52" s="17" t="s">
        <v>17</v>
      </c>
      <c r="AZ52" s="45">
        <f>IF(Тестирование!$M$3=1,VLOOKUP(MAX($B$8:$B52),'Часть 0'!$A$3:$B$32,2,0),"")</f>
        <v>1</v>
      </c>
      <c r="BA52" s="45">
        <f>VLOOKUP(MAX($B$8:$B52),'Часть 0'!$A$3:$C$32,3,0)</f>
        <v>1</v>
      </c>
    </row>
    <row r="53" spans="2:53" ht="5.0999999999999996" customHeight="1" thickBot="1" x14ac:dyDescent="0.25">
      <c r="G53" s="19"/>
      <c r="H53" s="4"/>
      <c r="AZ53" s="45">
        <f>IF(Тестирование!$M$3=1,VLOOKUP(MAX($B$8:$B53),'Часть 0'!$A$3:$B$32,2,0),"")</f>
        <v>1</v>
      </c>
      <c r="BA53" s="45">
        <f>VLOOKUP(MAX($B$8:$B53),'Часть 0'!$A$3:$C$32,3,0)</f>
        <v>1</v>
      </c>
    </row>
    <row r="54" spans="2:53" ht="12" thickBot="1" x14ac:dyDescent="0.25">
      <c r="C54" s="61">
        <v>6</v>
      </c>
      <c r="D54" s="6" t="s">
        <v>220</v>
      </c>
      <c r="E54" s="6"/>
      <c r="F54" s="6"/>
      <c r="G54" s="6"/>
      <c r="H54" s="6"/>
      <c r="I54" s="124">
        <v>1</v>
      </c>
      <c r="AZ54" s="45">
        <f>IF(Тестирование!$M$3=1,VLOOKUP(MAX($B$8:$B54),'Часть 0'!$A$3:$B$32,2,0),"")</f>
        <v>1</v>
      </c>
      <c r="BA54" s="45">
        <f>VLOOKUP(MAX($B$8:$B54),'Часть 0'!$A$3:$C$32,3,0)</f>
        <v>1</v>
      </c>
    </row>
    <row r="55" spans="2:53" x14ac:dyDescent="0.2">
      <c r="G55" s="20"/>
      <c r="H55" s="5"/>
      <c r="AZ55" s="45">
        <f>IF(Тестирование!$M$3=1,VLOOKUP(MAX($B$8:$B55),'Часть 0'!$A$3:$B$32,2,0),"")</f>
        <v>1</v>
      </c>
      <c r="BA55" s="45">
        <f>VLOOKUP(MAX($B$8:$B55),'Часть 0'!$A$3:$C$32,3,0)</f>
        <v>1</v>
      </c>
    </row>
    <row r="56" spans="2:53" s="6" customFormat="1" x14ac:dyDescent="0.2">
      <c r="B56" s="6">
        <v>7</v>
      </c>
      <c r="C56" s="6" t="s">
        <v>90</v>
      </c>
      <c r="D56" s="6" t="s">
        <v>97</v>
      </c>
      <c r="E56" s="10"/>
      <c r="F56" s="8"/>
      <c r="G56" s="18"/>
      <c r="I56" s="37"/>
      <c r="L56" s="8"/>
      <c r="AZ56" s="45">
        <f>IF(Тестирование!$M$3=1,VLOOKUP(MAX($B$8:$B56),'Часть 0'!$A$3:$B$32,2,0),"")</f>
        <v>1</v>
      </c>
      <c r="BA56" s="45">
        <f>VLOOKUP(MAX($B$8:$B56),'Часть 0'!$A$3:$C$32,3,0)</f>
        <v>2</v>
      </c>
    </row>
    <row r="57" spans="2:53" ht="5.0999999999999996" customHeight="1" x14ac:dyDescent="0.2">
      <c r="AZ57" s="45">
        <f>IF(Тестирование!$M$3=1,VLOOKUP(MAX($B$8:$B57),'Часть 0'!$A$3:$B$32,2,0),"")</f>
        <v>1</v>
      </c>
      <c r="BA57" s="45">
        <f>VLOOKUP(MAX($B$8:$B57),'Часть 0'!$A$3:$C$32,3,0)</f>
        <v>2</v>
      </c>
    </row>
    <row r="58" spans="2:53" x14ac:dyDescent="0.2">
      <c r="C58" s="7"/>
      <c r="E58" s="11">
        <v>1</v>
      </c>
      <c r="F58" s="9" t="s">
        <v>156</v>
      </c>
      <c r="G58" s="17" t="s">
        <v>18</v>
      </c>
      <c r="AZ58" s="45">
        <f>IF(Тестирование!$M$3=1,VLOOKUP(MAX($B$8:$B58),'Часть 0'!$A$3:$B$32,2,0),"")</f>
        <v>1</v>
      </c>
      <c r="BA58" s="45">
        <f>VLOOKUP(MAX($B$8:$B58),'Часть 0'!$A$3:$C$32,3,0)</f>
        <v>2</v>
      </c>
    </row>
    <row r="59" spans="2:53" x14ac:dyDescent="0.2">
      <c r="C59" s="7"/>
      <c r="E59" s="11">
        <v>2</v>
      </c>
      <c r="F59" s="9" t="s">
        <v>156</v>
      </c>
      <c r="G59" s="17" t="s">
        <v>19</v>
      </c>
      <c r="AZ59" s="45">
        <f>IF(Тестирование!$M$3=1,VLOOKUP(MAX($B$8:$B59),'Часть 0'!$A$3:$B$32,2,0),"")</f>
        <v>1</v>
      </c>
      <c r="BA59" s="45">
        <f>VLOOKUP(MAX($B$8:$B59),'Часть 0'!$A$3:$C$32,3,0)</f>
        <v>2</v>
      </c>
    </row>
    <row r="60" spans="2:53" x14ac:dyDescent="0.2">
      <c r="C60" s="7"/>
      <c r="E60" s="11">
        <v>3</v>
      </c>
      <c r="F60" s="9" t="s">
        <v>156</v>
      </c>
      <c r="G60" s="17" t="s">
        <v>20</v>
      </c>
      <c r="AZ60" s="45">
        <f>IF(Тестирование!$M$3=1,VLOOKUP(MAX($B$8:$B60),'Часть 0'!$A$3:$B$32,2,0),"")</f>
        <v>1</v>
      </c>
      <c r="BA60" s="45">
        <f>VLOOKUP(MAX($B$8:$B60),'Часть 0'!$A$3:$C$32,3,0)</f>
        <v>2</v>
      </c>
    </row>
    <row r="61" spans="2:53" ht="5.0999999999999996" customHeight="1" thickBot="1" x14ac:dyDescent="0.25">
      <c r="G61" s="19"/>
      <c r="H61" s="4"/>
      <c r="AZ61" s="45">
        <f>IF(Тестирование!$M$3=1,VLOOKUP(MAX($B$8:$B61),'Часть 0'!$A$3:$B$32,2,0),"")</f>
        <v>1</v>
      </c>
      <c r="BA61" s="45">
        <f>VLOOKUP(MAX($B$8:$B61),'Часть 0'!$A$3:$C$32,3,0)</f>
        <v>2</v>
      </c>
    </row>
    <row r="62" spans="2:53" ht="12" thickBot="1" x14ac:dyDescent="0.25">
      <c r="C62" s="61">
        <v>7</v>
      </c>
      <c r="D62" s="6" t="s">
        <v>220</v>
      </c>
      <c r="E62" s="6"/>
      <c r="F62" s="6"/>
      <c r="G62" s="6"/>
      <c r="H62" s="6"/>
      <c r="I62" s="124">
        <v>2</v>
      </c>
      <c r="AZ62" s="45">
        <f>IF(Тестирование!$M$3=1,VLOOKUP(MAX($B$8:$B62),'Часть 0'!$A$3:$B$32,2,0),"")</f>
        <v>1</v>
      </c>
      <c r="BA62" s="45">
        <f>VLOOKUP(MAX($B$8:$B62),'Часть 0'!$A$3:$C$32,3,0)</f>
        <v>2</v>
      </c>
    </row>
    <row r="63" spans="2:53" x14ac:dyDescent="0.2">
      <c r="G63" s="20"/>
      <c r="H63" s="5"/>
      <c r="AZ63" s="45">
        <f>IF(Тестирование!$M$3=1,VLOOKUP(MAX($B$8:$B63),'Часть 0'!$A$3:$B$32,2,0),"")</f>
        <v>1</v>
      </c>
      <c r="BA63" s="45">
        <f>VLOOKUP(MAX($B$8:$B63),'Часть 0'!$A$3:$C$32,3,0)</f>
        <v>2</v>
      </c>
    </row>
    <row r="64" spans="2:53" s="6" customFormat="1" x14ac:dyDescent="0.2">
      <c r="B64" s="6">
        <v>8</v>
      </c>
      <c r="C64" s="6" t="s">
        <v>90</v>
      </c>
      <c r="D64" s="6" t="s">
        <v>98</v>
      </c>
      <c r="E64" s="10"/>
      <c r="F64" s="8"/>
      <c r="G64" s="18"/>
      <c r="I64" s="37"/>
      <c r="L64" s="8"/>
      <c r="AZ64" s="45">
        <f>IF(Тестирование!$M$3=1,VLOOKUP(MAX($B$8:$B64),'Часть 0'!$A$3:$B$32,2,0),"")</f>
        <v>2</v>
      </c>
      <c r="BA64" s="45">
        <f>VLOOKUP(MAX($B$8:$B64),'Часть 0'!$A$3:$C$32,3,0)</f>
        <v>2</v>
      </c>
    </row>
    <row r="65" spans="2:53" ht="5.0999999999999996" customHeight="1" x14ac:dyDescent="0.2">
      <c r="AZ65" s="45">
        <f>IF(Тестирование!$M$3=1,VLOOKUP(MAX($B$8:$B65),'Часть 0'!$A$3:$B$32,2,0),"")</f>
        <v>2</v>
      </c>
      <c r="BA65" s="45">
        <f>VLOOKUP(MAX($B$8:$B65),'Часть 0'!$A$3:$C$32,3,0)</f>
        <v>2</v>
      </c>
    </row>
    <row r="66" spans="2:53" x14ac:dyDescent="0.2">
      <c r="C66" s="7"/>
      <c r="E66" s="11">
        <v>1</v>
      </c>
      <c r="F66" s="9" t="s">
        <v>156</v>
      </c>
      <c r="G66" s="17" t="s">
        <v>21</v>
      </c>
      <c r="AZ66" s="45">
        <f>IF(Тестирование!$M$3=1,VLOOKUP(MAX($B$8:$B66),'Часть 0'!$A$3:$B$32,2,0),"")</f>
        <v>2</v>
      </c>
      <c r="BA66" s="45">
        <f>VLOOKUP(MAX($B$8:$B66),'Часть 0'!$A$3:$C$32,3,0)</f>
        <v>2</v>
      </c>
    </row>
    <row r="67" spans="2:53" x14ac:dyDescent="0.2">
      <c r="C67" s="7"/>
      <c r="E67" s="11">
        <v>2</v>
      </c>
      <c r="F67" s="9" t="s">
        <v>156</v>
      </c>
      <c r="G67" s="17" t="s">
        <v>22</v>
      </c>
      <c r="AZ67" s="45">
        <f>IF(Тестирование!$M$3=1,VLOOKUP(MAX($B$8:$B67),'Часть 0'!$A$3:$B$32,2,0),"")</f>
        <v>2</v>
      </c>
      <c r="BA67" s="45">
        <f>VLOOKUP(MAX($B$8:$B67),'Часть 0'!$A$3:$C$32,3,0)</f>
        <v>2</v>
      </c>
    </row>
    <row r="68" spans="2:53" x14ac:dyDescent="0.2">
      <c r="C68" s="7"/>
      <c r="E68" s="11">
        <v>3</v>
      </c>
      <c r="F68" s="9" t="s">
        <v>156</v>
      </c>
      <c r="G68" s="17" t="s">
        <v>23</v>
      </c>
      <c r="AZ68" s="45">
        <f>IF(Тестирование!$M$3=1,VLOOKUP(MAX($B$8:$B68),'Часть 0'!$A$3:$B$32,2,0),"")</f>
        <v>2</v>
      </c>
      <c r="BA68" s="45">
        <f>VLOOKUP(MAX($B$8:$B68),'Часть 0'!$A$3:$C$32,3,0)</f>
        <v>2</v>
      </c>
    </row>
    <row r="69" spans="2:53" ht="5.0999999999999996" customHeight="1" thickBot="1" x14ac:dyDescent="0.25">
      <c r="G69" s="19"/>
      <c r="H69" s="4"/>
      <c r="AZ69" s="45">
        <f>IF(Тестирование!$M$3=1,VLOOKUP(MAX($B$8:$B69),'Часть 0'!$A$3:$B$32,2,0),"")</f>
        <v>2</v>
      </c>
      <c r="BA69" s="45">
        <f>VLOOKUP(MAX($B$8:$B69),'Часть 0'!$A$3:$C$32,3,0)</f>
        <v>2</v>
      </c>
    </row>
    <row r="70" spans="2:53" ht="12" thickBot="1" x14ac:dyDescent="0.25">
      <c r="C70" s="61">
        <v>8</v>
      </c>
      <c r="D70" s="6" t="s">
        <v>220</v>
      </c>
      <c r="E70" s="6"/>
      <c r="F70" s="6"/>
      <c r="G70" s="6"/>
      <c r="H70" s="6"/>
      <c r="I70" s="124">
        <v>2</v>
      </c>
      <c r="AZ70" s="45">
        <f>IF(Тестирование!$M$3=1,VLOOKUP(MAX($B$8:$B70),'Часть 0'!$A$3:$B$32,2,0),"")</f>
        <v>2</v>
      </c>
      <c r="BA70" s="45">
        <f>VLOOKUP(MAX($B$8:$B70),'Часть 0'!$A$3:$C$32,3,0)</f>
        <v>2</v>
      </c>
    </row>
    <row r="71" spans="2:53" x14ac:dyDescent="0.2">
      <c r="G71" s="20"/>
      <c r="H71" s="5"/>
      <c r="AZ71" s="45">
        <f>IF(Тестирование!$M$3=1,VLOOKUP(MAX($B$8:$B71),'Часть 0'!$A$3:$B$32,2,0),"")</f>
        <v>2</v>
      </c>
      <c r="BA71" s="45">
        <f>VLOOKUP(MAX($B$8:$B71),'Часть 0'!$A$3:$C$32,3,0)</f>
        <v>2</v>
      </c>
    </row>
    <row r="72" spans="2:53" s="6" customFormat="1" x14ac:dyDescent="0.2">
      <c r="B72" s="6">
        <v>9</v>
      </c>
      <c r="C72" s="6" t="s">
        <v>90</v>
      </c>
      <c r="D72" s="6" t="s">
        <v>99</v>
      </c>
      <c r="E72" s="10"/>
      <c r="F72" s="8"/>
      <c r="G72" s="18"/>
      <c r="I72" s="37"/>
      <c r="L72" s="8"/>
      <c r="AZ72" s="45">
        <f>IF(Тестирование!$M$3=1,VLOOKUP(MAX($B$8:$B72),'Часть 0'!$A$3:$B$32,2,0),"")</f>
        <v>3</v>
      </c>
      <c r="BA72" s="45">
        <f>VLOOKUP(MAX($B$8:$B72),'Часть 0'!$A$3:$C$32,3,0)</f>
        <v>3</v>
      </c>
    </row>
    <row r="73" spans="2:53" ht="5.0999999999999996" customHeight="1" x14ac:dyDescent="0.2">
      <c r="AZ73" s="45">
        <f>IF(Тестирование!$M$3=1,VLOOKUP(MAX($B$8:$B73),'Часть 0'!$A$3:$B$32,2,0),"")</f>
        <v>3</v>
      </c>
      <c r="BA73" s="45">
        <f>VLOOKUP(MAX($B$8:$B73),'Часть 0'!$A$3:$C$32,3,0)</f>
        <v>3</v>
      </c>
    </row>
    <row r="74" spans="2:53" x14ac:dyDescent="0.2">
      <c r="C74" s="7"/>
      <c r="E74" s="11">
        <v>1</v>
      </c>
      <c r="F74" s="9" t="s">
        <v>156</v>
      </c>
      <c r="G74" s="17" t="s">
        <v>24</v>
      </c>
      <c r="AZ74" s="45">
        <f>IF(Тестирование!$M$3=1,VLOOKUP(MAX($B$8:$B74),'Часть 0'!$A$3:$B$32,2,0),"")</f>
        <v>3</v>
      </c>
      <c r="BA74" s="45">
        <f>VLOOKUP(MAX($B$8:$B74),'Часть 0'!$A$3:$C$32,3,0)</f>
        <v>3</v>
      </c>
    </row>
    <row r="75" spans="2:53" x14ac:dyDescent="0.2">
      <c r="C75" s="7"/>
      <c r="E75" s="11">
        <v>2</v>
      </c>
      <c r="F75" s="9" t="s">
        <v>156</v>
      </c>
      <c r="G75" s="17" t="s">
        <v>25</v>
      </c>
      <c r="AZ75" s="45">
        <f>IF(Тестирование!$M$3=1,VLOOKUP(MAX($B$8:$B75),'Часть 0'!$A$3:$B$32,2,0),"")</f>
        <v>3</v>
      </c>
      <c r="BA75" s="45">
        <f>VLOOKUP(MAX($B$8:$B75),'Часть 0'!$A$3:$C$32,3,0)</f>
        <v>3</v>
      </c>
    </row>
    <row r="76" spans="2:53" x14ac:dyDescent="0.2">
      <c r="C76" s="7"/>
      <c r="E76" s="11">
        <v>3</v>
      </c>
      <c r="F76" s="9" t="s">
        <v>156</v>
      </c>
      <c r="G76" s="17" t="s">
        <v>26</v>
      </c>
      <c r="AZ76" s="45">
        <f>IF(Тестирование!$M$3=1,VLOOKUP(MAX($B$8:$B76),'Часть 0'!$A$3:$B$32,2,0),"")</f>
        <v>3</v>
      </c>
      <c r="BA76" s="45">
        <f>VLOOKUP(MAX($B$8:$B76),'Часть 0'!$A$3:$C$32,3,0)</f>
        <v>3</v>
      </c>
    </row>
    <row r="77" spans="2:53" ht="5.0999999999999996" customHeight="1" thickBot="1" x14ac:dyDescent="0.25">
      <c r="G77" s="19"/>
      <c r="H77" s="4"/>
      <c r="AZ77" s="45">
        <f>IF(Тестирование!$M$3=1,VLOOKUP(MAX($B$8:$B77),'Часть 0'!$A$3:$B$32,2,0),"")</f>
        <v>3</v>
      </c>
      <c r="BA77" s="45">
        <f>VLOOKUP(MAX($B$8:$B77),'Часть 0'!$A$3:$C$32,3,0)</f>
        <v>3</v>
      </c>
    </row>
    <row r="78" spans="2:53" ht="12" thickBot="1" x14ac:dyDescent="0.25">
      <c r="C78" s="61">
        <v>9</v>
      </c>
      <c r="D78" s="6" t="s">
        <v>220</v>
      </c>
      <c r="E78" s="6"/>
      <c r="F78" s="6"/>
      <c r="G78" s="6"/>
      <c r="H78" s="6"/>
      <c r="I78" s="124">
        <v>3</v>
      </c>
      <c r="AZ78" s="45">
        <f>IF(Тестирование!$M$3=1,VLOOKUP(MAX($B$8:$B78),'Часть 0'!$A$3:$B$32,2,0),"")</f>
        <v>3</v>
      </c>
      <c r="BA78" s="45">
        <f>VLOOKUP(MAX($B$8:$B78),'Часть 0'!$A$3:$C$32,3,0)</f>
        <v>3</v>
      </c>
    </row>
    <row r="79" spans="2:53" x14ac:dyDescent="0.2">
      <c r="G79" s="20"/>
      <c r="H79" s="5"/>
      <c r="AZ79" s="45">
        <f>IF(Тестирование!$M$3=1,VLOOKUP(MAX($B$8:$B79),'Часть 0'!$A$3:$B$32,2,0),"")</f>
        <v>3</v>
      </c>
      <c r="BA79" s="45">
        <f>VLOOKUP(MAX($B$8:$B79),'Часть 0'!$A$3:$C$32,3,0)</f>
        <v>3</v>
      </c>
    </row>
    <row r="80" spans="2:53" s="6" customFormat="1" x14ac:dyDescent="0.2">
      <c r="B80" s="6">
        <v>10</v>
      </c>
      <c r="C80" s="6" t="s">
        <v>90</v>
      </c>
      <c r="D80" s="6" t="s">
        <v>100</v>
      </c>
      <c r="E80" s="10"/>
      <c r="F80" s="8"/>
      <c r="G80" s="18"/>
      <c r="I80" s="37"/>
      <c r="L80" s="8"/>
      <c r="AZ80" s="45">
        <f>IF(Тестирование!$M$3=1,VLOOKUP(MAX($B$8:$B80),'Часть 0'!$A$3:$B$32,2,0),"")</f>
        <v>3</v>
      </c>
      <c r="BA80" s="45">
        <f>VLOOKUP(MAX($B$8:$B80),'Часть 0'!$A$3:$C$32,3,0)</f>
        <v>3</v>
      </c>
    </row>
    <row r="81" spans="2:53" ht="5.0999999999999996" customHeight="1" x14ac:dyDescent="0.2">
      <c r="AZ81" s="45">
        <f>IF(Тестирование!$M$3=1,VLOOKUP(MAX($B$8:$B81),'Часть 0'!$A$3:$B$32,2,0),"")</f>
        <v>3</v>
      </c>
      <c r="BA81" s="45">
        <f>VLOOKUP(MAX($B$8:$B81),'Часть 0'!$A$3:$C$32,3,0)</f>
        <v>3</v>
      </c>
    </row>
    <row r="82" spans="2:53" x14ac:dyDescent="0.2">
      <c r="C82" s="7"/>
      <c r="E82" s="11">
        <v>1</v>
      </c>
      <c r="F82" s="9" t="s">
        <v>156</v>
      </c>
      <c r="G82" s="17" t="s">
        <v>27</v>
      </c>
      <c r="AZ82" s="45">
        <f>IF(Тестирование!$M$3=1,VLOOKUP(MAX($B$8:$B82),'Часть 0'!$A$3:$B$32,2,0),"")</f>
        <v>3</v>
      </c>
      <c r="BA82" s="45">
        <f>VLOOKUP(MAX($B$8:$B82),'Часть 0'!$A$3:$C$32,3,0)</f>
        <v>3</v>
      </c>
    </row>
    <row r="83" spans="2:53" x14ac:dyDescent="0.2">
      <c r="C83" s="7"/>
      <c r="E83" s="11">
        <v>2</v>
      </c>
      <c r="F83" s="9" t="s">
        <v>156</v>
      </c>
      <c r="G83" s="17" t="s">
        <v>28</v>
      </c>
      <c r="AZ83" s="45">
        <f>IF(Тестирование!$M$3=1,VLOOKUP(MAX($B$8:$B83),'Часть 0'!$A$3:$B$32,2,0),"")</f>
        <v>3</v>
      </c>
      <c r="BA83" s="45">
        <f>VLOOKUP(MAX($B$8:$B83),'Часть 0'!$A$3:$C$32,3,0)</f>
        <v>3</v>
      </c>
    </row>
    <row r="84" spans="2:53" x14ac:dyDescent="0.2">
      <c r="C84" s="7"/>
      <c r="E84" s="11">
        <v>3</v>
      </c>
      <c r="F84" s="9" t="s">
        <v>156</v>
      </c>
      <c r="G84" s="17" t="s">
        <v>29</v>
      </c>
      <c r="AZ84" s="45">
        <f>IF(Тестирование!$M$3=1,VLOOKUP(MAX($B$8:$B84),'Часть 0'!$A$3:$B$32,2,0),"")</f>
        <v>3</v>
      </c>
      <c r="BA84" s="45">
        <f>VLOOKUP(MAX($B$8:$B84),'Часть 0'!$A$3:$C$32,3,0)</f>
        <v>3</v>
      </c>
    </row>
    <row r="85" spans="2:53" ht="5.0999999999999996" customHeight="1" thickBot="1" x14ac:dyDescent="0.25">
      <c r="G85" s="19"/>
      <c r="H85" s="4"/>
      <c r="AZ85" s="45">
        <f>IF(Тестирование!$M$3=1,VLOOKUP(MAX($B$8:$B85),'Часть 0'!$A$3:$B$32,2,0),"")</f>
        <v>3</v>
      </c>
      <c r="BA85" s="45">
        <f>VLOOKUP(MAX($B$8:$B85),'Часть 0'!$A$3:$C$32,3,0)</f>
        <v>3</v>
      </c>
    </row>
    <row r="86" spans="2:53" ht="12" thickBot="1" x14ac:dyDescent="0.25">
      <c r="C86" s="61">
        <v>10</v>
      </c>
      <c r="D86" s="6" t="s">
        <v>220</v>
      </c>
      <c r="E86" s="6"/>
      <c r="F86" s="6"/>
      <c r="G86" s="6"/>
      <c r="H86" s="6"/>
      <c r="I86" s="124">
        <v>3</v>
      </c>
      <c r="AZ86" s="45">
        <f>IF(Тестирование!$M$3=1,VLOOKUP(MAX($B$8:$B86),'Часть 0'!$A$3:$B$32,2,0),"")</f>
        <v>3</v>
      </c>
      <c r="BA86" s="45">
        <f>VLOOKUP(MAX($B$8:$B86),'Часть 0'!$A$3:$C$32,3,0)</f>
        <v>3</v>
      </c>
    </row>
    <row r="87" spans="2:53" x14ac:dyDescent="0.2">
      <c r="G87" s="20"/>
      <c r="H87" s="5"/>
      <c r="AZ87" s="45">
        <f>IF(Тестирование!$M$3=1,VLOOKUP(MAX($B$8:$B87),'Часть 0'!$A$3:$B$32,2,0),"")</f>
        <v>3</v>
      </c>
      <c r="BA87" s="45">
        <f>VLOOKUP(MAX($B$8:$B87),'Часть 0'!$A$3:$C$32,3,0)</f>
        <v>3</v>
      </c>
    </row>
    <row r="88" spans="2:53" s="6" customFormat="1" x14ac:dyDescent="0.2">
      <c r="B88" s="6">
        <v>11</v>
      </c>
      <c r="C88" s="6" t="s">
        <v>90</v>
      </c>
      <c r="D88" s="6" t="s">
        <v>101</v>
      </c>
      <c r="E88" s="10"/>
      <c r="F88" s="8"/>
      <c r="G88" s="18"/>
      <c r="I88" s="37"/>
      <c r="L88" s="8"/>
      <c r="AZ88" s="45">
        <f>IF(Тестирование!$M$3=1,VLOOKUP(MAX($B$8:$B88),'Часть 0'!$A$3:$B$32,2,0),"")</f>
        <v>3</v>
      </c>
      <c r="BA88" s="45">
        <f>VLOOKUP(MAX($B$8:$B88),'Часть 0'!$A$3:$C$32,3,0)</f>
        <v>3</v>
      </c>
    </row>
    <row r="89" spans="2:53" ht="5.0999999999999996" customHeight="1" x14ac:dyDescent="0.2">
      <c r="AZ89" s="45">
        <f>IF(Тестирование!$M$3=1,VLOOKUP(MAX($B$8:$B89),'Часть 0'!$A$3:$B$32,2,0),"")</f>
        <v>3</v>
      </c>
      <c r="BA89" s="45">
        <f>VLOOKUP(MAX($B$8:$B89),'Часть 0'!$A$3:$C$32,3,0)</f>
        <v>3</v>
      </c>
    </row>
    <row r="90" spans="2:53" x14ac:dyDescent="0.2">
      <c r="C90" s="7"/>
      <c r="E90" s="11">
        <v>1</v>
      </c>
      <c r="F90" s="9" t="s">
        <v>156</v>
      </c>
      <c r="G90" s="17" t="s">
        <v>30</v>
      </c>
      <c r="AZ90" s="45">
        <f>IF(Тестирование!$M$3=1,VLOOKUP(MAX($B$8:$B90),'Часть 0'!$A$3:$B$32,2,0),"")</f>
        <v>3</v>
      </c>
      <c r="BA90" s="45">
        <f>VLOOKUP(MAX($B$8:$B90),'Часть 0'!$A$3:$C$32,3,0)</f>
        <v>3</v>
      </c>
    </row>
    <row r="91" spans="2:53" x14ac:dyDescent="0.2">
      <c r="C91" s="7"/>
      <c r="E91" s="11">
        <v>2</v>
      </c>
      <c r="F91" s="9" t="s">
        <v>156</v>
      </c>
      <c r="G91" s="17" t="s">
        <v>31</v>
      </c>
      <c r="AZ91" s="45">
        <f>IF(Тестирование!$M$3=1,VLOOKUP(MAX($B$8:$B91),'Часть 0'!$A$3:$B$32,2,0),"")</f>
        <v>3</v>
      </c>
      <c r="BA91" s="45">
        <f>VLOOKUP(MAX($B$8:$B91),'Часть 0'!$A$3:$C$32,3,0)</f>
        <v>3</v>
      </c>
    </row>
    <row r="92" spans="2:53" x14ac:dyDescent="0.2">
      <c r="C92" s="7"/>
      <c r="E92" s="11">
        <v>3</v>
      </c>
      <c r="F92" s="9" t="s">
        <v>156</v>
      </c>
      <c r="G92" s="17" t="s">
        <v>32</v>
      </c>
      <c r="AZ92" s="45">
        <f>IF(Тестирование!$M$3=1,VLOOKUP(MAX($B$8:$B92),'Часть 0'!$A$3:$B$32,2,0),"")</f>
        <v>3</v>
      </c>
      <c r="BA92" s="45">
        <f>VLOOKUP(MAX($B$8:$B92),'Часть 0'!$A$3:$C$32,3,0)</f>
        <v>3</v>
      </c>
    </row>
    <row r="93" spans="2:53" ht="5.0999999999999996" customHeight="1" thickBot="1" x14ac:dyDescent="0.25">
      <c r="G93" s="19"/>
      <c r="H93" s="4"/>
      <c r="AZ93" s="45">
        <f>IF(Тестирование!$M$3=1,VLOOKUP(MAX($B$8:$B93),'Часть 0'!$A$3:$B$32,2,0),"")</f>
        <v>3</v>
      </c>
      <c r="BA93" s="45">
        <f>VLOOKUP(MAX($B$8:$B93),'Часть 0'!$A$3:$C$32,3,0)</f>
        <v>3</v>
      </c>
    </row>
    <row r="94" spans="2:53" ht="12" thickBot="1" x14ac:dyDescent="0.25">
      <c r="C94" s="61">
        <v>11</v>
      </c>
      <c r="D94" s="6" t="s">
        <v>220</v>
      </c>
      <c r="E94" s="6"/>
      <c r="F94" s="6"/>
      <c r="G94" s="6"/>
      <c r="H94" s="6"/>
      <c r="I94" s="124">
        <v>3</v>
      </c>
      <c r="AZ94" s="45">
        <f>IF(Тестирование!$M$3=1,VLOOKUP(MAX($B$8:$B94),'Часть 0'!$A$3:$B$32,2,0),"")</f>
        <v>3</v>
      </c>
      <c r="BA94" s="45">
        <f>VLOOKUP(MAX($B$8:$B94),'Часть 0'!$A$3:$C$32,3,0)</f>
        <v>3</v>
      </c>
    </row>
    <row r="95" spans="2:53" x14ac:dyDescent="0.2">
      <c r="G95" s="20"/>
      <c r="H95" s="5"/>
      <c r="AZ95" s="45">
        <f>IF(Тестирование!$M$3=1,VLOOKUP(MAX($B$8:$B95),'Часть 0'!$A$3:$B$32,2,0),"")</f>
        <v>3</v>
      </c>
      <c r="BA95" s="45">
        <f>VLOOKUP(MAX($B$8:$B95),'Часть 0'!$A$3:$C$32,3,0)</f>
        <v>3</v>
      </c>
    </row>
    <row r="96" spans="2:53" s="6" customFormat="1" x14ac:dyDescent="0.2">
      <c r="B96" s="6">
        <v>12</v>
      </c>
      <c r="C96" s="6" t="s">
        <v>90</v>
      </c>
      <c r="D96" s="6" t="s">
        <v>102</v>
      </c>
      <c r="E96" s="10"/>
      <c r="F96" s="8"/>
      <c r="G96" s="18"/>
      <c r="I96" s="37"/>
      <c r="L96" s="8"/>
      <c r="AZ96" s="45">
        <f>IF(Тестирование!$M$3=1,VLOOKUP(MAX($B$8:$B96),'Часть 0'!$A$3:$B$32,2,0),"")</f>
        <v>1</v>
      </c>
      <c r="BA96" s="45">
        <f>VLOOKUP(MAX($B$8:$B96),'Часть 0'!$A$3:$C$32,3,0)</f>
        <v>1</v>
      </c>
    </row>
    <row r="97" spans="2:53" ht="5.0999999999999996" customHeight="1" x14ac:dyDescent="0.2">
      <c r="AZ97" s="45">
        <f>IF(Тестирование!$M$3=1,VLOOKUP(MAX($B$8:$B97),'Часть 0'!$A$3:$B$32,2,0),"")</f>
        <v>1</v>
      </c>
      <c r="BA97" s="45">
        <f>VLOOKUP(MAX($B$8:$B97),'Часть 0'!$A$3:$C$32,3,0)</f>
        <v>1</v>
      </c>
    </row>
    <row r="98" spans="2:53" x14ac:dyDescent="0.2">
      <c r="C98" s="7"/>
      <c r="E98" s="11">
        <v>1</v>
      </c>
      <c r="F98" s="9" t="s">
        <v>156</v>
      </c>
      <c r="G98" s="17" t="s">
        <v>33</v>
      </c>
      <c r="AZ98" s="45">
        <f>IF(Тестирование!$M$3=1,VLOOKUP(MAX($B$8:$B98),'Часть 0'!$A$3:$B$32,2,0),"")</f>
        <v>1</v>
      </c>
      <c r="BA98" s="45">
        <f>VLOOKUP(MAX($B$8:$B98),'Часть 0'!$A$3:$C$32,3,0)</f>
        <v>1</v>
      </c>
    </row>
    <row r="99" spans="2:53" x14ac:dyDescent="0.2">
      <c r="C99" s="7"/>
      <c r="E99" s="11">
        <v>2</v>
      </c>
      <c r="F99" s="9" t="s">
        <v>156</v>
      </c>
      <c r="G99" s="17" t="s">
        <v>34</v>
      </c>
      <c r="AZ99" s="45">
        <f>IF(Тестирование!$M$3=1,VLOOKUP(MAX($B$8:$B99),'Часть 0'!$A$3:$B$32,2,0),"")</f>
        <v>1</v>
      </c>
      <c r="BA99" s="45">
        <f>VLOOKUP(MAX($B$8:$B99),'Часть 0'!$A$3:$C$32,3,0)</f>
        <v>1</v>
      </c>
    </row>
    <row r="100" spans="2:53" x14ac:dyDescent="0.2">
      <c r="C100" s="7"/>
      <c r="E100" s="11">
        <v>3</v>
      </c>
      <c r="F100" s="9" t="s">
        <v>156</v>
      </c>
      <c r="G100" s="17" t="s">
        <v>35</v>
      </c>
      <c r="AZ100" s="45">
        <f>IF(Тестирование!$M$3=1,VLOOKUP(MAX($B$8:$B100),'Часть 0'!$A$3:$B$32,2,0),"")</f>
        <v>1</v>
      </c>
      <c r="BA100" s="45">
        <f>VLOOKUP(MAX($B$8:$B100),'Часть 0'!$A$3:$C$32,3,0)</f>
        <v>1</v>
      </c>
    </row>
    <row r="101" spans="2:53" ht="5.0999999999999996" customHeight="1" thickBot="1" x14ac:dyDescent="0.25">
      <c r="E101" s="22"/>
      <c r="G101" s="19"/>
      <c r="H101" s="4"/>
      <c r="AZ101" s="45">
        <f>IF(Тестирование!$M$3=1,VLOOKUP(MAX($B$8:$B101),'Часть 0'!$A$3:$B$32,2,0),"")</f>
        <v>1</v>
      </c>
      <c r="BA101" s="45">
        <f>VLOOKUP(MAX($B$8:$B101),'Часть 0'!$A$3:$C$32,3,0)</f>
        <v>1</v>
      </c>
    </row>
    <row r="102" spans="2:53" ht="12" thickBot="1" x14ac:dyDescent="0.25">
      <c r="C102" s="61">
        <v>12</v>
      </c>
      <c r="D102" s="6" t="s">
        <v>220</v>
      </c>
      <c r="E102" s="22"/>
      <c r="F102" s="6"/>
      <c r="G102" s="6"/>
      <c r="H102" s="6"/>
      <c r="I102" s="124">
        <v>1</v>
      </c>
      <c r="AZ102" s="45">
        <f>IF(Тестирование!$M$3=1,VLOOKUP(MAX($B$8:$B102),'Часть 0'!$A$3:$B$32,2,0),"")</f>
        <v>1</v>
      </c>
      <c r="BA102" s="45">
        <f>VLOOKUP(MAX($B$8:$B102),'Часть 0'!$A$3:$C$32,3,0)</f>
        <v>1</v>
      </c>
    </row>
    <row r="103" spans="2:53" x14ac:dyDescent="0.2">
      <c r="E103" s="22"/>
      <c r="G103" s="20"/>
      <c r="H103" s="5"/>
      <c r="AZ103" s="45">
        <f>IF(Тестирование!$M$3=1,VLOOKUP(MAX($B$8:$B103),'Часть 0'!$A$3:$B$32,2,0),"")</f>
        <v>1</v>
      </c>
      <c r="BA103" s="45">
        <f>VLOOKUP(MAX($B$8:$B103),'Часть 0'!$A$3:$C$32,3,0)</f>
        <v>1</v>
      </c>
    </row>
    <row r="104" spans="2:53" s="6" customFormat="1" x14ac:dyDescent="0.2">
      <c r="B104" s="6">
        <v>13</v>
      </c>
      <c r="C104" s="6" t="s">
        <v>90</v>
      </c>
      <c r="D104" s="6" t="s">
        <v>103</v>
      </c>
      <c r="E104" s="22"/>
      <c r="F104" s="8"/>
      <c r="G104" s="18"/>
      <c r="I104" s="37"/>
      <c r="L104" s="8"/>
      <c r="AZ104" s="45">
        <f>IF(Тестирование!$M$3=1,VLOOKUP(MAX($B$8:$B104),'Часть 0'!$A$3:$B$32,2,0),"")</f>
        <v>3</v>
      </c>
      <c r="BA104" s="45">
        <f>VLOOKUP(MAX($B$8:$B104),'Часть 0'!$A$3:$C$32,3,0)</f>
        <v>3</v>
      </c>
    </row>
    <row r="105" spans="2:53" ht="5.0999999999999996" customHeight="1" x14ac:dyDescent="0.2">
      <c r="E105" s="22"/>
      <c r="AZ105" s="45">
        <f>IF(Тестирование!$M$3=1,VLOOKUP(MAX($B$8:$B105),'Часть 0'!$A$3:$B$32,2,0),"")</f>
        <v>3</v>
      </c>
      <c r="BA105" s="45">
        <f>VLOOKUP(MAX($B$8:$B105),'Часть 0'!$A$3:$C$32,3,0)</f>
        <v>3</v>
      </c>
    </row>
    <row r="106" spans="2:53" x14ac:dyDescent="0.2">
      <c r="C106" s="7"/>
      <c r="E106" s="11">
        <v>1</v>
      </c>
      <c r="F106" s="9" t="s">
        <v>156</v>
      </c>
      <c r="G106" s="17" t="s">
        <v>36</v>
      </c>
      <c r="AZ106" s="45">
        <f>IF(Тестирование!$M$3=1,VLOOKUP(MAX($B$8:$B106),'Часть 0'!$A$3:$B$32,2,0),"")</f>
        <v>3</v>
      </c>
      <c r="BA106" s="45">
        <f>VLOOKUP(MAX($B$8:$B106),'Часть 0'!$A$3:$C$32,3,0)</f>
        <v>3</v>
      </c>
    </row>
    <row r="107" spans="2:53" x14ac:dyDescent="0.2">
      <c r="C107" s="7"/>
      <c r="E107" s="11">
        <v>2</v>
      </c>
      <c r="F107" s="9" t="s">
        <v>156</v>
      </c>
      <c r="G107" s="17" t="s">
        <v>37</v>
      </c>
      <c r="AZ107" s="45">
        <f>IF(Тестирование!$M$3=1,VLOOKUP(MAX($B$8:$B107),'Часть 0'!$A$3:$B$32,2,0),"")</f>
        <v>3</v>
      </c>
      <c r="BA107" s="45">
        <f>VLOOKUP(MAX($B$8:$B107),'Часть 0'!$A$3:$C$32,3,0)</f>
        <v>3</v>
      </c>
    </row>
    <row r="108" spans="2:53" x14ac:dyDescent="0.2">
      <c r="C108" s="7"/>
      <c r="E108" s="11">
        <v>3</v>
      </c>
      <c r="F108" s="9" t="s">
        <v>156</v>
      </c>
      <c r="G108" s="17" t="s">
        <v>38</v>
      </c>
      <c r="AZ108" s="45">
        <f>IF(Тестирование!$M$3=1,VLOOKUP(MAX($B$8:$B108),'Часть 0'!$A$3:$B$32,2,0),"")</f>
        <v>3</v>
      </c>
      <c r="BA108" s="45">
        <f>VLOOKUP(MAX($B$8:$B108),'Часть 0'!$A$3:$C$32,3,0)</f>
        <v>3</v>
      </c>
    </row>
    <row r="109" spans="2:53" ht="5.0999999999999996" customHeight="1" thickBot="1" x14ac:dyDescent="0.25">
      <c r="E109" s="22"/>
      <c r="G109" s="19"/>
      <c r="H109" s="4"/>
      <c r="AZ109" s="45">
        <f>IF(Тестирование!$M$3=1,VLOOKUP(MAX($B$8:$B109),'Часть 0'!$A$3:$B$32,2,0),"")</f>
        <v>3</v>
      </c>
      <c r="BA109" s="45">
        <f>VLOOKUP(MAX($B$8:$B109),'Часть 0'!$A$3:$C$32,3,0)</f>
        <v>3</v>
      </c>
    </row>
    <row r="110" spans="2:53" ht="12" thickBot="1" x14ac:dyDescent="0.25">
      <c r="C110" s="61">
        <v>13</v>
      </c>
      <c r="D110" s="6" t="s">
        <v>220</v>
      </c>
      <c r="E110" s="22"/>
      <c r="F110" s="6"/>
      <c r="G110" s="6"/>
      <c r="H110" s="6"/>
      <c r="I110" s="124">
        <v>3</v>
      </c>
      <c r="AZ110" s="45">
        <f>IF(Тестирование!$M$3=1,VLOOKUP(MAX($B$8:$B110),'Часть 0'!$A$3:$B$32,2,0),"")</f>
        <v>3</v>
      </c>
      <c r="BA110" s="45">
        <f>VLOOKUP(MAX($B$8:$B110),'Часть 0'!$A$3:$C$32,3,0)</f>
        <v>3</v>
      </c>
    </row>
    <row r="111" spans="2:53" x14ac:dyDescent="0.2">
      <c r="E111" s="22"/>
      <c r="G111" s="20"/>
      <c r="H111" s="5"/>
      <c r="AZ111" s="45">
        <f>IF(Тестирование!$M$3=1,VLOOKUP(MAX($B$8:$B111),'Часть 0'!$A$3:$B$32,2,0),"")</f>
        <v>3</v>
      </c>
      <c r="BA111" s="45">
        <f>VLOOKUP(MAX($B$8:$B111),'Часть 0'!$A$3:$C$32,3,0)</f>
        <v>3</v>
      </c>
    </row>
    <row r="112" spans="2:53" s="6" customFormat="1" x14ac:dyDescent="0.2">
      <c r="B112" s="6">
        <v>14</v>
      </c>
      <c r="C112" s="6" t="s">
        <v>90</v>
      </c>
      <c r="D112" s="6" t="s">
        <v>104</v>
      </c>
      <c r="E112" s="22"/>
      <c r="F112" s="8"/>
      <c r="G112" s="18"/>
      <c r="I112" s="37"/>
      <c r="L112" s="8"/>
      <c r="AZ112" s="45">
        <f>IF(Тестирование!$M$3=1,VLOOKUP(MAX($B$8:$B112),'Часть 0'!$A$3:$B$32,2,0),"")</f>
        <v>2</v>
      </c>
      <c r="BA112" s="45">
        <f>VLOOKUP(MAX($B$8:$B112),'Часть 0'!$A$3:$C$32,3,0)</f>
        <v>2</v>
      </c>
    </row>
    <row r="113" spans="2:53" ht="5.0999999999999996" customHeight="1" x14ac:dyDescent="0.2">
      <c r="E113" s="22"/>
      <c r="AZ113" s="45">
        <f>IF(Тестирование!$M$3=1,VLOOKUP(MAX($B$8:$B113),'Часть 0'!$A$3:$B$32,2,0),"")</f>
        <v>2</v>
      </c>
      <c r="BA113" s="45">
        <f>VLOOKUP(MAX($B$8:$B113),'Часть 0'!$A$3:$C$32,3,0)</f>
        <v>2</v>
      </c>
    </row>
    <row r="114" spans="2:53" x14ac:dyDescent="0.2">
      <c r="C114" s="7"/>
      <c r="E114" s="11">
        <v>1</v>
      </c>
      <c r="F114" s="9" t="s">
        <v>156</v>
      </c>
      <c r="G114" s="17" t="s">
        <v>39</v>
      </c>
      <c r="AZ114" s="45">
        <f>IF(Тестирование!$M$3=1,VLOOKUP(MAX($B$8:$B114),'Часть 0'!$A$3:$B$32,2,0),"")</f>
        <v>2</v>
      </c>
      <c r="BA114" s="45">
        <f>VLOOKUP(MAX($B$8:$B114),'Часть 0'!$A$3:$C$32,3,0)</f>
        <v>2</v>
      </c>
    </row>
    <row r="115" spans="2:53" x14ac:dyDescent="0.2">
      <c r="C115" s="7"/>
      <c r="E115" s="11">
        <v>2</v>
      </c>
      <c r="F115" s="9" t="s">
        <v>156</v>
      </c>
      <c r="G115" s="17" t="s">
        <v>40</v>
      </c>
      <c r="AZ115" s="45">
        <f>IF(Тестирование!$M$3=1,VLOOKUP(MAX($B$8:$B115),'Часть 0'!$A$3:$B$32,2,0),"")</f>
        <v>2</v>
      </c>
      <c r="BA115" s="45">
        <f>VLOOKUP(MAX($B$8:$B115),'Часть 0'!$A$3:$C$32,3,0)</f>
        <v>2</v>
      </c>
    </row>
    <row r="116" spans="2:53" x14ac:dyDescent="0.2">
      <c r="C116" s="7"/>
      <c r="E116" s="11">
        <v>3</v>
      </c>
      <c r="F116" s="9" t="s">
        <v>156</v>
      </c>
      <c r="G116" s="17" t="s">
        <v>41</v>
      </c>
      <c r="AZ116" s="45">
        <f>IF(Тестирование!$M$3=1,VLOOKUP(MAX($B$8:$B116),'Часть 0'!$A$3:$B$32,2,0),"")</f>
        <v>2</v>
      </c>
      <c r="BA116" s="45">
        <f>VLOOKUP(MAX($B$8:$B116),'Часть 0'!$A$3:$C$32,3,0)</f>
        <v>2</v>
      </c>
    </row>
    <row r="117" spans="2:53" ht="5.0999999999999996" customHeight="1" thickBot="1" x14ac:dyDescent="0.25">
      <c r="E117" s="22"/>
      <c r="G117" s="19"/>
      <c r="H117" s="4"/>
      <c r="AZ117" s="45">
        <f>IF(Тестирование!$M$3=1,VLOOKUP(MAX($B$8:$B117),'Часть 0'!$A$3:$B$32,2,0),"")</f>
        <v>2</v>
      </c>
      <c r="BA117" s="45">
        <f>VLOOKUP(MAX($B$8:$B117),'Часть 0'!$A$3:$C$32,3,0)</f>
        <v>2</v>
      </c>
    </row>
    <row r="118" spans="2:53" ht="12" thickBot="1" x14ac:dyDescent="0.25">
      <c r="C118" s="61">
        <v>14</v>
      </c>
      <c r="D118" s="6" t="s">
        <v>220</v>
      </c>
      <c r="E118" s="22"/>
      <c r="F118" s="6"/>
      <c r="G118" s="6"/>
      <c r="H118" s="6"/>
      <c r="I118" s="124">
        <v>2</v>
      </c>
      <c r="AZ118" s="45">
        <f>IF(Тестирование!$M$3=1,VLOOKUP(MAX($B$8:$B118),'Часть 0'!$A$3:$B$32,2,0),"")</f>
        <v>2</v>
      </c>
      <c r="BA118" s="45">
        <f>VLOOKUP(MAX($B$8:$B118),'Часть 0'!$A$3:$C$32,3,0)</f>
        <v>2</v>
      </c>
    </row>
    <row r="119" spans="2:53" x14ac:dyDescent="0.2">
      <c r="E119" s="22"/>
      <c r="G119" s="20"/>
      <c r="H119" s="5"/>
      <c r="AZ119" s="45">
        <f>IF(Тестирование!$M$3=1,VLOOKUP(MAX($B$8:$B119),'Часть 0'!$A$3:$B$32,2,0),"")</f>
        <v>2</v>
      </c>
      <c r="BA119" s="45">
        <f>VLOOKUP(MAX($B$8:$B119),'Часть 0'!$A$3:$C$32,3,0)</f>
        <v>2</v>
      </c>
    </row>
    <row r="120" spans="2:53" s="6" customFormat="1" x14ac:dyDescent="0.2">
      <c r="B120" s="6">
        <v>15</v>
      </c>
      <c r="C120" s="6" t="s">
        <v>90</v>
      </c>
      <c r="D120" s="6" t="s">
        <v>105</v>
      </c>
      <c r="E120" s="22"/>
      <c r="F120" s="8"/>
      <c r="G120" s="18"/>
      <c r="I120" s="37"/>
      <c r="L120" s="8"/>
      <c r="AZ120" s="45">
        <f>IF(Тестирование!$M$3=1,VLOOKUP(MAX($B$8:$B120),'Часть 0'!$A$3:$B$32,2,0),"")</f>
        <v>2</v>
      </c>
      <c r="BA120" s="45">
        <f>VLOOKUP(MAX($B$8:$B120),'Часть 0'!$A$3:$C$32,3,0)</f>
        <v>2</v>
      </c>
    </row>
    <row r="121" spans="2:53" ht="5.0999999999999996" customHeight="1" x14ac:dyDescent="0.2">
      <c r="E121" s="22"/>
      <c r="AZ121" s="45">
        <f>IF(Тестирование!$M$3=1,VLOOKUP(MAX($B$8:$B121),'Часть 0'!$A$3:$B$32,2,0),"")</f>
        <v>2</v>
      </c>
      <c r="BA121" s="45">
        <f>VLOOKUP(MAX($B$8:$B121),'Часть 0'!$A$3:$C$32,3,0)</f>
        <v>2</v>
      </c>
    </row>
    <row r="122" spans="2:53" x14ac:dyDescent="0.2">
      <c r="C122" s="7"/>
      <c r="E122" s="11">
        <v>1</v>
      </c>
      <c r="F122" s="9" t="s">
        <v>156</v>
      </c>
      <c r="G122" s="17" t="s">
        <v>42</v>
      </c>
      <c r="AZ122" s="45">
        <f>IF(Тестирование!$M$3=1,VLOOKUP(MAX($B$8:$B122),'Часть 0'!$A$3:$B$32,2,0),"")</f>
        <v>2</v>
      </c>
      <c r="BA122" s="45">
        <f>VLOOKUP(MAX($B$8:$B122),'Часть 0'!$A$3:$C$32,3,0)</f>
        <v>2</v>
      </c>
    </row>
    <row r="123" spans="2:53" x14ac:dyDescent="0.2">
      <c r="C123" s="7"/>
      <c r="E123" s="11">
        <v>2</v>
      </c>
      <c r="F123" s="9" t="s">
        <v>156</v>
      </c>
      <c r="G123" s="17" t="s">
        <v>43</v>
      </c>
      <c r="AZ123" s="45">
        <f>IF(Тестирование!$M$3=1,VLOOKUP(MAX($B$8:$B123),'Часть 0'!$A$3:$B$32,2,0),"")</f>
        <v>2</v>
      </c>
      <c r="BA123" s="45">
        <f>VLOOKUP(MAX($B$8:$B123),'Часть 0'!$A$3:$C$32,3,0)</f>
        <v>2</v>
      </c>
    </row>
    <row r="124" spans="2:53" x14ac:dyDescent="0.2">
      <c r="C124" s="7"/>
      <c r="E124" s="11">
        <v>3</v>
      </c>
      <c r="F124" s="9" t="s">
        <v>156</v>
      </c>
      <c r="G124" s="17" t="s">
        <v>44</v>
      </c>
      <c r="AZ124" s="45">
        <f>IF(Тестирование!$M$3=1,VLOOKUP(MAX($B$8:$B124),'Часть 0'!$A$3:$B$32,2,0),"")</f>
        <v>2</v>
      </c>
      <c r="BA124" s="45">
        <f>VLOOKUP(MAX($B$8:$B124),'Часть 0'!$A$3:$C$32,3,0)</f>
        <v>2</v>
      </c>
    </row>
    <row r="125" spans="2:53" ht="5.0999999999999996" customHeight="1" thickBot="1" x14ac:dyDescent="0.25">
      <c r="E125" s="22"/>
      <c r="G125" s="19"/>
      <c r="H125" s="4"/>
      <c r="AZ125" s="45">
        <f>IF(Тестирование!$M$3=1,VLOOKUP(MAX($B$8:$B125),'Часть 0'!$A$3:$B$32,2,0),"")</f>
        <v>2</v>
      </c>
      <c r="BA125" s="45">
        <f>VLOOKUP(MAX($B$8:$B125),'Часть 0'!$A$3:$C$32,3,0)</f>
        <v>2</v>
      </c>
    </row>
    <row r="126" spans="2:53" ht="12" thickBot="1" x14ac:dyDescent="0.25">
      <c r="C126" s="61">
        <v>15</v>
      </c>
      <c r="D126" s="6" t="s">
        <v>220</v>
      </c>
      <c r="E126" s="22"/>
      <c r="F126" s="6"/>
      <c r="G126" s="6"/>
      <c r="H126" s="6"/>
      <c r="I126" s="124">
        <v>2</v>
      </c>
      <c r="AZ126" s="45">
        <f>IF(Тестирование!$M$3=1,VLOOKUP(MAX($B$8:$B126),'Часть 0'!$A$3:$B$32,2,0),"")</f>
        <v>2</v>
      </c>
      <c r="BA126" s="45">
        <f>VLOOKUP(MAX($B$8:$B126),'Часть 0'!$A$3:$C$32,3,0)</f>
        <v>2</v>
      </c>
    </row>
    <row r="127" spans="2:53" x14ac:dyDescent="0.2">
      <c r="E127" s="22"/>
      <c r="G127" s="20"/>
      <c r="H127" s="5"/>
      <c r="AZ127" s="45">
        <f>IF(Тестирование!$M$3=1,VLOOKUP(MAX($B$8:$B127),'Часть 0'!$A$3:$B$32,2,0),"")</f>
        <v>2</v>
      </c>
      <c r="BA127" s="45">
        <f>VLOOKUP(MAX($B$8:$B127),'Часть 0'!$A$3:$C$32,3,0)</f>
        <v>2</v>
      </c>
    </row>
    <row r="128" spans="2:53" s="6" customFormat="1" x14ac:dyDescent="0.2">
      <c r="B128" s="6">
        <v>16</v>
      </c>
      <c r="C128" s="6" t="s">
        <v>90</v>
      </c>
      <c r="D128" s="6" t="s">
        <v>106</v>
      </c>
      <c r="E128" s="22"/>
      <c r="F128" s="8"/>
      <c r="G128" s="18"/>
      <c r="I128" s="37"/>
      <c r="L128" s="8"/>
      <c r="AZ128" s="45">
        <f>IF(Тестирование!$M$3=1,VLOOKUP(MAX($B$8:$B128),'Часть 0'!$A$3:$B$32,2,0),"")</f>
        <v>2</v>
      </c>
      <c r="BA128" s="45">
        <f>VLOOKUP(MAX($B$8:$B128),'Часть 0'!$A$3:$C$32,3,0)</f>
        <v>2</v>
      </c>
    </row>
    <row r="129" spans="2:53" ht="5.0999999999999996" customHeight="1" x14ac:dyDescent="0.2">
      <c r="E129" s="22"/>
      <c r="AZ129" s="45">
        <f>IF(Тестирование!$M$3=1,VLOOKUP(MAX($B$8:$B129),'Часть 0'!$A$3:$B$32,2,0),"")</f>
        <v>2</v>
      </c>
      <c r="BA129" s="45">
        <f>VLOOKUP(MAX($B$8:$B129),'Часть 0'!$A$3:$C$32,3,0)</f>
        <v>2</v>
      </c>
    </row>
    <row r="130" spans="2:53" x14ac:dyDescent="0.2">
      <c r="C130" s="7"/>
      <c r="E130" s="11">
        <v>1</v>
      </c>
      <c r="F130" s="9" t="s">
        <v>156</v>
      </c>
      <c r="G130" s="17" t="s">
        <v>45</v>
      </c>
      <c r="AZ130" s="45">
        <f>IF(Тестирование!$M$3=1,VLOOKUP(MAX($B$8:$B130),'Часть 0'!$A$3:$B$32,2,0),"")</f>
        <v>2</v>
      </c>
      <c r="BA130" s="45">
        <f>VLOOKUP(MAX($B$8:$B130),'Часть 0'!$A$3:$C$32,3,0)</f>
        <v>2</v>
      </c>
    </row>
    <row r="131" spans="2:53" x14ac:dyDescent="0.2">
      <c r="C131" s="7"/>
      <c r="E131" s="11">
        <v>2</v>
      </c>
      <c r="F131" s="9" t="s">
        <v>156</v>
      </c>
      <c r="G131" s="17" t="s">
        <v>46</v>
      </c>
      <c r="AZ131" s="45">
        <f>IF(Тестирование!$M$3=1,VLOOKUP(MAX($B$8:$B131),'Часть 0'!$A$3:$B$32,2,0),"")</f>
        <v>2</v>
      </c>
      <c r="BA131" s="45">
        <f>VLOOKUP(MAX($B$8:$B131),'Часть 0'!$A$3:$C$32,3,0)</f>
        <v>2</v>
      </c>
    </row>
    <row r="132" spans="2:53" x14ac:dyDescent="0.2">
      <c r="C132" s="7"/>
      <c r="E132" s="11">
        <v>3</v>
      </c>
      <c r="F132" s="9" t="s">
        <v>156</v>
      </c>
      <c r="G132" s="17" t="s">
        <v>47</v>
      </c>
      <c r="AZ132" s="45">
        <f>IF(Тестирование!$M$3=1,VLOOKUP(MAX($B$8:$B132),'Часть 0'!$A$3:$B$32,2,0),"")</f>
        <v>2</v>
      </c>
      <c r="BA132" s="45">
        <f>VLOOKUP(MAX($B$8:$B132),'Часть 0'!$A$3:$C$32,3,0)</f>
        <v>2</v>
      </c>
    </row>
    <row r="133" spans="2:53" ht="5.0999999999999996" customHeight="1" thickBot="1" x14ac:dyDescent="0.25">
      <c r="E133" s="22"/>
      <c r="G133" s="19"/>
      <c r="H133" s="4"/>
      <c r="AZ133" s="45">
        <f>IF(Тестирование!$M$3=1,VLOOKUP(MAX($B$8:$B133),'Часть 0'!$A$3:$B$32,2,0),"")</f>
        <v>2</v>
      </c>
      <c r="BA133" s="45">
        <f>VLOOKUP(MAX($B$8:$B133),'Часть 0'!$A$3:$C$32,3,0)</f>
        <v>2</v>
      </c>
    </row>
    <row r="134" spans="2:53" ht="12" thickBot="1" x14ac:dyDescent="0.25">
      <c r="C134" s="61">
        <v>16</v>
      </c>
      <c r="D134" s="6" t="s">
        <v>220</v>
      </c>
      <c r="E134" s="22"/>
      <c r="F134" s="6"/>
      <c r="G134" s="6"/>
      <c r="H134" s="6"/>
      <c r="I134" s="124">
        <v>2</v>
      </c>
      <c r="AZ134" s="45">
        <f>IF(Тестирование!$M$3=1,VLOOKUP(MAX($B$8:$B134),'Часть 0'!$A$3:$B$32,2,0),"")</f>
        <v>2</v>
      </c>
      <c r="BA134" s="45">
        <f>VLOOKUP(MAX($B$8:$B134),'Часть 0'!$A$3:$C$32,3,0)</f>
        <v>2</v>
      </c>
    </row>
    <row r="135" spans="2:53" x14ac:dyDescent="0.2">
      <c r="E135" s="22"/>
      <c r="G135" s="20"/>
      <c r="H135" s="5"/>
      <c r="AZ135" s="45">
        <f>IF(Тестирование!$M$3=1,VLOOKUP(MAX($B$8:$B135),'Часть 0'!$A$3:$B$32,2,0),"")</f>
        <v>2</v>
      </c>
      <c r="BA135" s="45">
        <f>VLOOKUP(MAX($B$8:$B135),'Часть 0'!$A$3:$C$32,3,0)</f>
        <v>2</v>
      </c>
    </row>
    <row r="136" spans="2:53" s="6" customFormat="1" x14ac:dyDescent="0.2">
      <c r="B136" s="6">
        <v>17</v>
      </c>
      <c r="C136" s="6" t="s">
        <v>90</v>
      </c>
      <c r="D136" s="6" t="s">
        <v>107</v>
      </c>
      <c r="E136" s="22"/>
      <c r="F136" s="8"/>
      <c r="G136" s="18"/>
      <c r="I136" s="37"/>
      <c r="L136" s="8"/>
      <c r="AZ136" s="45">
        <f>IF(Тестирование!$M$3=1,VLOOKUP(MAX($B$8:$B136),'Часть 0'!$A$3:$B$32,2,0),"")</f>
        <v>2</v>
      </c>
      <c r="BA136" s="45">
        <f>VLOOKUP(MAX($B$8:$B136),'Часть 0'!$A$3:$C$32,3,0)</f>
        <v>2</v>
      </c>
    </row>
    <row r="137" spans="2:53" ht="5.0999999999999996" customHeight="1" x14ac:dyDescent="0.2">
      <c r="E137" s="22"/>
      <c r="AZ137" s="45">
        <f>IF(Тестирование!$M$3=1,VLOOKUP(MAX($B$8:$B137),'Часть 0'!$A$3:$B$32,2,0),"")</f>
        <v>2</v>
      </c>
      <c r="BA137" s="45">
        <f>VLOOKUP(MAX($B$8:$B137),'Часть 0'!$A$3:$C$32,3,0)</f>
        <v>2</v>
      </c>
    </row>
    <row r="138" spans="2:53" x14ac:dyDescent="0.2">
      <c r="C138" s="7"/>
      <c r="E138" s="11">
        <v>1</v>
      </c>
      <c r="F138" s="9" t="s">
        <v>156</v>
      </c>
      <c r="G138" s="17" t="s">
        <v>48</v>
      </c>
      <c r="AZ138" s="45">
        <f>IF(Тестирование!$M$3=1,VLOOKUP(MAX($B$8:$B138),'Часть 0'!$A$3:$B$32,2,0),"")</f>
        <v>2</v>
      </c>
      <c r="BA138" s="45">
        <f>VLOOKUP(MAX($B$8:$B138),'Часть 0'!$A$3:$C$32,3,0)</f>
        <v>2</v>
      </c>
    </row>
    <row r="139" spans="2:53" x14ac:dyDescent="0.2">
      <c r="C139" s="7"/>
      <c r="E139" s="11">
        <v>2</v>
      </c>
      <c r="F139" s="9" t="s">
        <v>156</v>
      </c>
      <c r="G139" s="17" t="s">
        <v>49</v>
      </c>
      <c r="AZ139" s="45">
        <f>IF(Тестирование!$M$3=1,VLOOKUP(MAX($B$8:$B139),'Часть 0'!$A$3:$B$32,2,0),"")</f>
        <v>2</v>
      </c>
      <c r="BA139" s="45">
        <f>VLOOKUP(MAX($B$8:$B139),'Часть 0'!$A$3:$C$32,3,0)</f>
        <v>2</v>
      </c>
    </row>
    <row r="140" spans="2:53" x14ac:dyDescent="0.2">
      <c r="C140" s="7"/>
      <c r="E140" s="11">
        <v>3</v>
      </c>
      <c r="F140" s="9" t="s">
        <v>156</v>
      </c>
      <c r="G140" s="17" t="s">
        <v>50</v>
      </c>
      <c r="AZ140" s="45">
        <f>IF(Тестирование!$M$3=1,VLOOKUP(MAX($B$8:$B140),'Часть 0'!$A$3:$B$32,2,0),"")</f>
        <v>2</v>
      </c>
      <c r="BA140" s="45">
        <f>VLOOKUP(MAX($B$8:$B140),'Часть 0'!$A$3:$C$32,3,0)</f>
        <v>2</v>
      </c>
    </row>
    <row r="141" spans="2:53" ht="5.0999999999999996" customHeight="1" thickBot="1" x14ac:dyDescent="0.25">
      <c r="E141" s="22"/>
      <c r="G141" s="19"/>
      <c r="H141" s="4"/>
      <c r="AZ141" s="45">
        <f>IF(Тестирование!$M$3=1,VLOOKUP(MAX($B$8:$B141),'Часть 0'!$A$3:$B$32,2,0),"")</f>
        <v>2</v>
      </c>
      <c r="BA141" s="45">
        <f>VLOOKUP(MAX($B$8:$B141),'Часть 0'!$A$3:$C$32,3,0)</f>
        <v>2</v>
      </c>
    </row>
    <row r="142" spans="2:53" ht="12" thickBot="1" x14ac:dyDescent="0.25">
      <c r="C142" s="61">
        <v>17</v>
      </c>
      <c r="D142" s="6" t="s">
        <v>220</v>
      </c>
      <c r="E142" s="22"/>
      <c r="F142" s="6"/>
      <c r="G142" s="6"/>
      <c r="H142" s="6"/>
      <c r="I142" s="124">
        <v>2</v>
      </c>
      <c r="AZ142" s="45">
        <f>IF(Тестирование!$M$3=1,VLOOKUP(MAX($B$8:$B142),'Часть 0'!$A$3:$B$32,2,0),"")</f>
        <v>2</v>
      </c>
      <c r="BA142" s="45">
        <f>VLOOKUP(MAX($B$8:$B142),'Часть 0'!$A$3:$C$32,3,0)</f>
        <v>2</v>
      </c>
    </row>
    <row r="143" spans="2:53" x14ac:dyDescent="0.2">
      <c r="E143" s="22"/>
      <c r="G143" s="20"/>
      <c r="H143" s="5"/>
      <c r="AZ143" s="45">
        <f>IF(Тестирование!$M$3=1,VLOOKUP(MAX($B$8:$B143),'Часть 0'!$A$3:$B$32,2,0),"")</f>
        <v>2</v>
      </c>
      <c r="BA143" s="45">
        <f>VLOOKUP(MAX($B$8:$B143),'Часть 0'!$A$3:$C$32,3,0)</f>
        <v>2</v>
      </c>
    </row>
    <row r="144" spans="2:53" s="6" customFormat="1" x14ac:dyDescent="0.2">
      <c r="B144" s="6">
        <v>18</v>
      </c>
      <c r="C144" s="6" t="s">
        <v>90</v>
      </c>
      <c r="D144" s="6" t="s">
        <v>108</v>
      </c>
      <c r="E144" s="22"/>
      <c r="F144" s="8"/>
      <c r="G144" s="18"/>
      <c r="I144" s="37"/>
      <c r="L144" s="8"/>
      <c r="AZ144" s="45">
        <f>IF(Тестирование!$M$3=1,VLOOKUP(MAX($B$8:$B144),'Часть 0'!$A$3:$B$32,2,0),"")</f>
        <v>3</v>
      </c>
      <c r="BA144" s="45">
        <f>VLOOKUP(MAX($B$8:$B144),'Часть 0'!$A$3:$C$32,3,0)</f>
        <v>3</v>
      </c>
    </row>
    <row r="145" spans="2:53" ht="5.0999999999999996" customHeight="1" x14ac:dyDescent="0.2">
      <c r="E145" s="22"/>
      <c r="AZ145" s="45">
        <f>IF(Тестирование!$M$3=1,VLOOKUP(MAX($B$8:$B145),'Часть 0'!$A$3:$B$32,2,0),"")</f>
        <v>3</v>
      </c>
      <c r="BA145" s="45">
        <f>VLOOKUP(MAX($B$8:$B145),'Часть 0'!$A$3:$C$32,3,0)</f>
        <v>3</v>
      </c>
    </row>
    <row r="146" spans="2:53" x14ac:dyDescent="0.2">
      <c r="C146" s="7"/>
      <c r="E146" s="11">
        <v>1</v>
      </c>
      <c r="F146" s="9" t="s">
        <v>156</v>
      </c>
      <c r="G146" s="17" t="s">
        <v>51</v>
      </c>
      <c r="AZ146" s="45">
        <f>IF(Тестирование!$M$3=1,VLOOKUP(MAX($B$8:$B146),'Часть 0'!$A$3:$B$32,2,0),"")</f>
        <v>3</v>
      </c>
      <c r="BA146" s="45">
        <f>VLOOKUP(MAX($B$8:$B146),'Часть 0'!$A$3:$C$32,3,0)</f>
        <v>3</v>
      </c>
    </row>
    <row r="147" spans="2:53" x14ac:dyDescent="0.2">
      <c r="C147" s="7"/>
      <c r="E147" s="11">
        <v>2</v>
      </c>
      <c r="F147" s="9" t="s">
        <v>156</v>
      </c>
      <c r="G147" s="17" t="s">
        <v>52</v>
      </c>
      <c r="AZ147" s="45">
        <f>IF(Тестирование!$M$3=1,VLOOKUP(MAX($B$8:$B147),'Часть 0'!$A$3:$B$32,2,0),"")</f>
        <v>3</v>
      </c>
      <c r="BA147" s="45">
        <f>VLOOKUP(MAX($B$8:$B147),'Часть 0'!$A$3:$C$32,3,0)</f>
        <v>3</v>
      </c>
    </row>
    <row r="148" spans="2:53" x14ac:dyDescent="0.2">
      <c r="C148" s="7"/>
      <c r="E148" s="11">
        <v>3</v>
      </c>
      <c r="F148" s="9" t="s">
        <v>156</v>
      </c>
      <c r="G148" s="17" t="s">
        <v>53</v>
      </c>
      <c r="AZ148" s="45">
        <f>IF(Тестирование!$M$3=1,VLOOKUP(MAX($B$8:$B148),'Часть 0'!$A$3:$B$32,2,0),"")</f>
        <v>3</v>
      </c>
      <c r="BA148" s="45">
        <f>VLOOKUP(MAX($B$8:$B148),'Часть 0'!$A$3:$C$32,3,0)</f>
        <v>3</v>
      </c>
    </row>
    <row r="149" spans="2:53" ht="5.0999999999999996" customHeight="1" thickBot="1" x14ac:dyDescent="0.25">
      <c r="E149" s="22"/>
      <c r="G149" s="19"/>
      <c r="H149" s="4"/>
      <c r="AZ149" s="45">
        <f>IF(Тестирование!$M$3=1,VLOOKUP(MAX($B$8:$B149),'Часть 0'!$A$3:$B$32,2,0),"")</f>
        <v>3</v>
      </c>
      <c r="BA149" s="45">
        <f>VLOOKUP(MAX($B$8:$B149),'Часть 0'!$A$3:$C$32,3,0)</f>
        <v>3</v>
      </c>
    </row>
    <row r="150" spans="2:53" ht="12" thickBot="1" x14ac:dyDescent="0.25">
      <c r="C150" s="61">
        <v>18</v>
      </c>
      <c r="D150" s="6" t="s">
        <v>220</v>
      </c>
      <c r="E150" s="22"/>
      <c r="F150" s="6"/>
      <c r="G150" s="6"/>
      <c r="H150" s="6"/>
      <c r="I150" s="124">
        <v>3</v>
      </c>
      <c r="AZ150" s="45">
        <f>IF(Тестирование!$M$3=1,VLOOKUP(MAX($B$8:$B150),'Часть 0'!$A$3:$B$32,2,0),"")</f>
        <v>3</v>
      </c>
      <c r="BA150" s="45">
        <f>VLOOKUP(MAX($B$8:$B150),'Часть 0'!$A$3:$C$32,3,0)</f>
        <v>3</v>
      </c>
    </row>
    <row r="151" spans="2:53" x14ac:dyDescent="0.2">
      <c r="E151" s="22"/>
      <c r="G151" s="20"/>
      <c r="H151" s="5"/>
      <c r="AZ151" s="45">
        <f>IF(Тестирование!$M$3=1,VLOOKUP(MAX($B$8:$B151),'Часть 0'!$A$3:$B$32,2,0),"")</f>
        <v>3</v>
      </c>
      <c r="BA151" s="45">
        <f>VLOOKUP(MAX($B$8:$B151),'Часть 0'!$A$3:$C$32,3,0)</f>
        <v>3</v>
      </c>
    </row>
    <row r="152" spans="2:53" s="6" customFormat="1" x14ac:dyDescent="0.2">
      <c r="B152" s="6">
        <v>19</v>
      </c>
      <c r="C152" s="6" t="s">
        <v>90</v>
      </c>
      <c r="D152" s="6" t="s">
        <v>109</v>
      </c>
      <c r="E152" s="22"/>
      <c r="F152" s="8"/>
      <c r="G152" s="18"/>
      <c r="I152" s="37"/>
      <c r="L152" s="8"/>
      <c r="AZ152" s="45">
        <f>IF(Тестирование!$M$3=1,VLOOKUP(MAX($B$8:$B152),'Часть 0'!$A$3:$B$32,2,0),"")</f>
        <v>1</v>
      </c>
      <c r="BA152" s="45">
        <f>VLOOKUP(MAX($B$8:$B152),'Часть 0'!$A$3:$C$32,3,0)</f>
        <v>1</v>
      </c>
    </row>
    <row r="153" spans="2:53" ht="5.0999999999999996" customHeight="1" x14ac:dyDescent="0.2">
      <c r="E153" s="22"/>
      <c r="AZ153" s="45">
        <f>IF(Тестирование!$M$3=1,VLOOKUP(MAX($B$8:$B153),'Часть 0'!$A$3:$B$32,2,0),"")</f>
        <v>1</v>
      </c>
      <c r="BA153" s="45">
        <f>VLOOKUP(MAX($B$8:$B153),'Часть 0'!$A$3:$C$32,3,0)</f>
        <v>1</v>
      </c>
    </row>
    <row r="154" spans="2:53" x14ac:dyDescent="0.2">
      <c r="C154" s="7"/>
      <c r="E154" s="11">
        <v>1</v>
      </c>
      <c r="F154" s="9" t="s">
        <v>156</v>
      </c>
      <c r="G154" s="17" t="s">
        <v>54</v>
      </c>
      <c r="AZ154" s="45">
        <f>IF(Тестирование!$M$3=1,VLOOKUP(MAX($B$8:$B154),'Часть 0'!$A$3:$B$32,2,0),"")</f>
        <v>1</v>
      </c>
      <c r="BA154" s="45">
        <f>VLOOKUP(MAX($B$8:$B154),'Часть 0'!$A$3:$C$32,3,0)</f>
        <v>1</v>
      </c>
    </row>
    <row r="155" spans="2:53" x14ac:dyDescent="0.2">
      <c r="C155" s="7"/>
      <c r="E155" s="11">
        <v>2</v>
      </c>
      <c r="F155" s="9" t="s">
        <v>156</v>
      </c>
      <c r="G155" s="17" t="s">
        <v>55</v>
      </c>
      <c r="AZ155" s="45">
        <f>IF(Тестирование!$M$3=1,VLOOKUP(MAX($B$8:$B155),'Часть 0'!$A$3:$B$32,2,0),"")</f>
        <v>1</v>
      </c>
      <c r="BA155" s="45">
        <f>VLOOKUP(MAX($B$8:$B155),'Часть 0'!$A$3:$C$32,3,0)</f>
        <v>1</v>
      </c>
    </row>
    <row r="156" spans="2:53" x14ac:dyDescent="0.2">
      <c r="C156" s="7"/>
      <c r="E156" s="11">
        <v>3</v>
      </c>
      <c r="F156" s="9" t="s">
        <v>156</v>
      </c>
      <c r="G156" s="17" t="s">
        <v>56</v>
      </c>
      <c r="AZ156" s="45">
        <f>IF(Тестирование!$M$3=1,VLOOKUP(MAX($B$8:$B156),'Часть 0'!$A$3:$B$32,2,0),"")</f>
        <v>1</v>
      </c>
      <c r="BA156" s="45">
        <f>VLOOKUP(MAX($B$8:$B156),'Часть 0'!$A$3:$C$32,3,0)</f>
        <v>1</v>
      </c>
    </row>
    <row r="157" spans="2:53" ht="5.0999999999999996" customHeight="1" thickBot="1" x14ac:dyDescent="0.25">
      <c r="E157" s="22"/>
      <c r="G157" s="19"/>
      <c r="H157" s="4"/>
      <c r="AZ157" s="45">
        <f>IF(Тестирование!$M$3=1,VLOOKUP(MAX($B$8:$B157),'Часть 0'!$A$3:$B$32,2,0),"")</f>
        <v>1</v>
      </c>
      <c r="BA157" s="45">
        <f>VLOOKUP(MAX($B$8:$B157),'Часть 0'!$A$3:$C$32,3,0)</f>
        <v>1</v>
      </c>
    </row>
    <row r="158" spans="2:53" ht="12" thickBot="1" x14ac:dyDescent="0.25">
      <c r="C158" s="61">
        <v>19</v>
      </c>
      <c r="D158" s="6" t="s">
        <v>220</v>
      </c>
      <c r="E158" s="22"/>
      <c r="F158" s="6"/>
      <c r="G158" s="6"/>
      <c r="H158" s="6"/>
      <c r="I158" s="124">
        <v>1</v>
      </c>
      <c r="AZ158" s="45">
        <f>IF(Тестирование!$M$3=1,VLOOKUP(MAX($B$8:$B158),'Часть 0'!$A$3:$B$32,2,0),"")</f>
        <v>1</v>
      </c>
      <c r="BA158" s="45">
        <f>VLOOKUP(MAX($B$8:$B158),'Часть 0'!$A$3:$C$32,3,0)</f>
        <v>1</v>
      </c>
    </row>
    <row r="159" spans="2:53" x14ac:dyDescent="0.2">
      <c r="E159" s="22"/>
      <c r="G159" s="20"/>
      <c r="H159" s="5"/>
      <c r="AZ159" s="45">
        <f>IF(Тестирование!$M$3=1,VLOOKUP(MAX($B$8:$B159),'Часть 0'!$A$3:$B$32,2,0),"")</f>
        <v>1</v>
      </c>
      <c r="BA159" s="45">
        <f>VLOOKUP(MAX($B$8:$B159),'Часть 0'!$A$3:$C$32,3,0)</f>
        <v>1</v>
      </c>
    </row>
    <row r="160" spans="2:53" s="6" customFormat="1" x14ac:dyDescent="0.2">
      <c r="B160" s="6">
        <v>20</v>
      </c>
      <c r="C160" s="6" t="s">
        <v>90</v>
      </c>
      <c r="D160" s="6" t="s">
        <v>110</v>
      </c>
      <c r="E160" s="22"/>
      <c r="F160" s="8"/>
      <c r="G160" s="18"/>
      <c r="I160" s="37"/>
      <c r="L160" s="8"/>
      <c r="AZ160" s="45">
        <f>IF(Тестирование!$M$3=1,VLOOKUP(MAX($B$8:$B160),'Часть 0'!$A$3:$B$32,2,0),"")</f>
        <v>3</v>
      </c>
      <c r="BA160" s="45">
        <f>VLOOKUP(MAX($B$8:$B160),'Часть 0'!$A$3:$C$32,3,0)</f>
        <v>3</v>
      </c>
    </row>
    <row r="161" spans="2:53" ht="5.0999999999999996" customHeight="1" x14ac:dyDescent="0.2">
      <c r="E161" s="22"/>
      <c r="AZ161" s="45">
        <f>IF(Тестирование!$M$3=1,VLOOKUP(MAX($B$8:$B161),'Часть 0'!$A$3:$B$32,2,0),"")</f>
        <v>3</v>
      </c>
      <c r="BA161" s="45">
        <f>VLOOKUP(MAX($B$8:$B161),'Часть 0'!$A$3:$C$32,3,0)</f>
        <v>3</v>
      </c>
    </row>
    <row r="162" spans="2:53" x14ac:dyDescent="0.2">
      <c r="C162" s="7"/>
      <c r="E162" s="11">
        <v>1</v>
      </c>
      <c r="F162" s="9" t="s">
        <v>156</v>
      </c>
      <c r="G162" s="17" t="s">
        <v>57</v>
      </c>
      <c r="AZ162" s="45">
        <f>IF(Тестирование!$M$3=1,VLOOKUP(MAX($B$8:$B162),'Часть 0'!$A$3:$B$32,2,0),"")</f>
        <v>3</v>
      </c>
      <c r="BA162" s="45">
        <f>VLOOKUP(MAX($B$8:$B162),'Часть 0'!$A$3:$C$32,3,0)</f>
        <v>3</v>
      </c>
    </row>
    <row r="163" spans="2:53" x14ac:dyDescent="0.2">
      <c r="C163" s="7"/>
      <c r="E163" s="11">
        <v>2</v>
      </c>
      <c r="F163" s="9" t="s">
        <v>156</v>
      </c>
      <c r="G163" s="17" t="s">
        <v>58</v>
      </c>
      <c r="AZ163" s="45">
        <f>IF(Тестирование!$M$3=1,VLOOKUP(MAX($B$8:$B163),'Часть 0'!$A$3:$B$32,2,0),"")</f>
        <v>3</v>
      </c>
      <c r="BA163" s="45">
        <f>VLOOKUP(MAX($B$8:$B163),'Часть 0'!$A$3:$C$32,3,0)</f>
        <v>3</v>
      </c>
    </row>
    <row r="164" spans="2:53" x14ac:dyDescent="0.2">
      <c r="C164" s="7"/>
      <c r="E164" s="11">
        <v>3</v>
      </c>
      <c r="F164" s="9" t="s">
        <v>156</v>
      </c>
      <c r="G164" s="17" t="s">
        <v>59</v>
      </c>
      <c r="AZ164" s="45">
        <f>IF(Тестирование!$M$3=1,VLOOKUP(MAX($B$8:$B164),'Часть 0'!$A$3:$B$32,2,0),"")</f>
        <v>3</v>
      </c>
      <c r="BA164" s="45">
        <f>VLOOKUP(MAX($B$8:$B164),'Часть 0'!$A$3:$C$32,3,0)</f>
        <v>3</v>
      </c>
    </row>
    <row r="165" spans="2:53" ht="5.0999999999999996" customHeight="1" thickBot="1" x14ac:dyDescent="0.25">
      <c r="E165" s="22"/>
      <c r="G165" s="19"/>
      <c r="H165" s="4"/>
      <c r="AZ165" s="45">
        <f>IF(Тестирование!$M$3=1,VLOOKUP(MAX($B$8:$B165),'Часть 0'!$A$3:$B$32,2,0),"")</f>
        <v>3</v>
      </c>
      <c r="BA165" s="45">
        <f>VLOOKUP(MAX($B$8:$B165),'Часть 0'!$A$3:$C$32,3,0)</f>
        <v>3</v>
      </c>
    </row>
    <row r="166" spans="2:53" ht="12" thickBot="1" x14ac:dyDescent="0.25">
      <c r="C166" s="61">
        <v>20</v>
      </c>
      <c r="D166" s="6" t="s">
        <v>220</v>
      </c>
      <c r="E166" s="22"/>
      <c r="F166" s="6"/>
      <c r="G166" s="6"/>
      <c r="H166" s="6"/>
      <c r="I166" s="124">
        <v>3</v>
      </c>
      <c r="AZ166" s="45">
        <f>IF(Тестирование!$M$3=1,VLOOKUP(MAX($B$8:$B166),'Часть 0'!$A$3:$B$32,2,0),"")</f>
        <v>3</v>
      </c>
      <c r="BA166" s="45">
        <f>VLOOKUP(MAX($B$8:$B166),'Часть 0'!$A$3:$C$32,3,0)</f>
        <v>3</v>
      </c>
    </row>
    <row r="167" spans="2:53" x14ac:dyDescent="0.2">
      <c r="E167" s="22"/>
      <c r="G167" s="20"/>
      <c r="H167" s="5"/>
      <c r="AZ167" s="45">
        <f>IF(Тестирование!$M$3=1,VLOOKUP(MAX($B$8:$B167),'Часть 0'!$A$3:$B$32,2,0),"")</f>
        <v>3</v>
      </c>
      <c r="BA167" s="45">
        <f>VLOOKUP(MAX($B$8:$B167),'Часть 0'!$A$3:$C$32,3,0)</f>
        <v>3</v>
      </c>
    </row>
    <row r="168" spans="2:53" s="6" customFormat="1" x14ac:dyDescent="0.2">
      <c r="B168" s="6">
        <v>21</v>
      </c>
      <c r="C168" s="6" t="s">
        <v>90</v>
      </c>
      <c r="D168" s="6" t="s">
        <v>111</v>
      </c>
      <c r="E168" s="22"/>
      <c r="F168" s="8"/>
      <c r="G168" s="18"/>
      <c r="I168" s="37"/>
      <c r="L168" s="8"/>
      <c r="AZ168" s="45">
        <f>IF(Тестирование!$M$3=1,VLOOKUP(MAX($B$8:$B168),'Часть 0'!$A$3:$B$32,2,0),"")</f>
        <v>1</v>
      </c>
      <c r="BA168" s="45">
        <f>VLOOKUP(MAX($B$8:$B168),'Часть 0'!$A$3:$C$32,3,0)</f>
        <v>1</v>
      </c>
    </row>
    <row r="169" spans="2:53" ht="5.0999999999999996" customHeight="1" x14ac:dyDescent="0.2">
      <c r="E169" s="22"/>
      <c r="AZ169" s="45">
        <f>IF(Тестирование!$M$3=1,VLOOKUP(MAX($B$8:$B169),'Часть 0'!$A$3:$B$32,2,0),"")</f>
        <v>1</v>
      </c>
      <c r="BA169" s="45">
        <f>VLOOKUP(MAX($B$8:$B169),'Часть 0'!$A$3:$C$32,3,0)</f>
        <v>1</v>
      </c>
    </row>
    <row r="170" spans="2:53" x14ac:dyDescent="0.2">
      <c r="C170" s="7"/>
      <c r="E170" s="11">
        <v>1</v>
      </c>
      <c r="F170" s="9" t="s">
        <v>156</v>
      </c>
      <c r="G170" s="17" t="s">
        <v>60</v>
      </c>
      <c r="AZ170" s="45">
        <f>IF(Тестирование!$M$3=1,VLOOKUP(MAX($B$8:$B170),'Часть 0'!$A$3:$B$32,2,0),"")</f>
        <v>1</v>
      </c>
      <c r="BA170" s="45">
        <f>VLOOKUP(MAX($B$8:$B170),'Часть 0'!$A$3:$C$32,3,0)</f>
        <v>1</v>
      </c>
    </row>
    <row r="171" spans="2:53" x14ac:dyDescent="0.2">
      <c r="C171" s="7"/>
      <c r="E171" s="11">
        <v>2</v>
      </c>
      <c r="F171" s="9" t="s">
        <v>156</v>
      </c>
      <c r="G171" s="17" t="s">
        <v>61</v>
      </c>
      <c r="AZ171" s="45">
        <f>IF(Тестирование!$M$3=1,VLOOKUP(MAX($B$8:$B171),'Часть 0'!$A$3:$B$32,2,0),"")</f>
        <v>1</v>
      </c>
      <c r="BA171" s="45">
        <f>VLOOKUP(MAX($B$8:$B171),'Часть 0'!$A$3:$C$32,3,0)</f>
        <v>1</v>
      </c>
    </row>
    <row r="172" spans="2:53" x14ac:dyDescent="0.2">
      <c r="C172" s="7"/>
      <c r="E172" s="11">
        <v>3</v>
      </c>
      <c r="F172" s="9" t="s">
        <v>156</v>
      </c>
      <c r="G172" s="17" t="s">
        <v>62</v>
      </c>
      <c r="AZ172" s="45">
        <f>IF(Тестирование!$M$3=1,VLOOKUP(MAX($B$8:$B172),'Часть 0'!$A$3:$B$32,2,0),"")</f>
        <v>1</v>
      </c>
      <c r="BA172" s="45">
        <f>VLOOKUP(MAX($B$8:$B172),'Часть 0'!$A$3:$C$32,3,0)</f>
        <v>1</v>
      </c>
    </row>
    <row r="173" spans="2:53" ht="5.0999999999999996" customHeight="1" thickBot="1" x14ac:dyDescent="0.25">
      <c r="E173" s="22"/>
      <c r="G173" s="19"/>
      <c r="H173" s="4"/>
      <c r="AZ173" s="45">
        <f>IF(Тестирование!$M$3=1,VLOOKUP(MAX($B$8:$B173),'Часть 0'!$A$3:$B$32,2,0),"")</f>
        <v>1</v>
      </c>
      <c r="BA173" s="45">
        <f>VLOOKUP(MAX($B$8:$B173),'Часть 0'!$A$3:$C$32,3,0)</f>
        <v>1</v>
      </c>
    </row>
    <row r="174" spans="2:53" ht="12" thickBot="1" x14ac:dyDescent="0.25">
      <c r="C174" s="61">
        <v>21</v>
      </c>
      <c r="D174" s="6" t="s">
        <v>220</v>
      </c>
      <c r="E174" s="22"/>
      <c r="F174" s="6"/>
      <c r="G174" s="6"/>
      <c r="H174" s="6"/>
      <c r="I174" s="124">
        <v>1</v>
      </c>
      <c r="AZ174" s="45">
        <f>IF(Тестирование!$M$3=1,VLOOKUP(MAX($B$8:$B174),'Часть 0'!$A$3:$B$32,2,0),"")</f>
        <v>1</v>
      </c>
      <c r="BA174" s="45">
        <f>VLOOKUP(MAX($B$8:$B174),'Часть 0'!$A$3:$C$32,3,0)</f>
        <v>1</v>
      </c>
    </row>
    <row r="175" spans="2:53" x14ac:dyDescent="0.2">
      <c r="E175" s="22"/>
      <c r="G175" s="20"/>
      <c r="H175" s="5"/>
      <c r="AZ175" s="45">
        <f>IF(Тестирование!$M$3=1,VLOOKUP(MAX($B$8:$B175),'Часть 0'!$A$3:$B$32,2,0),"")</f>
        <v>1</v>
      </c>
      <c r="BA175" s="45">
        <f>VLOOKUP(MAX($B$8:$B175),'Часть 0'!$A$3:$C$32,3,0)</f>
        <v>1</v>
      </c>
    </row>
    <row r="176" spans="2:53" s="6" customFormat="1" x14ac:dyDescent="0.2">
      <c r="B176" s="6">
        <v>22</v>
      </c>
      <c r="C176" s="6" t="s">
        <v>90</v>
      </c>
      <c r="D176" s="6" t="s">
        <v>112</v>
      </c>
      <c r="E176" s="22"/>
      <c r="F176" s="8"/>
      <c r="G176" s="18"/>
      <c r="I176" s="37"/>
      <c r="L176" s="8"/>
      <c r="AZ176" s="45">
        <f>IF(Тестирование!$M$3=1,VLOOKUP(MAX($B$8:$B176),'Часть 0'!$A$3:$B$32,2,0),"")</f>
        <v>3</v>
      </c>
      <c r="BA176" s="45">
        <f>VLOOKUP(MAX($B$8:$B176),'Часть 0'!$A$3:$C$32,3,0)</f>
        <v>3</v>
      </c>
    </row>
    <row r="177" spans="2:53" ht="5.0999999999999996" customHeight="1" x14ac:dyDescent="0.2">
      <c r="E177" s="22"/>
      <c r="AZ177" s="45">
        <f>IF(Тестирование!$M$3=1,VLOOKUP(MAX($B$8:$B177),'Часть 0'!$A$3:$B$32,2,0),"")</f>
        <v>3</v>
      </c>
      <c r="BA177" s="45">
        <f>VLOOKUP(MAX($B$8:$B177),'Часть 0'!$A$3:$C$32,3,0)</f>
        <v>3</v>
      </c>
    </row>
    <row r="178" spans="2:53" x14ac:dyDescent="0.2">
      <c r="C178" s="7"/>
      <c r="E178" s="11">
        <v>1</v>
      </c>
      <c r="F178" s="9" t="s">
        <v>156</v>
      </c>
      <c r="G178" s="17" t="s">
        <v>63</v>
      </c>
      <c r="AZ178" s="45">
        <f>IF(Тестирование!$M$3=1,VLOOKUP(MAX($B$8:$B178),'Часть 0'!$A$3:$B$32,2,0),"")</f>
        <v>3</v>
      </c>
      <c r="BA178" s="45">
        <f>VLOOKUP(MAX($B$8:$B178),'Часть 0'!$A$3:$C$32,3,0)</f>
        <v>3</v>
      </c>
    </row>
    <row r="179" spans="2:53" x14ac:dyDescent="0.2">
      <c r="C179" s="7"/>
      <c r="E179" s="11">
        <v>2</v>
      </c>
      <c r="F179" s="9" t="s">
        <v>156</v>
      </c>
      <c r="G179" s="17" t="s">
        <v>64</v>
      </c>
      <c r="AZ179" s="45">
        <f>IF(Тестирование!$M$3=1,VLOOKUP(MAX($B$8:$B179),'Часть 0'!$A$3:$B$32,2,0),"")</f>
        <v>3</v>
      </c>
      <c r="BA179" s="45">
        <f>VLOOKUP(MAX($B$8:$B179),'Часть 0'!$A$3:$C$32,3,0)</f>
        <v>3</v>
      </c>
    </row>
    <row r="180" spans="2:53" x14ac:dyDescent="0.2">
      <c r="C180" s="7"/>
      <c r="E180" s="11">
        <v>3</v>
      </c>
      <c r="F180" s="9" t="s">
        <v>156</v>
      </c>
      <c r="G180" s="17" t="s">
        <v>65</v>
      </c>
      <c r="AZ180" s="45">
        <f>IF(Тестирование!$M$3=1,VLOOKUP(MAX($B$8:$B180),'Часть 0'!$A$3:$B$32,2,0),"")</f>
        <v>3</v>
      </c>
      <c r="BA180" s="45">
        <f>VLOOKUP(MAX($B$8:$B180),'Часть 0'!$A$3:$C$32,3,0)</f>
        <v>3</v>
      </c>
    </row>
    <row r="181" spans="2:53" ht="5.0999999999999996" customHeight="1" thickBot="1" x14ac:dyDescent="0.25">
      <c r="E181" s="22"/>
      <c r="G181" s="19"/>
      <c r="H181" s="4"/>
      <c r="AZ181" s="45">
        <f>IF(Тестирование!$M$3=1,VLOOKUP(MAX($B$8:$B181),'Часть 0'!$A$3:$B$32,2,0),"")</f>
        <v>3</v>
      </c>
      <c r="BA181" s="45">
        <f>VLOOKUP(MAX($B$8:$B181),'Часть 0'!$A$3:$C$32,3,0)</f>
        <v>3</v>
      </c>
    </row>
    <row r="182" spans="2:53" ht="12" thickBot="1" x14ac:dyDescent="0.25">
      <c r="C182" s="61">
        <v>22</v>
      </c>
      <c r="D182" s="6" t="s">
        <v>220</v>
      </c>
      <c r="E182" s="22"/>
      <c r="F182" s="6"/>
      <c r="G182" s="6"/>
      <c r="H182" s="6"/>
      <c r="I182" s="124">
        <v>3</v>
      </c>
      <c r="AZ182" s="45">
        <f>IF(Тестирование!$M$3=1,VLOOKUP(MAX($B$8:$B182),'Часть 0'!$A$3:$B$32,2,0),"")</f>
        <v>3</v>
      </c>
      <c r="BA182" s="45">
        <f>VLOOKUP(MAX($B$8:$B182),'Часть 0'!$A$3:$C$32,3,0)</f>
        <v>3</v>
      </c>
    </row>
    <row r="183" spans="2:53" x14ac:dyDescent="0.2">
      <c r="E183" s="22"/>
      <c r="G183" s="20"/>
      <c r="H183" s="5"/>
      <c r="AZ183" s="45">
        <f>IF(Тестирование!$M$3=1,VLOOKUP(MAX($B$8:$B183),'Часть 0'!$A$3:$B$32,2,0),"")</f>
        <v>3</v>
      </c>
      <c r="BA183" s="45">
        <f>VLOOKUP(MAX($B$8:$B183),'Часть 0'!$A$3:$C$32,3,0)</f>
        <v>3</v>
      </c>
    </row>
    <row r="184" spans="2:53" s="6" customFormat="1" x14ac:dyDescent="0.2">
      <c r="B184" s="6">
        <v>23</v>
      </c>
      <c r="C184" s="6" t="s">
        <v>90</v>
      </c>
      <c r="D184" s="6" t="s">
        <v>113</v>
      </c>
      <c r="E184" s="22"/>
      <c r="F184" s="8"/>
      <c r="G184" s="18"/>
      <c r="I184" s="37"/>
      <c r="L184" s="8"/>
      <c r="AZ184" s="45">
        <f>IF(Тестирование!$M$3=1,VLOOKUP(MAX($B$8:$B184),'Часть 0'!$A$3:$B$32,2,0),"")</f>
        <v>2</v>
      </c>
      <c r="BA184" s="45">
        <f>VLOOKUP(MAX($B$8:$B184),'Часть 0'!$A$3:$C$32,3,0)</f>
        <v>1</v>
      </c>
    </row>
    <row r="185" spans="2:53" ht="5.0999999999999996" customHeight="1" x14ac:dyDescent="0.2">
      <c r="E185" s="22"/>
      <c r="AZ185" s="45">
        <f>IF(Тестирование!$M$3=1,VLOOKUP(MAX($B$8:$B185),'Часть 0'!$A$3:$B$32,2,0),"")</f>
        <v>2</v>
      </c>
      <c r="BA185" s="45">
        <f>VLOOKUP(MAX($B$8:$B185),'Часть 0'!$A$3:$C$32,3,0)</f>
        <v>1</v>
      </c>
    </row>
    <row r="186" spans="2:53" x14ac:dyDescent="0.2">
      <c r="C186" s="7"/>
      <c r="E186" s="11">
        <v>1</v>
      </c>
      <c r="F186" s="9" t="s">
        <v>156</v>
      </c>
      <c r="G186" s="17" t="s">
        <v>66</v>
      </c>
      <c r="AZ186" s="45">
        <f>IF(Тестирование!$M$3=1,VLOOKUP(MAX($B$8:$B186),'Часть 0'!$A$3:$B$32,2,0),"")</f>
        <v>2</v>
      </c>
      <c r="BA186" s="45">
        <f>VLOOKUP(MAX($B$8:$B186),'Часть 0'!$A$3:$C$32,3,0)</f>
        <v>1</v>
      </c>
    </row>
    <row r="187" spans="2:53" x14ac:dyDescent="0.2">
      <c r="C187" s="7"/>
      <c r="E187" s="11">
        <v>2</v>
      </c>
      <c r="F187" s="9" t="s">
        <v>156</v>
      </c>
      <c r="G187" s="17" t="s">
        <v>67</v>
      </c>
      <c r="AZ187" s="45">
        <f>IF(Тестирование!$M$3=1,VLOOKUP(MAX($B$8:$B187),'Часть 0'!$A$3:$B$32,2,0),"")</f>
        <v>2</v>
      </c>
      <c r="BA187" s="45">
        <f>VLOOKUP(MAX($B$8:$B187),'Часть 0'!$A$3:$C$32,3,0)</f>
        <v>1</v>
      </c>
    </row>
    <row r="188" spans="2:53" x14ac:dyDescent="0.2">
      <c r="C188" s="7"/>
      <c r="E188" s="11">
        <v>3</v>
      </c>
      <c r="F188" s="9" t="s">
        <v>156</v>
      </c>
      <c r="G188" s="17" t="s">
        <v>68</v>
      </c>
      <c r="AZ188" s="45">
        <f>IF(Тестирование!$M$3=1,VLOOKUP(MAX($B$8:$B188),'Часть 0'!$A$3:$B$32,2,0),"")</f>
        <v>2</v>
      </c>
      <c r="BA188" s="45">
        <f>VLOOKUP(MAX($B$8:$B188),'Часть 0'!$A$3:$C$32,3,0)</f>
        <v>1</v>
      </c>
    </row>
    <row r="189" spans="2:53" ht="5.0999999999999996" customHeight="1" thickBot="1" x14ac:dyDescent="0.25">
      <c r="E189" s="22"/>
      <c r="G189" s="19"/>
      <c r="H189" s="4"/>
      <c r="AZ189" s="45">
        <f>IF(Тестирование!$M$3=1,VLOOKUP(MAX($B$8:$B189),'Часть 0'!$A$3:$B$32,2,0),"")</f>
        <v>2</v>
      </c>
      <c r="BA189" s="45">
        <f>VLOOKUP(MAX($B$8:$B189),'Часть 0'!$A$3:$C$32,3,0)</f>
        <v>1</v>
      </c>
    </row>
    <row r="190" spans="2:53" ht="12" thickBot="1" x14ac:dyDescent="0.25">
      <c r="C190" s="61">
        <v>23</v>
      </c>
      <c r="D190" s="6" t="s">
        <v>220</v>
      </c>
      <c r="E190" s="22"/>
      <c r="F190" s="6"/>
      <c r="G190" s="6"/>
      <c r="H190" s="6"/>
      <c r="I190" s="124">
        <v>1</v>
      </c>
      <c r="AZ190" s="45">
        <f>IF(Тестирование!$M$3=1,VLOOKUP(MAX($B$8:$B190),'Часть 0'!$A$3:$B$32,2,0),"")</f>
        <v>2</v>
      </c>
      <c r="BA190" s="45">
        <f>VLOOKUP(MAX($B$8:$B190),'Часть 0'!$A$3:$C$32,3,0)</f>
        <v>1</v>
      </c>
    </row>
    <row r="191" spans="2:53" x14ac:dyDescent="0.2">
      <c r="E191" s="22"/>
      <c r="G191" s="20"/>
      <c r="H191" s="5"/>
      <c r="AZ191" s="45">
        <f>IF(Тестирование!$M$3=1,VLOOKUP(MAX($B$8:$B191),'Часть 0'!$A$3:$B$32,2,0),"")</f>
        <v>2</v>
      </c>
      <c r="BA191" s="45">
        <f>VLOOKUP(MAX($B$8:$B191),'Часть 0'!$A$3:$C$32,3,0)</f>
        <v>1</v>
      </c>
    </row>
    <row r="192" spans="2:53" s="6" customFormat="1" x14ac:dyDescent="0.2">
      <c r="B192" s="6">
        <v>24</v>
      </c>
      <c r="C192" s="6" t="s">
        <v>90</v>
      </c>
      <c r="D192" s="6" t="s">
        <v>114</v>
      </c>
      <c r="E192" s="22"/>
      <c r="F192" s="8"/>
      <c r="G192" s="18"/>
      <c r="I192" s="37"/>
      <c r="L192" s="8"/>
      <c r="AZ192" s="45">
        <f>IF(Тестирование!$M$3=1,VLOOKUP(MAX($B$8:$B192),'Часть 0'!$A$3:$B$32,2,0),"")</f>
        <v>3</v>
      </c>
      <c r="BA192" s="45">
        <f>VLOOKUP(MAX($B$8:$B192),'Часть 0'!$A$3:$C$32,3,0)</f>
        <v>3</v>
      </c>
    </row>
    <row r="193" spans="2:53" ht="5.0999999999999996" customHeight="1" x14ac:dyDescent="0.2">
      <c r="E193" s="22"/>
      <c r="AZ193" s="45">
        <f>IF(Тестирование!$M$3=1,VLOOKUP(MAX($B$8:$B193),'Часть 0'!$A$3:$B$32,2,0),"")</f>
        <v>3</v>
      </c>
      <c r="BA193" s="45">
        <f>VLOOKUP(MAX($B$8:$B193),'Часть 0'!$A$3:$C$32,3,0)</f>
        <v>3</v>
      </c>
    </row>
    <row r="194" spans="2:53" x14ac:dyDescent="0.2">
      <c r="C194" s="7"/>
      <c r="E194" s="11">
        <v>1</v>
      </c>
      <c r="F194" s="9" t="s">
        <v>156</v>
      </c>
      <c r="G194" s="17" t="s">
        <v>69</v>
      </c>
      <c r="AZ194" s="45">
        <f>IF(Тестирование!$M$3=1,VLOOKUP(MAX($B$8:$B194),'Часть 0'!$A$3:$B$32,2,0),"")</f>
        <v>3</v>
      </c>
      <c r="BA194" s="45">
        <f>VLOOKUP(MAX($B$8:$B194),'Часть 0'!$A$3:$C$32,3,0)</f>
        <v>3</v>
      </c>
    </row>
    <row r="195" spans="2:53" x14ac:dyDescent="0.2">
      <c r="C195" s="7"/>
      <c r="E195" s="11">
        <v>2</v>
      </c>
      <c r="F195" s="9" t="s">
        <v>156</v>
      </c>
      <c r="G195" s="17" t="s">
        <v>70</v>
      </c>
      <c r="AZ195" s="45">
        <f>IF(Тестирование!$M$3=1,VLOOKUP(MAX($B$8:$B195),'Часть 0'!$A$3:$B$32,2,0),"")</f>
        <v>3</v>
      </c>
      <c r="BA195" s="45">
        <f>VLOOKUP(MAX($B$8:$B195),'Часть 0'!$A$3:$C$32,3,0)</f>
        <v>3</v>
      </c>
    </row>
    <row r="196" spans="2:53" x14ac:dyDescent="0.2">
      <c r="C196" s="7"/>
      <c r="E196" s="11">
        <v>3</v>
      </c>
      <c r="F196" s="9" t="s">
        <v>156</v>
      </c>
      <c r="G196" s="17" t="s">
        <v>71</v>
      </c>
      <c r="AZ196" s="45">
        <f>IF(Тестирование!$M$3=1,VLOOKUP(MAX($B$8:$B196),'Часть 0'!$A$3:$B$32,2,0),"")</f>
        <v>3</v>
      </c>
      <c r="BA196" s="45">
        <f>VLOOKUP(MAX($B$8:$B196),'Часть 0'!$A$3:$C$32,3,0)</f>
        <v>3</v>
      </c>
    </row>
    <row r="197" spans="2:53" ht="5.0999999999999996" customHeight="1" thickBot="1" x14ac:dyDescent="0.25">
      <c r="E197" s="22"/>
      <c r="G197" s="19"/>
      <c r="H197" s="4"/>
      <c r="AZ197" s="45">
        <f>IF(Тестирование!$M$3=1,VLOOKUP(MAX($B$8:$B197),'Часть 0'!$A$3:$B$32,2,0),"")</f>
        <v>3</v>
      </c>
      <c r="BA197" s="45">
        <f>VLOOKUP(MAX($B$8:$B197),'Часть 0'!$A$3:$C$32,3,0)</f>
        <v>3</v>
      </c>
    </row>
    <row r="198" spans="2:53" ht="12" thickBot="1" x14ac:dyDescent="0.25">
      <c r="C198" s="61">
        <v>24</v>
      </c>
      <c r="D198" s="6" t="s">
        <v>220</v>
      </c>
      <c r="E198" s="22"/>
      <c r="F198" s="6"/>
      <c r="G198" s="6"/>
      <c r="H198" s="6"/>
      <c r="I198" s="124">
        <v>3</v>
      </c>
      <c r="AZ198" s="45">
        <f>IF(Тестирование!$M$3=1,VLOOKUP(MAX($B$8:$B198),'Часть 0'!$A$3:$B$32,2,0),"")</f>
        <v>3</v>
      </c>
      <c r="BA198" s="45">
        <f>VLOOKUP(MAX($B$8:$B198),'Часть 0'!$A$3:$C$32,3,0)</f>
        <v>3</v>
      </c>
    </row>
    <row r="199" spans="2:53" x14ac:dyDescent="0.2">
      <c r="E199" s="22"/>
      <c r="G199" s="20"/>
      <c r="H199" s="5"/>
      <c r="AZ199" s="45">
        <f>IF(Тестирование!$M$3=1,VLOOKUP(MAX($B$8:$B199),'Часть 0'!$A$3:$B$32,2,0),"")</f>
        <v>3</v>
      </c>
      <c r="BA199" s="45">
        <f>VLOOKUP(MAX($B$8:$B199),'Часть 0'!$A$3:$C$32,3,0)</f>
        <v>3</v>
      </c>
    </row>
    <row r="200" spans="2:53" s="6" customFormat="1" x14ac:dyDescent="0.2">
      <c r="B200" s="6">
        <v>25</v>
      </c>
      <c r="C200" s="6" t="s">
        <v>90</v>
      </c>
      <c r="D200" s="6" t="s">
        <v>115</v>
      </c>
      <c r="E200" s="22"/>
      <c r="F200" s="8"/>
      <c r="G200" s="18"/>
      <c r="I200" s="37"/>
      <c r="L200" s="8"/>
      <c r="AZ200" s="45">
        <f>IF(Тестирование!$M$3=1,VLOOKUP(MAX($B$8:$B200),'Часть 0'!$A$3:$B$32,2,0),"")</f>
        <v>1</v>
      </c>
      <c r="BA200" s="45">
        <f>VLOOKUP(MAX($B$8:$B200),'Часть 0'!$A$3:$C$32,3,0)</f>
        <v>1</v>
      </c>
    </row>
    <row r="201" spans="2:53" ht="5.0999999999999996" customHeight="1" x14ac:dyDescent="0.2">
      <c r="E201" s="22"/>
      <c r="AZ201" s="45">
        <f>IF(Тестирование!$M$3=1,VLOOKUP(MAX($B$8:$B201),'Часть 0'!$A$3:$B$32,2,0),"")</f>
        <v>1</v>
      </c>
      <c r="BA201" s="45">
        <f>VLOOKUP(MAX($B$8:$B201),'Часть 0'!$A$3:$C$32,3,0)</f>
        <v>1</v>
      </c>
    </row>
    <row r="202" spans="2:53" x14ac:dyDescent="0.2">
      <c r="C202" s="7"/>
      <c r="E202" s="11">
        <v>1</v>
      </c>
      <c r="F202" s="9" t="s">
        <v>156</v>
      </c>
      <c r="G202" s="17" t="s">
        <v>72</v>
      </c>
      <c r="AZ202" s="45">
        <f>IF(Тестирование!$M$3=1,VLOOKUP(MAX($B$8:$B202),'Часть 0'!$A$3:$B$32,2,0),"")</f>
        <v>1</v>
      </c>
      <c r="BA202" s="45">
        <f>VLOOKUP(MAX($B$8:$B202),'Часть 0'!$A$3:$C$32,3,0)</f>
        <v>1</v>
      </c>
    </row>
    <row r="203" spans="2:53" x14ac:dyDescent="0.2">
      <c r="C203" s="7"/>
      <c r="E203" s="11">
        <v>2</v>
      </c>
      <c r="F203" s="9" t="s">
        <v>156</v>
      </c>
      <c r="G203" s="17" t="s">
        <v>73</v>
      </c>
      <c r="AZ203" s="45">
        <f>IF(Тестирование!$M$3=1,VLOOKUP(MAX($B$8:$B203),'Часть 0'!$A$3:$B$32,2,0),"")</f>
        <v>1</v>
      </c>
      <c r="BA203" s="45">
        <f>VLOOKUP(MAX($B$8:$B203),'Часть 0'!$A$3:$C$32,3,0)</f>
        <v>1</v>
      </c>
    </row>
    <row r="204" spans="2:53" x14ac:dyDescent="0.2">
      <c r="C204" s="7"/>
      <c r="E204" s="11">
        <v>3</v>
      </c>
      <c r="F204" s="9" t="s">
        <v>156</v>
      </c>
      <c r="G204" s="17" t="s">
        <v>74</v>
      </c>
      <c r="AZ204" s="45">
        <f>IF(Тестирование!$M$3=1,VLOOKUP(MAX($B$8:$B204),'Часть 0'!$A$3:$B$32,2,0),"")</f>
        <v>1</v>
      </c>
      <c r="BA204" s="45">
        <f>VLOOKUP(MAX($B$8:$B204),'Часть 0'!$A$3:$C$32,3,0)</f>
        <v>1</v>
      </c>
    </row>
    <row r="205" spans="2:53" ht="5.0999999999999996" customHeight="1" thickBot="1" x14ac:dyDescent="0.25">
      <c r="E205" s="22"/>
      <c r="G205" s="19"/>
      <c r="H205" s="4"/>
      <c r="AZ205" s="45">
        <f>IF(Тестирование!$M$3=1,VLOOKUP(MAX($B$8:$B205),'Часть 0'!$A$3:$B$32,2,0),"")</f>
        <v>1</v>
      </c>
      <c r="BA205" s="45">
        <f>VLOOKUP(MAX($B$8:$B205),'Часть 0'!$A$3:$C$32,3,0)</f>
        <v>1</v>
      </c>
    </row>
    <row r="206" spans="2:53" ht="12" thickBot="1" x14ac:dyDescent="0.25">
      <c r="C206" s="61">
        <v>25</v>
      </c>
      <c r="D206" s="6" t="s">
        <v>220</v>
      </c>
      <c r="E206" s="22"/>
      <c r="F206" s="6"/>
      <c r="G206" s="6"/>
      <c r="H206" s="6"/>
      <c r="I206" s="124">
        <v>1</v>
      </c>
      <c r="AZ206" s="45">
        <f>IF(Тестирование!$M$3=1,VLOOKUP(MAX($B$8:$B206),'Часть 0'!$A$3:$B$32,2,0),"")</f>
        <v>1</v>
      </c>
      <c r="BA206" s="45">
        <f>VLOOKUP(MAX($B$8:$B206),'Часть 0'!$A$3:$C$32,3,0)</f>
        <v>1</v>
      </c>
    </row>
    <row r="207" spans="2:53" x14ac:dyDescent="0.2">
      <c r="E207" s="22"/>
      <c r="G207" s="20"/>
      <c r="H207" s="5"/>
      <c r="AZ207" s="45">
        <f>IF(Тестирование!$M$3=1,VLOOKUP(MAX($B$8:$B207),'Часть 0'!$A$3:$B$32,2,0),"")</f>
        <v>1</v>
      </c>
      <c r="BA207" s="45">
        <f>VLOOKUP(MAX($B$8:$B207),'Часть 0'!$A$3:$C$32,3,0)</f>
        <v>1</v>
      </c>
    </row>
    <row r="208" spans="2:53" s="6" customFormat="1" x14ac:dyDescent="0.2">
      <c r="B208" s="6">
        <v>26</v>
      </c>
      <c r="C208" s="6" t="s">
        <v>90</v>
      </c>
      <c r="D208" s="6" t="s">
        <v>116</v>
      </c>
      <c r="E208" s="22"/>
      <c r="F208" s="8"/>
      <c r="G208" s="18"/>
      <c r="I208" s="37"/>
      <c r="L208" s="8"/>
      <c r="AZ208" s="45">
        <f>IF(Тестирование!$M$3=1,VLOOKUP(MAX($B$8:$B208),'Часть 0'!$A$3:$B$32,2,0),"")</f>
        <v>2</v>
      </c>
      <c r="BA208" s="45">
        <f>VLOOKUP(MAX($B$8:$B208),'Часть 0'!$A$3:$C$32,3,0)</f>
        <v>2</v>
      </c>
    </row>
    <row r="209" spans="2:53" ht="5.0999999999999996" customHeight="1" x14ac:dyDescent="0.2">
      <c r="E209" s="22"/>
      <c r="AZ209" s="45">
        <f>IF(Тестирование!$M$3=1,VLOOKUP(MAX($B$8:$B209),'Часть 0'!$A$3:$B$32,2,0),"")</f>
        <v>2</v>
      </c>
      <c r="BA209" s="45">
        <f>VLOOKUP(MAX($B$8:$B209),'Часть 0'!$A$3:$C$32,3,0)</f>
        <v>2</v>
      </c>
    </row>
    <row r="210" spans="2:53" x14ac:dyDescent="0.2">
      <c r="C210" s="7"/>
      <c r="E210" s="11">
        <v>1</v>
      </c>
      <c r="F210" s="9" t="s">
        <v>156</v>
      </c>
      <c r="G210" s="17" t="s">
        <v>75</v>
      </c>
      <c r="AZ210" s="45">
        <f>IF(Тестирование!$M$3=1,VLOOKUP(MAX($B$8:$B210),'Часть 0'!$A$3:$B$32,2,0),"")</f>
        <v>2</v>
      </c>
      <c r="BA210" s="45">
        <f>VLOOKUP(MAX($B$8:$B210),'Часть 0'!$A$3:$C$32,3,0)</f>
        <v>2</v>
      </c>
    </row>
    <row r="211" spans="2:53" x14ac:dyDescent="0.2">
      <c r="C211" s="7"/>
      <c r="E211" s="11">
        <v>2</v>
      </c>
      <c r="F211" s="9" t="s">
        <v>156</v>
      </c>
      <c r="G211" s="17" t="s">
        <v>76</v>
      </c>
      <c r="AZ211" s="45">
        <f>IF(Тестирование!$M$3=1,VLOOKUP(MAX($B$8:$B211),'Часть 0'!$A$3:$B$32,2,0),"")</f>
        <v>2</v>
      </c>
      <c r="BA211" s="45">
        <f>VLOOKUP(MAX($B$8:$B211),'Часть 0'!$A$3:$C$32,3,0)</f>
        <v>2</v>
      </c>
    </row>
    <row r="212" spans="2:53" x14ac:dyDescent="0.2">
      <c r="C212" s="7"/>
      <c r="E212" s="11">
        <v>3</v>
      </c>
      <c r="F212" s="9" t="s">
        <v>156</v>
      </c>
      <c r="G212" s="17" t="s">
        <v>77</v>
      </c>
      <c r="AZ212" s="45">
        <f>IF(Тестирование!$M$3=1,VLOOKUP(MAX($B$8:$B212),'Часть 0'!$A$3:$B$32,2,0),"")</f>
        <v>2</v>
      </c>
      <c r="BA212" s="45">
        <f>VLOOKUP(MAX($B$8:$B212),'Часть 0'!$A$3:$C$32,3,0)</f>
        <v>2</v>
      </c>
    </row>
    <row r="213" spans="2:53" ht="5.0999999999999996" customHeight="1" thickBot="1" x14ac:dyDescent="0.25">
      <c r="E213" s="22"/>
      <c r="G213" s="19"/>
      <c r="H213" s="4"/>
      <c r="AZ213" s="45">
        <f>IF(Тестирование!$M$3=1,VLOOKUP(MAX($B$8:$B213),'Часть 0'!$A$3:$B$32,2,0),"")</f>
        <v>2</v>
      </c>
      <c r="BA213" s="45">
        <f>VLOOKUP(MAX($B$8:$B213),'Часть 0'!$A$3:$C$32,3,0)</f>
        <v>2</v>
      </c>
    </row>
    <row r="214" spans="2:53" ht="12" thickBot="1" x14ac:dyDescent="0.25">
      <c r="C214" s="61">
        <v>26</v>
      </c>
      <c r="D214" s="6" t="s">
        <v>220</v>
      </c>
      <c r="E214" s="22"/>
      <c r="F214" s="6"/>
      <c r="G214" s="6"/>
      <c r="H214" s="6"/>
      <c r="I214" s="124">
        <v>2</v>
      </c>
      <c r="AZ214" s="45">
        <f>IF(Тестирование!$M$3=1,VLOOKUP(MAX($B$8:$B214),'Часть 0'!$A$3:$B$32,2,0),"")</f>
        <v>2</v>
      </c>
      <c r="BA214" s="45">
        <f>VLOOKUP(MAX($B$8:$B214),'Часть 0'!$A$3:$C$32,3,0)</f>
        <v>2</v>
      </c>
    </row>
    <row r="215" spans="2:53" x14ac:dyDescent="0.2">
      <c r="E215" s="22"/>
      <c r="G215" s="20"/>
      <c r="H215" s="5"/>
      <c r="AZ215" s="45">
        <f>IF(Тестирование!$M$3=1,VLOOKUP(MAX($B$8:$B215),'Часть 0'!$A$3:$B$32,2,0),"")</f>
        <v>2</v>
      </c>
      <c r="BA215" s="45">
        <f>VLOOKUP(MAX($B$8:$B215),'Часть 0'!$A$3:$C$32,3,0)</f>
        <v>2</v>
      </c>
    </row>
    <row r="216" spans="2:53" s="6" customFormat="1" x14ac:dyDescent="0.2">
      <c r="B216" s="6">
        <v>27</v>
      </c>
      <c r="C216" s="6" t="s">
        <v>90</v>
      </c>
      <c r="D216" s="6" t="s">
        <v>117</v>
      </c>
      <c r="E216" s="22"/>
      <c r="F216" s="8"/>
      <c r="G216" s="18"/>
      <c r="I216" s="37"/>
      <c r="L216" s="8"/>
      <c r="AZ216" s="45">
        <f>IF(Тестирование!$M$3=1,VLOOKUP(MAX($B$8:$B216),'Часть 0'!$A$3:$B$32,2,0),"")</f>
        <v>1</v>
      </c>
      <c r="BA216" s="45">
        <f>VLOOKUP(MAX($B$8:$B216),'Часть 0'!$A$3:$C$32,3,0)</f>
        <v>1</v>
      </c>
    </row>
    <row r="217" spans="2:53" ht="5.0999999999999996" customHeight="1" x14ac:dyDescent="0.2">
      <c r="E217" s="22"/>
      <c r="AZ217" s="45">
        <f>IF(Тестирование!$M$3=1,VLOOKUP(MAX($B$8:$B217),'Часть 0'!$A$3:$B$32,2,0),"")</f>
        <v>1</v>
      </c>
      <c r="BA217" s="45">
        <f>VLOOKUP(MAX($B$8:$B217),'Часть 0'!$A$3:$C$32,3,0)</f>
        <v>1</v>
      </c>
    </row>
    <row r="218" spans="2:53" x14ac:dyDescent="0.2">
      <c r="C218" s="7"/>
      <c r="E218" s="11">
        <v>1</v>
      </c>
      <c r="F218" s="9" t="s">
        <v>156</v>
      </c>
      <c r="G218" s="17" t="s">
        <v>78</v>
      </c>
      <c r="AZ218" s="45">
        <f>IF(Тестирование!$M$3=1,VLOOKUP(MAX($B$8:$B218),'Часть 0'!$A$3:$B$32,2,0),"")</f>
        <v>1</v>
      </c>
      <c r="BA218" s="45">
        <f>VLOOKUP(MAX($B$8:$B218),'Часть 0'!$A$3:$C$32,3,0)</f>
        <v>1</v>
      </c>
    </row>
    <row r="219" spans="2:53" x14ac:dyDescent="0.2">
      <c r="C219" s="7"/>
      <c r="E219" s="11">
        <v>2</v>
      </c>
      <c r="F219" s="9" t="s">
        <v>156</v>
      </c>
      <c r="G219" s="17" t="s">
        <v>79</v>
      </c>
      <c r="AZ219" s="45">
        <f>IF(Тестирование!$M$3=1,VLOOKUP(MAX($B$8:$B219),'Часть 0'!$A$3:$B$32,2,0),"")</f>
        <v>1</v>
      </c>
      <c r="BA219" s="45">
        <f>VLOOKUP(MAX($B$8:$B219),'Часть 0'!$A$3:$C$32,3,0)</f>
        <v>1</v>
      </c>
    </row>
    <row r="220" spans="2:53" x14ac:dyDescent="0.2">
      <c r="C220" s="7"/>
      <c r="E220" s="11">
        <v>3</v>
      </c>
      <c r="F220" s="9" t="s">
        <v>156</v>
      </c>
      <c r="G220" s="17" t="s">
        <v>80</v>
      </c>
      <c r="AZ220" s="45">
        <f>IF(Тестирование!$M$3=1,VLOOKUP(MAX($B$8:$B220),'Часть 0'!$A$3:$B$32,2,0),"")</f>
        <v>1</v>
      </c>
      <c r="BA220" s="45">
        <f>VLOOKUP(MAX($B$8:$B220),'Часть 0'!$A$3:$C$32,3,0)</f>
        <v>1</v>
      </c>
    </row>
    <row r="221" spans="2:53" ht="5.0999999999999996" customHeight="1" thickBot="1" x14ac:dyDescent="0.25">
      <c r="E221" s="22"/>
      <c r="G221" s="19"/>
      <c r="H221" s="4"/>
      <c r="AZ221" s="45">
        <f>IF(Тестирование!$M$3=1,VLOOKUP(MAX($B$8:$B221),'Часть 0'!$A$3:$B$32,2,0),"")</f>
        <v>1</v>
      </c>
      <c r="BA221" s="45">
        <f>VLOOKUP(MAX($B$8:$B221),'Часть 0'!$A$3:$C$32,3,0)</f>
        <v>1</v>
      </c>
    </row>
    <row r="222" spans="2:53" ht="12" thickBot="1" x14ac:dyDescent="0.25">
      <c r="C222" s="61">
        <v>27</v>
      </c>
      <c r="D222" s="6" t="s">
        <v>220</v>
      </c>
      <c r="E222" s="22"/>
      <c r="F222" s="6"/>
      <c r="G222" s="6"/>
      <c r="H222" s="6"/>
      <c r="I222" s="124">
        <v>1</v>
      </c>
      <c r="AZ222" s="45">
        <f>IF(Тестирование!$M$3=1,VLOOKUP(MAX($B$8:$B222),'Часть 0'!$A$3:$B$32,2,0),"")</f>
        <v>1</v>
      </c>
      <c r="BA222" s="45">
        <f>VLOOKUP(MAX($B$8:$B222),'Часть 0'!$A$3:$C$32,3,0)</f>
        <v>1</v>
      </c>
    </row>
    <row r="223" spans="2:53" x14ac:dyDescent="0.2">
      <c r="E223" s="22"/>
      <c r="G223" s="20"/>
      <c r="H223" s="5"/>
      <c r="AZ223" s="45">
        <f>IF(Тестирование!$M$3=1,VLOOKUP(MAX($B$8:$B223),'Часть 0'!$A$3:$B$32,2,0),"")</f>
        <v>1</v>
      </c>
      <c r="BA223" s="45">
        <f>VLOOKUP(MAX($B$8:$B223),'Часть 0'!$A$3:$C$32,3,0)</f>
        <v>1</v>
      </c>
    </row>
    <row r="224" spans="2:53" s="6" customFormat="1" x14ac:dyDescent="0.2">
      <c r="B224" s="6">
        <v>28</v>
      </c>
      <c r="C224" s="6" t="s">
        <v>90</v>
      </c>
      <c r="D224" s="6" t="s">
        <v>118</v>
      </c>
      <c r="E224" s="22"/>
      <c r="F224" s="8"/>
      <c r="G224" s="18"/>
      <c r="I224" s="37"/>
      <c r="L224" s="8"/>
      <c r="AZ224" s="45">
        <f>IF(Тестирование!$M$3=1,VLOOKUP(MAX($B$8:$B224),'Часть 0'!$A$3:$B$32,2,0),"")</f>
        <v>3</v>
      </c>
      <c r="BA224" s="45">
        <f>VLOOKUP(MAX($B$8:$B224),'Часть 0'!$A$3:$C$32,3,0)</f>
        <v>3</v>
      </c>
    </row>
    <row r="225" spans="2:53" ht="5.0999999999999996" customHeight="1" x14ac:dyDescent="0.2">
      <c r="E225" s="22"/>
      <c r="AZ225" s="45">
        <f>IF(Тестирование!$M$3=1,VLOOKUP(MAX($B$8:$B225),'Часть 0'!$A$3:$B$32,2,0),"")</f>
        <v>3</v>
      </c>
      <c r="BA225" s="45">
        <f>VLOOKUP(MAX($B$8:$B225),'Часть 0'!$A$3:$C$32,3,0)</f>
        <v>3</v>
      </c>
    </row>
    <row r="226" spans="2:53" x14ac:dyDescent="0.2">
      <c r="C226" s="7"/>
      <c r="E226" s="11">
        <v>1</v>
      </c>
      <c r="F226" s="9" t="s">
        <v>156</v>
      </c>
      <c r="G226" s="17" t="s">
        <v>81</v>
      </c>
      <c r="AZ226" s="45">
        <f>IF(Тестирование!$M$3=1,VLOOKUP(MAX($B$8:$B226),'Часть 0'!$A$3:$B$32,2,0),"")</f>
        <v>3</v>
      </c>
      <c r="BA226" s="45">
        <f>VLOOKUP(MAX($B$8:$B226),'Часть 0'!$A$3:$C$32,3,0)</f>
        <v>3</v>
      </c>
    </row>
    <row r="227" spans="2:53" x14ac:dyDescent="0.2">
      <c r="C227" s="7"/>
      <c r="E227" s="11">
        <v>2</v>
      </c>
      <c r="F227" s="9" t="s">
        <v>156</v>
      </c>
      <c r="G227" s="17" t="s">
        <v>82</v>
      </c>
      <c r="AZ227" s="45">
        <f>IF(Тестирование!$M$3=1,VLOOKUP(MAX($B$8:$B227),'Часть 0'!$A$3:$B$32,2,0),"")</f>
        <v>3</v>
      </c>
      <c r="BA227" s="45">
        <f>VLOOKUP(MAX($B$8:$B227),'Часть 0'!$A$3:$C$32,3,0)</f>
        <v>3</v>
      </c>
    </row>
    <row r="228" spans="2:53" x14ac:dyDescent="0.2">
      <c r="C228" s="7"/>
      <c r="E228" s="11">
        <v>3</v>
      </c>
      <c r="F228" s="9" t="s">
        <v>156</v>
      </c>
      <c r="G228" s="17" t="s">
        <v>83</v>
      </c>
      <c r="AZ228" s="45">
        <f>IF(Тестирование!$M$3=1,VLOOKUP(MAX($B$8:$B228),'Часть 0'!$A$3:$B$32,2,0),"")</f>
        <v>3</v>
      </c>
      <c r="BA228" s="45">
        <f>VLOOKUP(MAX($B$8:$B228),'Часть 0'!$A$3:$C$32,3,0)</f>
        <v>3</v>
      </c>
    </row>
    <row r="229" spans="2:53" ht="5.0999999999999996" customHeight="1" thickBot="1" x14ac:dyDescent="0.25">
      <c r="E229" s="22"/>
      <c r="G229" s="19"/>
      <c r="H229" s="4"/>
      <c r="AZ229" s="45">
        <f>IF(Тестирование!$M$3=1,VLOOKUP(MAX($B$8:$B229),'Часть 0'!$A$3:$B$32,2,0),"")</f>
        <v>3</v>
      </c>
      <c r="BA229" s="45">
        <f>VLOOKUP(MAX($B$8:$B229),'Часть 0'!$A$3:$C$32,3,0)</f>
        <v>3</v>
      </c>
    </row>
    <row r="230" spans="2:53" ht="12" thickBot="1" x14ac:dyDescent="0.25">
      <c r="C230" s="61">
        <v>28</v>
      </c>
      <c r="D230" s="6" t="s">
        <v>220</v>
      </c>
      <c r="E230" s="22"/>
      <c r="F230" s="6"/>
      <c r="G230" s="6"/>
      <c r="H230" s="6"/>
      <c r="I230" s="124">
        <v>3</v>
      </c>
      <c r="AZ230" s="45">
        <f>IF(Тестирование!$M$3=1,VLOOKUP(MAX($B$8:$B230),'Часть 0'!$A$3:$B$32,2,0),"")</f>
        <v>3</v>
      </c>
      <c r="BA230" s="45">
        <f>VLOOKUP(MAX($B$8:$B230),'Часть 0'!$A$3:$C$32,3,0)</f>
        <v>3</v>
      </c>
    </row>
    <row r="231" spans="2:53" x14ac:dyDescent="0.2">
      <c r="E231" s="22"/>
      <c r="G231" s="20"/>
      <c r="H231" s="5"/>
      <c r="AZ231" s="45">
        <f>IF(Тестирование!$M$3=1,VLOOKUP(MAX($B$8:$B231),'Часть 0'!$A$3:$B$32,2,0),"")</f>
        <v>3</v>
      </c>
      <c r="BA231" s="45">
        <f>VLOOKUP(MAX($B$8:$B231),'Часть 0'!$A$3:$C$32,3,0)</f>
        <v>3</v>
      </c>
    </row>
    <row r="232" spans="2:53" s="6" customFormat="1" x14ac:dyDescent="0.2">
      <c r="B232" s="6">
        <v>29</v>
      </c>
      <c r="C232" s="6" t="s">
        <v>90</v>
      </c>
      <c r="D232" s="6" t="s">
        <v>119</v>
      </c>
      <c r="E232" s="22"/>
      <c r="F232" s="8"/>
      <c r="G232" s="18"/>
      <c r="I232" s="37"/>
      <c r="L232" s="8"/>
      <c r="AZ232" s="45">
        <f>IF(Тестирование!$M$3=1,VLOOKUP(MAX($B$8:$B232),'Часть 0'!$A$3:$B$32,2,0),"")</f>
        <v>3</v>
      </c>
      <c r="BA232" s="45">
        <f>VLOOKUP(MAX($B$8:$B232),'Часть 0'!$A$3:$C$32,3,0)</f>
        <v>3</v>
      </c>
    </row>
    <row r="233" spans="2:53" ht="5.0999999999999996" customHeight="1" x14ac:dyDescent="0.2">
      <c r="E233" s="22"/>
      <c r="AZ233" s="45">
        <f>IF(Тестирование!$M$3=1,VLOOKUP(MAX($B$8:$B233),'Часть 0'!$A$3:$B$32,2,0),"")</f>
        <v>3</v>
      </c>
      <c r="BA233" s="45">
        <f>VLOOKUP(MAX($B$8:$B233),'Часть 0'!$A$3:$C$32,3,0)</f>
        <v>3</v>
      </c>
    </row>
    <row r="234" spans="2:53" x14ac:dyDescent="0.2">
      <c r="C234" s="7"/>
      <c r="E234" s="11">
        <v>1</v>
      </c>
      <c r="F234" s="9" t="s">
        <v>156</v>
      </c>
      <c r="G234" s="17" t="s">
        <v>84</v>
      </c>
      <c r="AZ234" s="45">
        <f>IF(Тестирование!$M$3=1,VLOOKUP(MAX($B$8:$B234),'Часть 0'!$A$3:$B$32,2,0),"")</f>
        <v>3</v>
      </c>
      <c r="BA234" s="45">
        <f>VLOOKUP(MAX($B$8:$B234),'Часть 0'!$A$3:$C$32,3,0)</f>
        <v>3</v>
      </c>
    </row>
    <row r="235" spans="2:53" x14ac:dyDescent="0.2">
      <c r="C235" s="7"/>
      <c r="E235" s="11">
        <v>2</v>
      </c>
      <c r="F235" s="9" t="s">
        <v>156</v>
      </c>
      <c r="G235" s="17" t="s">
        <v>85</v>
      </c>
      <c r="AZ235" s="45">
        <f>IF(Тестирование!$M$3=1,VLOOKUP(MAX($B$8:$B235),'Часть 0'!$A$3:$B$32,2,0),"")</f>
        <v>3</v>
      </c>
      <c r="BA235" s="45">
        <f>VLOOKUP(MAX($B$8:$B235),'Часть 0'!$A$3:$C$32,3,0)</f>
        <v>3</v>
      </c>
    </row>
    <row r="236" spans="2:53" x14ac:dyDescent="0.2">
      <c r="C236" s="7"/>
      <c r="E236" s="11">
        <v>3</v>
      </c>
      <c r="F236" s="9" t="s">
        <v>156</v>
      </c>
      <c r="G236" s="17" t="s">
        <v>86</v>
      </c>
      <c r="AZ236" s="45">
        <f>IF(Тестирование!$M$3=1,VLOOKUP(MAX($B$8:$B236),'Часть 0'!$A$3:$B$32,2,0),"")</f>
        <v>3</v>
      </c>
      <c r="BA236" s="45">
        <f>VLOOKUP(MAX($B$8:$B236),'Часть 0'!$A$3:$C$32,3,0)</f>
        <v>3</v>
      </c>
    </row>
    <row r="237" spans="2:53" ht="5.0999999999999996" customHeight="1" thickBot="1" x14ac:dyDescent="0.25">
      <c r="E237" s="22"/>
      <c r="G237" s="19"/>
      <c r="H237" s="4"/>
      <c r="AZ237" s="45">
        <f>IF(Тестирование!$M$3=1,VLOOKUP(MAX($B$8:$B237),'Часть 0'!$A$3:$B$32,2,0),"")</f>
        <v>3</v>
      </c>
      <c r="BA237" s="45">
        <f>VLOOKUP(MAX($B$8:$B237),'Часть 0'!$A$3:$C$32,3,0)</f>
        <v>3</v>
      </c>
    </row>
    <row r="238" spans="2:53" ht="12" thickBot="1" x14ac:dyDescent="0.25">
      <c r="C238" s="61">
        <v>29</v>
      </c>
      <c r="D238" s="6" t="s">
        <v>220</v>
      </c>
      <c r="E238" s="22"/>
      <c r="F238" s="6"/>
      <c r="G238" s="6"/>
      <c r="H238" s="6"/>
      <c r="I238" s="124">
        <v>3</v>
      </c>
      <c r="AZ238" s="45">
        <f>IF(Тестирование!$M$3=1,VLOOKUP(MAX($B$8:$B238),'Часть 0'!$A$3:$B$32,2,0),"")</f>
        <v>3</v>
      </c>
      <c r="BA238" s="45">
        <f>VLOOKUP(MAX($B$8:$B238),'Часть 0'!$A$3:$C$32,3,0)</f>
        <v>3</v>
      </c>
    </row>
    <row r="239" spans="2:53" x14ac:dyDescent="0.2">
      <c r="E239" s="22"/>
      <c r="G239" s="20"/>
      <c r="H239" s="5"/>
      <c r="AZ239" s="45">
        <f>IF(Тестирование!$M$3=1,VLOOKUP(MAX($B$8:$B239),'Часть 0'!$A$3:$B$32,2,0),"")</f>
        <v>3</v>
      </c>
      <c r="BA239" s="45">
        <f>VLOOKUP(MAX($B$8:$B239),'Часть 0'!$A$3:$C$32,3,0)</f>
        <v>3</v>
      </c>
    </row>
    <row r="240" spans="2:53" s="6" customFormat="1" x14ac:dyDescent="0.2">
      <c r="B240" s="6">
        <v>30</v>
      </c>
      <c r="C240" s="6" t="s">
        <v>90</v>
      </c>
      <c r="D240" s="6" t="s">
        <v>120</v>
      </c>
      <c r="E240" s="22"/>
      <c r="F240" s="8"/>
      <c r="G240" s="18"/>
      <c r="I240" s="37"/>
      <c r="L240" s="8"/>
      <c r="AZ240" s="45">
        <f>IF(Тестирование!$M$3=1,VLOOKUP(MAX($B$8:$B240),'Часть 0'!$A$3:$B$32,2,0),"")</f>
        <v>1</v>
      </c>
      <c r="BA240" s="45">
        <f>VLOOKUP(MAX($B$8:$B240),'Часть 0'!$A$3:$C$32,3,0)</f>
        <v>1</v>
      </c>
    </row>
    <row r="241" spans="3:53" ht="5.0999999999999996" customHeight="1" x14ac:dyDescent="0.2">
      <c r="E241" s="22"/>
      <c r="AZ241" s="45">
        <f>IF(Тестирование!$M$3=1,VLOOKUP(MAX($B$8:$B241),'Часть 0'!$A$3:$B$32,2,0),"")</f>
        <v>1</v>
      </c>
      <c r="BA241" s="45">
        <f>VLOOKUP(MAX($B$8:$B241),'Часть 0'!$A$3:$C$32,3,0)</f>
        <v>1</v>
      </c>
    </row>
    <row r="242" spans="3:53" x14ac:dyDescent="0.2">
      <c r="C242" s="7"/>
      <c r="E242" s="11">
        <v>1</v>
      </c>
      <c r="F242" s="9" t="s">
        <v>156</v>
      </c>
      <c r="G242" s="17" t="s">
        <v>87</v>
      </c>
      <c r="AZ242" s="45">
        <f>IF(Тестирование!$M$3=1,VLOOKUP(MAX($B$8:$B242),'Часть 0'!$A$3:$B$32,2,0),"")</f>
        <v>1</v>
      </c>
      <c r="BA242" s="45">
        <f>VLOOKUP(MAX($B$8:$B242),'Часть 0'!$A$3:$C$32,3,0)</f>
        <v>1</v>
      </c>
    </row>
    <row r="243" spans="3:53" x14ac:dyDescent="0.2">
      <c r="C243" s="7"/>
      <c r="E243" s="11">
        <v>2</v>
      </c>
      <c r="F243" s="9" t="s">
        <v>156</v>
      </c>
      <c r="G243" s="17" t="s">
        <v>88</v>
      </c>
      <c r="AZ243" s="45">
        <f>IF(Тестирование!$M$3=1,VLOOKUP(MAX($B$8:$B243),'Часть 0'!$A$3:$B$32,2,0),"")</f>
        <v>1</v>
      </c>
      <c r="BA243" s="45">
        <f>VLOOKUP(MAX($B$8:$B243),'Часть 0'!$A$3:$C$32,3,0)</f>
        <v>1</v>
      </c>
    </row>
    <row r="244" spans="3:53" x14ac:dyDescent="0.2">
      <c r="C244" s="7"/>
      <c r="E244" s="11">
        <v>3</v>
      </c>
      <c r="F244" s="9" t="s">
        <v>156</v>
      </c>
      <c r="G244" s="17" t="s">
        <v>89</v>
      </c>
      <c r="AZ244" s="45">
        <f>IF(Тестирование!$M$3=1,VLOOKUP(MAX($B$8:$B244),'Часть 0'!$A$3:$B$32,2,0),"")</f>
        <v>1</v>
      </c>
      <c r="BA244" s="45">
        <f>VLOOKUP(MAX($B$8:$B244),'Часть 0'!$A$3:$C$32,3,0)</f>
        <v>1</v>
      </c>
    </row>
    <row r="245" spans="3:53" ht="5.0999999999999996" customHeight="1" thickBot="1" x14ac:dyDescent="0.25">
      <c r="E245" s="22"/>
      <c r="G245" s="19"/>
      <c r="H245" s="4"/>
      <c r="AZ245" s="45">
        <f>IF(Тестирование!$M$3=1,VLOOKUP(MAX($B$8:$B245),'Часть 0'!$A$3:$B$32,2,0),"")</f>
        <v>1</v>
      </c>
      <c r="BA245" s="45">
        <f>VLOOKUP(MAX($B$8:$B245),'Часть 0'!$A$3:$C$32,3,0)</f>
        <v>1</v>
      </c>
    </row>
    <row r="246" spans="3:53" ht="12" thickBot="1" x14ac:dyDescent="0.25">
      <c r="C246" s="61">
        <v>30</v>
      </c>
      <c r="D246" s="6" t="s">
        <v>220</v>
      </c>
      <c r="E246" s="22"/>
      <c r="F246" s="6"/>
      <c r="G246" s="6"/>
      <c r="H246" s="6"/>
      <c r="I246" s="124">
        <v>1</v>
      </c>
      <c r="AZ246" s="45">
        <f>IF(Тестирование!$M$3=1,VLOOKUP(MAX($B$8:$B246),'Часть 0'!$A$3:$B$32,2,0),"")</f>
        <v>1</v>
      </c>
      <c r="BA246" s="45">
        <f>VLOOKUP(MAX($B$8:$B246),'Часть 0'!$A$3:$C$32,3,0)</f>
        <v>1</v>
      </c>
    </row>
    <row r="247" spans="3:53" x14ac:dyDescent="0.2">
      <c r="E247" s="22"/>
      <c r="G247" s="20"/>
      <c r="H247" s="5"/>
      <c r="AZ247" s="45">
        <f>IF(Тестирование!$M$3=1,VLOOKUP(MAX($B$8:$B247),'Часть 0'!$A$3:$B$32,2,0),"")</f>
        <v>1</v>
      </c>
      <c r="BA247" s="45">
        <f>VLOOKUP(MAX($B$8:$B247),'Часть 0'!$A$3:$C$32,3,0)</f>
        <v>1</v>
      </c>
    </row>
    <row r="248" spans="3:53" s="6" customFormat="1" x14ac:dyDescent="0.2">
      <c r="E248" s="22"/>
      <c r="F248" s="8"/>
      <c r="G248" s="18"/>
      <c r="I248" s="37"/>
      <c r="L248" s="8"/>
      <c r="AZ248" s="45">
        <f>IF(Тестирование!$M$3=1,VLOOKUP(MAX($B$8:$B248),'Часть 0'!$A$3:$B$32,2,0),"")</f>
        <v>1</v>
      </c>
      <c r="BA248" s="45">
        <f>VLOOKUP(MAX($B$8:$B248),'Часть 0'!$A$3:$C$32,3,0)</f>
        <v>1</v>
      </c>
    </row>
    <row r="249" spans="3:53" s="6" customFormat="1" x14ac:dyDescent="0.2">
      <c r="E249" s="22"/>
      <c r="F249" s="8"/>
      <c r="G249" s="18"/>
      <c r="I249" s="37"/>
      <c r="L249" s="8"/>
      <c r="AZ249" s="45">
        <f>IF(Тестирование!$M$3=1,VLOOKUP(MAX($B$8:$B249),'Часть 0'!$A$3:$B$32,2,0),"")</f>
        <v>1</v>
      </c>
      <c r="BA249" s="45">
        <f>VLOOKUP(MAX($B$8:$B249),'Часть 0'!$A$3:$C$32,3,0)</f>
        <v>1</v>
      </c>
    </row>
    <row r="250" spans="3:53" s="6" customFormat="1" x14ac:dyDescent="0.2">
      <c r="E250" s="10"/>
      <c r="F250" s="8"/>
      <c r="G250" s="18"/>
      <c r="I250" s="37"/>
      <c r="L250" s="8"/>
      <c r="AZ250" s="45">
        <f>IF(Тестирование!$M$3=1,VLOOKUP(MAX($B$8:$B250),'Часть 0'!$A$3:$B$32,2,0),"")</f>
        <v>1</v>
      </c>
      <c r="BA250" s="45">
        <f>VLOOKUP(MAX($B$8:$B250),'Часть 0'!$A$3:$C$32,3,0)</f>
        <v>1</v>
      </c>
    </row>
    <row r="251" spans="3:53" s="6" customFormat="1" x14ac:dyDescent="0.2">
      <c r="E251" s="10"/>
      <c r="F251" s="8"/>
      <c r="G251" s="18"/>
      <c r="I251" s="37"/>
      <c r="L251" s="8"/>
      <c r="AZ251" s="45">
        <f>IF(Тестирование!$M$3=1,VLOOKUP(MAX($B$8:$B251),'Часть 0'!$A$3:$B$32,2,0),"")</f>
        <v>1</v>
      </c>
      <c r="BA251" s="45">
        <f>VLOOKUP(MAX($B$8:$B251),'Часть 0'!$A$3:$C$32,3,0)</f>
        <v>1</v>
      </c>
    </row>
    <row r="252" spans="3:53" s="6" customFormat="1" x14ac:dyDescent="0.2">
      <c r="E252" s="10"/>
      <c r="F252" s="8"/>
      <c r="G252" s="18"/>
      <c r="I252" s="37"/>
      <c r="L252" s="8"/>
      <c r="AZ252" s="45">
        <f>IF(Тестирование!$M$3=1,VLOOKUP(MAX($B$8:$B252),'Часть 0'!$A$3:$B$32,2,0),"")</f>
        <v>1</v>
      </c>
      <c r="BA252" s="45">
        <f>VLOOKUP(MAX($B$8:$B252),'Часть 0'!$A$3:$C$32,3,0)</f>
        <v>1</v>
      </c>
    </row>
    <row r="253" spans="3:53" s="6" customFormat="1" x14ac:dyDescent="0.2">
      <c r="E253" s="10"/>
      <c r="F253" s="8"/>
      <c r="G253" s="18"/>
      <c r="I253" s="37"/>
      <c r="L253" s="8"/>
      <c r="AZ253" s="46"/>
      <c r="BA253" s="46"/>
    </row>
    <row r="254" spans="3:53" s="6" customFormat="1" x14ac:dyDescent="0.2">
      <c r="E254" s="10"/>
      <c r="F254" s="8"/>
      <c r="G254" s="18"/>
      <c r="I254" s="37"/>
      <c r="L254" s="8"/>
      <c r="AZ254" s="46"/>
      <c r="BA254" s="46"/>
    </row>
    <row r="255" spans="3:53" s="6" customFormat="1" x14ac:dyDescent="0.2">
      <c r="E255" s="10"/>
      <c r="F255" s="8"/>
      <c r="G255" s="18"/>
      <c r="I255" s="37"/>
      <c r="L255" s="8"/>
      <c r="AZ255" s="46"/>
      <c r="BA255" s="46"/>
    </row>
    <row r="256" spans="3:53" s="6" customFormat="1" x14ac:dyDescent="0.2">
      <c r="E256" s="10"/>
      <c r="F256" s="8"/>
      <c r="G256" s="18"/>
      <c r="I256" s="37"/>
      <c r="L256" s="8"/>
      <c r="AZ256" s="46"/>
      <c r="BA256" s="46"/>
    </row>
    <row r="257" spans="5:53" s="6" customFormat="1" x14ac:dyDescent="0.2">
      <c r="E257" s="10"/>
      <c r="F257" s="8"/>
      <c r="G257" s="18"/>
      <c r="I257" s="37"/>
      <c r="L257" s="8"/>
      <c r="AZ257" s="46"/>
      <c r="BA257" s="46"/>
    </row>
    <row r="258" spans="5:53" s="6" customFormat="1" x14ac:dyDescent="0.2">
      <c r="E258" s="10"/>
      <c r="F258" s="8"/>
      <c r="G258" s="18"/>
      <c r="I258" s="37"/>
      <c r="L258" s="8"/>
      <c r="AZ258" s="46"/>
      <c r="BA258" s="46"/>
    </row>
    <row r="259" spans="5:53" s="6" customFormat="1" x14ac:dyDescent="0.2">
      <c r="E259" s="10"/>
      <c r="F259" s="8"/>
      <c r="G259" s="18"/>
      <c r="I259" s="37"/>
      <c r="L259" s="8"/>
      <c r="AZ259" s="46"/>
      <c r="BA259" s="46"/>
    </row>
    <row r="260" spans="5:53" s="6" customFormat="1" x14ac:dyDescent="0.2">
      <c r="E260" s="10"/>
      <c r="F260" s="8"/>
      <c r="G260" s="18"/>
      <c r="I260" s="37"/>
      <c r="L260" s="8"/>
      <c r="AZ260" s="46"/>
      <c r="BA260" s="46"/>
    </row>
    <row r="261" spans="5:53" s="6" customFormat="1" x14ac:dyDescent="0.2">
      <c r="E261" s="10"/>
      <c r="F261" s="8"/>
      <c r="G261" s="18"/>
      <c r="I261" s="37"/>
      <c r="L261" s="8"/>
      <c r="AZ261" s="46"/>
      <c r="BA261" s="46"/>
    </row>
    <row r="262" spans="5:53" s="6" customFormat="1" x14ac:dyDescent="0.2">
      <c r="E262" s="10"/>
      <c r="F262" s="8"/>
      <c r="G262" s="18"/>
      <c r="I262" s="37"/>
      <c r="L262" s="8"/>
      <c r="AZ262" s="46"/>
      <c r="BA262" s="46"/>
    </row>
    <row r="263" spans="5:53" s="6" customFormat="1" x14ac:dyDescent="0.2">
      <c r="E263" s="10"/>
      <c r="F263" s="8"/>
      <c r="G263" s="18"/>
      <c r="I263" s="37"/>
      <c r="L263" s="8"/>
      <c r="AZ263" s="46"/>
      <c r="BA263" s="46"/>
    </row>
    <row r="264" spans="5:53" s="6" customFormat="1" x14ac:dyDescent="0.2">
      <c r="E264" s="10"/>
      <c r="F264" s="8"/>
      <c r="G264" s="18"/>
      <c r="I264" s="37"/>
      <c r="L264" s="8"/>
      <c r="AZ264" s="46"/>
      <c r="BA264" s="46"/>
    </row>
    <row r="265" spans="5:53" s="6" customFormat="1" x14ac:dyDescent="0.2">
      <c r="E265" s="10"/>
      <c r="F265" s="8"/>
      <c r="G265" s="18"/>
      <c r="I265" s="37"/>
      <c r="L265" s="8"/>
      <c r="AZ265" s="46"/>
      <c r="BA265" s="46"/>
    </row>
    <row r="266" spans="5:53" s="6" customFormat="1" x14ac:dyDescent="0.2">
      <c r="E266" s="10"/>
      <c r="F266" s="8"/>
      <c r="G266" s="18"/>
      <c r="I266" s="37"/>
      <c r="L266" s="8"/>
      <c r="AZ266" s="46"/>
      <c r="BA266" s="46"/>
    </row>
    <row r="267" spans="5:53" s="6" customFormat="1" x14ac:dyDescent="0.2">
      <c r="E267" s="10"/>
      <c r="F267" s="8"/>
      <c r="G267" s="18"/>
      <c r="I267" s="37"/>
      <c r="L267" s="8"/>
      <c r="AZ267" s="46"/>
      <c r="BA267" s="46"/>
    </row>
    <row r="268" spans="5:53" s="6" customFormat="1" x14ac:dyDescent="0.2">
      <c r="E268" s="10"/>
      <c r="F268" s="8"/>
      <c r="G268" s="18"/>
      <c r="I268" s="37"/>
      <c r="L268" s="8"/>
      <c r="AZ268" s="46"/>
      <c r="BA268" s="46"/>
    </row>
    <row r="269" spans="5:53" s="6" customFormat="1" x14ac:dyDescent="0.2">
      <c r="E269" s="10"/>
      <c r="F269" s="8"/>
      <c r="G269" s="18"/>
      <c r="I269" s="37"/>
      <c r="L269" s="8"/>
      <c r="AZ269" s="46"/>
      <c r="BA269" s="46"/>
    </row>
    <row r="270" spans="5:53" s="6" customFormat="1" x14ac:dyDescent="0.2">
      <c r="E270" s="10"/>
      <c r="F270" s="8"/>
      <c r="G270" s="18"/>
      <c r="I270" s="37"/>
      <c r="L270" s="8"/>
      <c r="AZ270" s="46"/>
      <c r="BA270" s="46"/>
    </row>
    <row r="271" spans="5:53" s="6" customFormat="1" x14ac:dyDescent="0.2">
      <c r="E271" s="10"/>
      <c r="F271" s="8"/>
      <c r="G271" s="18"/>
      <c r="I271" s="37"/>
      <c r="L271" s="8"/>
      <c r="AZ271" s="46"/>
      <c r="BA271" s="46"/>
    </row>
    <row r="272" spans="5:53" s="6" customFormat="1" x14ac:dyDescent="0.2">
      <c r="E272" s="10"/>
      <c r="F272" s="8"/>
      <c r="G272" s="18"/>
      <c r="I272" s="37"/>
      <c r="L272" s="8"/>
      <c r="AZ272" s="46"/>
      <c r="BA272" s="46"/>
    </row>
    <row r="273" spans="5:53" s="6" customFormat="1" x14ac:dyDescent="0.2">
      <c r="E273" s="10"/>
      <c r="F273" s="8"/>
      <c r="G273" s="18"/>
      <c r="I273" s="37"/>
      <c r="L273" s="8"/>
      <c r="AZ273" s="46"/>
      <c r="BA273" s="46"/>
    </row>
    <row r="274" spans="5:53" s="6" customFormat="1" x14ac:dyDescent="0.2">
      <c r="E274" s="10"/>
      <c r="F274" s="8"/>
      <c r="G274" s="18"/>
      <c r="I274" s="37"/>
      <c r="L274" s="8"/>
      <c r="AZ274" s="46"/>
      <c r="BA274" s="46"/>
    </row>
    <row r="275" spans="5:53" s="6" customFormat="1" x14ac:dyDescent="0.2">
      <c r="E275" s="10"/>
      <c r="F275" s="8"/>
      <c r="G275" s="18"/>
      <c r="I275" s="37"/>
      <c r="L275" s="8"/>
      <c r="AZ275" s="46"/>
      <c r="BA275" s="46"/>
    </row>
    <row r="276" spans="5:53" s="6" customFormat="1" x14ac:dyDescent="0.2">
      <c r="E276" s="10"/>
      <c r="F276" s="8"/>
      <c r="G276" s="18"/>
      <c r="I276" s="37"/>
      <c r="L276" s="8"/>
      <c r="AZ276" s="46"/>
      <c r="BA276" s="46"/>
    </row>
    <row r="277" spans="5:53" s="6" customFormat="1" x14ac:dyDescent="0.2">
      <c r="E277" s="10"/>
      <c r="F277" s="8"/>
      <c r="G277" s="18"/>
      <c r="I277" s="37"/>
      <c r="L277" s="8"/>
      <c r="AZ277" s="46"/>
      <c r="BA277" s="46"/>
    </row>
    <row r="278" spans="5:53" s="6" customFormat="1" x14ac:dyDescent="0.2">
      <c r="E278" s="10"/>
      <c r="F278" s="8"/>
      <c r="G278" s="18"/>
      <c r="I278" s="37"/>
      <c r="L278" s="8"/>
      <c r="AZ278" s="46"/>
      <c r="BA278" s="46"/>
    </row>
    <row r="279" spans="5:53" s="6" customFormat="1" x14ac:dyDescent="0.2">
      <c r="E279" s="10"/>
      <c r="F279" s="8"/>
      <c r="G279" s="18"/>
      <c r="I279" s="37"/>
      <c r="L279" s="8"/>
      <c r="AZ279" s="46"/>
      <c r="BA279" s="46"/>
    </row>
    <row r="280" spans="5:53" s="6" customFormat="1" x14ac:dyDescent="0.2">
      <c r="E280" s="10"/>
      <c r="F280" s="8"/>
      <c r="G280" s="18"/>
      <c r="I280" s="37"/>
      <c r="L280" s="8"/>
      <c r="AZ280" s="46"/>
      <c r="BA280" s="46"/>
    </row>
    <row r="281" spans="5:53" s="6" customFormat="1" x14ac:dyDescent="0.2">
      <c r="E281" s="10"/>
      <c r="F281" s="8"/>
      <c r="G281" s="18"/>
      <c r="I281" s="37"/>
      <c r="L281" s="8"/>
      <c r="AZ281" s="46"/>
      <c r="BA281" s="46"/>
    </row>
    <row r="282" spans="5:53" s="6" customFormat="1" x14ac:dyDescent="0.2">
      <c r="E282" s="10"/>
      <c r="F282" s="8"/>
      <c r="G282" s="18"/>
      <c r="I282" s="37"/>
      <c r="L282" s="8"/>
      <c r="AZ282" s="46"/>
      <c r="BA282" s="46"/>
    </row>
    <row r="283" spans="5:53" s="6" customFormat="1" x14ac:dyDescent="0.2">
      <c r="E283" s="10"/>
      <c r="F283" s="8"/>
      <c r="G283" s="18"/>
      <c r="I283" s="37"/>
      <c r="L283" s="8"/>
      <c r="AZ283" s="46"/>
      <c r="BA283" s="46"/>
    </row>
    <row r="284" spans="5:53" s="6" customFormat="1" x14ac:dyDescent="0.2">
      <c r="E284" s="10"/>
      <c r="F284" s="8"/>
      <c r="G284" s="18"/>
      <c r="I284" s="37"/>
      <c r="L284" s="8"/>
      <c r="AZ284" s="46"/>
      <c r="BA284" s="46"/>
    </row>
    <row r="285" spans="5:53" s="6" customFormat="1" x14ac:dyDescent="0.2">
      <c r="E285" s="10"/>
      <c r="F285" s="8"/>
      <c r="G285" s="18"/>
      <c r="I285" s="37"/>
      <c r="L285" s="8"/>
      <c r="AZ285" s="46"/>
      <c r="BA285" s="46"/>
    </row>
    <row r="286" spans="5:53" s="6" customFormat="1" x14ac:dyDescent="0.2">
      <c r="E286" s="10"/>
      <c r="F286" s="8"/>
      <c r="G286" s="18"/>
      <c r="I286" s="37"/>
      <c r="L286" s="8"/>
      <c r="AZ286" s="46"/>
      <c r="BA286" s="46"/>
    </row>
    <row r="287" spans="5:53" s="6" customFormat="1" x14ac:dyDescent="0.2">
      <c r="E287" s="10"/>
      <c r="F287" s="8"/>
      <c r="G287" s="18"/>
      <c r="I287" s="37"/>
      <c r="L287" s="8"/>
      <c r="AZ287" s="46"/>
      <c r="BA287" s="46"/>
    </row>
    <row r="288" spans="5:53" s="6" customFormat="1" x14ac:dyDescent="0.2">
      <c r="E288" s="10"/>
      <c r="F288" s="8"/>
      <c r="G288" s="18"/>
      <c r="I288" s="37"/>
      <c r="L288" s="8"/>
      <c r="AZ288" s="46"/>
      <c r="BA288" s="46"/>
    </row>
    <row r="289" spans="5:53" s="6" customFormat="1" x14ac:dyDescent="0.2">
      <c r="E289" s="10"/>
      <c r="F289" s="8"/>
      <c r="G289" s="18"/>
      <c r="I289" s="37"/>
      <c r="L289" s="8"/>
      <c r="AZ289" s="46"/>
      <c r="BA289" s="46"/>
    </row>
    <row r="290" spans="5:53" s="6" customFormat="1" x14ac:dyDescent="0.2">
      <c r="E290" s="10"/>
      <c r="F290" s="8"/>
      <c r="G290" s="18"/>
      <c r="I290" s="37"/>
      <c r="L290" s="8"/>
      <c r="AZ290" s="46"/>
      <c r="BA290" s="46"/>
    </row>
    <row r="291" spans="5:53" s="6" customFormat="1" x14ac:dyDescent="0.2">
      <c r="E291" s="10"/>
      <c r="F291" s="8"/>
      <c r="G291" s="18"/>
      <c r="I291" s="37"/>
      <c r="L291" s="8"/>
      <c r="AZ291" s="46"/>
      <c r="BA291" s="46"/>
    </row>
    <row r="292" spans="5:53" s="6" customFormat="1" x14ac:dyDescent="0.2">
      <c r="E292" s="10"/>
      <c r="F292" s="8"/>
      <c r="G292" s="18"/>
      <c r="I292" s="37"/>
      <c r="L292" s="8"/>
      <c r="AZ292" s="46"/>
      <c r="BA292" s="46"/>
    </row>
    <row r="293" spans="5:53" s="6" customFormat="1" x14ac:dyDescent="0.2">
      <c r="E293" s="10"/>
      <c r="F293" s="8"/>
      <c r="G293" s="18"/>
      <c r="I293" s="37"/>
      <c r="L293" s="8"/>
      <c r="AZ293" s="46"/>
      <c r="BA293" s="46"/>
    </row>
    <row r="294" spans="5:53" s="6" customFormat="1" x14ac:dyDescent="0.2">
      <c r="E294" s="10"/>
      <c r="F294" s="8"/>
      <c r="G294" s="18"/>
      <c r="I294" s="37"/>
      <c r="L294" s="8"/>
      <c r="AZ294" s="46"/>
      <c r="BA294" s="46"/>
    </row>
    <row r="295" spans="5:53" s="6" customFormat="1" x14ac:dyDescent="0.2">
      <c r="E295" s="10"/>
      <c r="F295" s="8"/>
      <c r="G295" s="18"/>
      <c r="I295" s="37"/>
      <c r="L295" s="8"/>
      <c r="AZ295" s="46"/>
      <c r="BA295" s="46"/>
    </row>
    <row r="296" spans="5:53" s="6" customFormat="1" x14ac:dyDescent="0.2">
      <c r="E296" s="10"/>
      <c r="F296" s="8"/>
      <c r="G296" s="18"/>
      <c r="I296" s="37"/>
      <c r="L296" s="8"/>
      <c r="AZ296" s="46"/>
      <c r="BA296" s="46"/>
    </row>
    <row r="297" spans="5:53" s="6" customFormat="1" x14ac:dyDescent="0.2">
      <c r="E297" s="10"/>
      <c r="F297" s="8"/>
      <c r="G297" s="18"/>
      <c r="I297" s="37"/>
      <c r="L297" s="8"/>
      <c r="AZ297" s="46"/>
      <c r="BA297" s="46"/>
    </row>
    <row r="298" spans="5:53" s="6" customFormat="1" x14ac:dyDescent="0.2">
      <c r="E298" s="10"/>
      <c r="F298" s="8"/>
      <c r="G298" s="18"/>
      <c r="I298" s="37"/>
      <c r="L298" s="8"/>
      <c r="AZ298" s="46"/>
      <c r="BA298" s="46"/>
    </row>
    <row r="299" spans="5:53" s="6" customFormat="1" x14ac:dyDescent="0.2">
      <c r="E299" s="10"/>
      <c r="F299" s="8"/>
      <c r="G299" s="18"/>
      <c r="I299" s="37"/>
      <c r="L299" s="8"/>
      <c r="AZ299" s="46"/>
      <c r="BA299" s="46"/>
    </row>
    <row r="300" spans="5:53" s="6" customFormat="1" x14ac:dyDescent="0.2">
      <c r="E300" s="10"/>
      <c r="F300" s="8"/>
      <c r="G300" s="18"/>
      <c r="I300" s="37"/>
      <c r="L300" s="8"/>
      <c r="AZ300" s="46"/>
      <c r="BA300" s="46"/>
    </row>
    <row r="301" spans="5:53" s="6" customFormat="1" x14ac:dyDescent="0.2">
      <c r="E301" s="10"/>
      <c r="F301" s="8"/>
      <c r="G301" s="18"/>
      <c r="I301" s="37"/>
      <c r="L301" s="8"/>
      <c r="AZ301" s="46"/>
      <c r="BA301" s="46"/>
    </row>
    <row r="302" spans="5:53" s="6" customFormat="1" x14ac:dyDescent="0.2">
      <c r="E302" s="10"/>
      <c r="F302" s="8"/>
      <c r="G302" s="18"/>
      <c r="I302" s="37"/>
      <c r="L302" s="8"/>
      <c r="AZ302" s="46"/>
      <c r="BA302" s="46"/>
    </row>
    <row r="303" spans="5:53" s="6" customFormat="1" x14ac:dyDescent="0.2">
      <c r="E303" s="10"/>
      <c r="F303" s="8"/>
      <c r="G303" s="18"/>
      <c r="I303" s="37"/>
      <c r="L303" s="8"/>
      <c r="AZ303" s="46"/>
      <c r="BA303" s="46"/>
    </row>
    <row r="304" spans="5:53" s="6" customFormat="1" x14ac:dyDescent="0.2">
      <c r="E304" s="10"/>
      <c r="F304" s="8"/>
      <c r="G304" s="18"/>
      <c r="I304" s="37"/>
      <c r="L304" s="8"/>
      <c r="AZ304" s="46"/>
      <c r="BA304" s="46"/>
    </row>
    <row r="305" spans="5:53" s="6" customFormat="1" x14ac:dyDescent="0.2">
      <c r="E305" s="10"/>
      <c r="F305" s="8"/>
      <c r="G305" s="18"/>
      <c r="I305" s="37"/>
      <c r="L305" s="8"/>
      <c r="AZ305" s="46"/>
      <c r="BA305" s="46"/>
    </row>
    <row r="306" spans="5:53" s="6" customFormat="1" x14ac:dyDescent="0.2">
      <c r="E306" s="10"/>
      <c r="F306" s="8"/>
      <c r="G306" s="18"/>
      <c r="I306" s="37"/>
      <c r="L306" s="8"/>
      <c r="AZ306" s="46"/>
      <c r="BA306" s="46"/>
    </row>
    <row r="307" spans="5:53" s="6" customFormat="1" x14ac:dyDescent="0.2">
      <c r="E307" s="10"/>
      <c r="F307" s="8"/>
      <c r="G307" s="18"/>
      <c r="I307" s="37"/>
      <c r="L307" s="8"/>
      <c r="AZ307" s="46"/>
      <c r="BA307" s="46"/>
    </row>
    <row r="308" spans="5:53" s="6" customFormat="1" x14ac:dyDescent="0.2">
      <c r="E308" s="10"/>
      <c r="F308" s="8"/>
      <c r="G308" s="18"/>
      <c r="I308" s="37"/>
      <c r="L308" s="8"/>
      <c r="AZ308" s="46"/>
      <c r="BA308" s="46"/>
    </row>
    <row r="309" spans="5:53" s="6" customFormat="1" x14ac:dyDescent="0.2">
      <c r="E309" s="10"/>
      <c r="F309" s="8"/>
      <c r="G309" s="18"/>
      <c r="I309" s="37"/>
      <c r="L309" s="8"/>
      <c r="AZ309" s="46"/>
      <c r="BA309" s="46"/>
    </row>
    <row r="310" spans="5:53" s="6" customFormat="1" x14ac:dyDescent="0.2">
      <c r="E310" s="10"/>
      <c r="F310" s="8"/>
      <c r="G310" s="18"/>
      <c r="I310" s="37"/>
      <c r="L310" s="8"/>
      <c r="AZ310" s="46"/>
      <c r="BA310" s="46"/>
    </row>
    <row r="311" spans="5:53" s="6" customFormat="1" x14ac:dyDescent="0.2">
      <c r="E311" s="10"/>
      <c r="F311" s="8"/>
      <c r="G311" s="18"/>
      <c r="I311" s="37"/>
      <c r="L311" s="8"/>
      <c r="AZ311" s="46"/>
      <c r="BA311" s="46"/>
    </row>
    <row r="312" spans="5:53" s="6" customFormat="1" x14ac:dyDescent="0.2">
      <c r="E312" s="10"/>
      <c r="F312" s="8"/>
      <c r="G312" s="18"/>
      <c r="I312" s="37"/>
      <c r="L312" s="8"/>
      <c r="AZ312" s="46"/>
      <c r="BA312" s="46"/>
    </row>
    <row r="313" spans="5:53" s="6" customFormat="1" x14ac:dyDescent="0.2">
      <c r="E313" s="10"/>
      <c r="F313" s="8"/>
      <c r="G313" s="18"/>
      <c r="I313" s="37"/>
      <c r="L313" s="8"/>
      <c r="AZ313" s="46"/>
      <c r="BA313" s="46"/>
    </row>
    <row r="314" spans="5:53" s="6" customFormat="1" x14ac:dyDescent="0.2">
      <c r="E314" s="10"/>
      <c r="F314" s="8"/>
      <c r="G314" s="18"/>
      <c r="I314" s="37"/>
      <c r="L314" s="8"/>
      <c r="AZ314" s="46"/>
      <c r="BA314" s="46"/>
    </row>
    <row r="315" spans="5:53" s="6" customFormat="1" x14ac:dyDescent="0.2">
      <c r="E315" s="10"/>
      <c r="F315" s="8"/>
      <c r="G315" s="18"/>
      <c r="I315" s="37"/>
      <c r="L315" s="8"/>
      <c r="AZ315" s="46"/>
      <c r="BA315" s="46"/>
    </row>
    <row r="316" spans="5:53" s="6" customFormat="1" x14ac:dyDescent="0.2">
      <c r="E316" s="10"/>
      <c r="F316" s="8"/>
      <c r="G316" s="18"/>
      <c r="I316" s="37"/>
      <c r="L316" s="8"/>
      <c r="AZ316" s="46"/>
      <c r="BA316" s="46"/>
    </row>
    <row r="317" spans="5:53" s="6" customFormat="1" x14ac:dyDescent="0.2">
      <c r="E317" s="10"/>
      <c r="F317" s="8"/>
      <c r="G317" s="18"/>
      <c r="I317" s="37"/>
      <c r="L317" s="8"/>
      <c r="AZ317" s="46"/>
      <c r="BA317" s="46"/>
    </row>
    <row r="318" spans="5:53" s="6" customFormat="1" x14ac:dyDescent="0.2">
      <c r="E318" s="10"/>
      <c r="F318" s="8"/>
      <c r="G318" s="18"/>
      <c r="I318" s="37"/>
      <c r="L318" s="8"/>
      <c r="AZ318" s="46"/>
      <c r="BA318" s="46"/>
    </row>
    <row r="319" spans="5:53" s="6" customFormat="1" x14ac:dyDescent="0.2">
      <c r="E319" s="10"/>
      <c r="F319" s="8"/>
      <c r="G319" s="18"/>
      <c r="I319" s="37"/>
      <c r="L319" s="8"/>
      <c r="AZ319" s="46"/>
      <c r="BA319" s="46"/>
    </row>
    <row r="320" spans="5:53" s="6" customFormat="1" x14ac:dyDescent="0.2">
      <c r="E320" s="10"/>
      <c r="F320" s="8"/>
      <c r="G320" s="18"/>
      <c r="I320" s="37"/>
      <c r="L320" s="8"/>
      <c r="AZ320" s="46"/>
      <c r="BA320" s="46"/>
    </row>
    <row r="321" spans="5:53" s="6" customFormat="1" x14ac:dyDescent="0.2">
      <c r="E321" s="10"/>
      <c r="F321" s="8"/>
      <c r="G321" s="18"/>
      <c r="I321" s="37"/>
      <c r="L321" s="8"/>
      <c r="AZ321" s="46"/>
      <c r="BA321" s="46"/>
    </row>
    <row r="322" spans="5:53" s="6" customFormat="1" x14ac:dyDescent="0.2">
      <c r="E322" s="10"/>
      <c r="F322" s="8"/>
      <c r="G322" s="18"/>
      <c r="I322" s="37"/>
      <c r="L322" s="8"/>
      <c r="AZ322" s="46"/>
      <c r="BA322" s="46"/>
    </row>
    <row r="323" spans="5:53" s="6" customFormat="1" x14ac:dyDescent="0.2">
      <c r="E323" s="10"/>
      <c r="F323" s="8"/>
      <c r="G323" s="18"/>
      <c r="I323" s="37"/>
      <c r="L323" s="8"/>
      <c r="AZ323" s="46"/>
      <c r="BA323" s="46"/>
    </row>
    <row r="324" spans="5:53" s="6" customFormat="1" x14ac:dyDescent="0.2">
      <c r="E324" s="10"/>
      <c r="F324" s="8"/>
      <c r="G324" s="18"/>
      <c r="I324" s="37"/>
      <c r="L324" s="8"/>
      <c r="AZ324" s="46"/>
      <c r="BA324" s="46"/>
    </row>
    <row r="325" spans="5:53" s="6" customFormat="1" x14ac:dyDescent="0.2">
      <c r="E325" s="10"/>
      <c r="F325" s="8"/>
      <c r="G325" s="18"/>
      <c r="I325" s="37"/>
      <c r="L325" s="8"/>
      <c r="AZ325" s="46"/>
      <c r="BA325" s="46"/>
    </row>
    <row r="326" spans="5:53" s="6" customFormat="1" x14ac:dyDescent="0.2">
      <c r="E326" s="10"/>
      <c r="F326" s="8"/>
      <c r="G326" s="18"/>
      <c r="I326" s="37"/>
      <c r="L326" s="8"/>
      <c r="AZ326" s="46"/>
      <c r="BA326" s="46"/>
    </row>
    <row r="327" spans="5:53" s="6" customFormat="1" x14ac:dyDescent="0.2">
      <c r="E327" s="10"/>
      <c r="F327" s="8"/>
      <c r="G327" s="18"/>
      <c r="I327" s="37"/>
      <c r="L327" s="8"/>
      <c r="AZ327" s="46"/>
      <c r="BA327" s="46"/>
    </row>
    <row r="328" spans="5:53" s="6" customFormat="1" x14ac:dyDescent="0.2">
      <c r="E328" s="10"/>
      <c r="F328" s="8"/>
      <c r="G328" s="18"/>
      <c r="I328" s="37"/>
      <c r="L328" s="8"/>
      <c r="AZ328" s="46"/>
      <c r="BA328" s="46"/>
    </row>
    <row r="329" spans="5:53" s="6" customFormat="1" x14ac:dyDescent="0.2">
      <c r="E329" s="10"/>
      <c r="F329" s="8"/>
      <c r="G329" s="18"/>
      <c r="I329" s="37"/>
      <c r="L329" s="8"/>
      <c r="AZ329" s="46"/>
      <c r="BA329" s="46"/>
    </row>
    <row r="330" spans="5:53" s="6" customFormat="1" x14ac:dyDescent="0.2">
      <c r="E330" s="10"/>
      <c r="F330" s="8"/>
      <c r="G330" s="18"/>
      <c r="I330" s="37"/>
      <c r="L330" s="8"/>
      <c r="AZ330" s="46"/>
      <c r="BA330" s="46"/>
    </row>
    <row r="331" spans="5:53" s="6" customFormat="1" x14ac:dyDescent="0.2">
      <c r="E331" s="10"/>
      <c r="F331" s="8"/>
      <c r="G331" s="18"/>
      <c r="I331" s="37"/>
      <c r="L331" s="8"/>
      <c r="AZ331" s="46"/>
      <c r="BA331" s="46"/>
    </row>
    <row r="332" spans="5:53" s="6" customFormat="1" x14ac:dyDescent="0.2">
      <c r="E332" s="10"/>
      <c r="F332" s="8"/>
      <c r="G332" s="18"/>
      <c r="I332" s="37"/>
      <c r="L332" s="8"/>
      <c r="AZ332" s="46"/>
      <c r="BA332" s="46"/>
    </row>
    <row r="333" spans="5:53" s="6" customFormat="1" x14ac:dyDescent="0.2">
      <c r="E333" s="10"/>
      <c r="F333" s="8"/>
      <c r="G333" s="18"/>
      <c r="I333" s="37"/>
      <c r="L333" s="8"/>
      <c r="AZ333" s="46"/>
      <c r="BA333" s="46"/>
    </row>
    <row r="334" spans="5:53" s="6" customFormat="1" x14ac:dyDescent="0.2">
      <c r="E334" s="10"/>
      <c r="F334" s="8"/>
      <c r="G334" s="18"/>
      <c r="I334" s="37"/>
      <c r="L334" s="8"/>
      <c r="AZ334" s="46"/>
      <c r="BA334" s="46"/>
    </row>
    <row r="335" spans="5:53" s="6" customFormat="1" x14ac:dyDescent="0.2">
      <c r="E335" s="10"/>
      <c r="F335" s="8"/>
      <c r="G335" s="18"/>
      <c r="I335" s="37"/>
      <c r="L335" s="8"/>
      <c r="AZ335" s="46"/>
      <c r="BA335" s="46"/>
    </row>
    <row r="336" spans="5:53" s="6" customFormat="1" x14ac:dyDescent="0.2">
      <c r="E336" s="10"/>
      <c r="F336" s="8"/>
      <c r="G336" s="18"/>
      <c r="I336" s="37"/>
      <c r="L336" s="8"/>
      <c r="AZ336" s="46"/>
      <c r="BA336" s="46"/>
    </row>
    <row r="337" spans="5:53" s="6" customFormat="1" x14ac:dyDescent="0.2">
      <c r="E337" s="10"/>
      <c r="F337" s="8"/>
      <c r="G337" s="18"/>
      <c r="I337" s="37"/>
      <c r="L337" s="8"/>
      <c r="AZ337" s="46"/>
      <c r="BA337" s="46"/>
    </row>
    <row r="338" spans="5:53" s="6" customFormat="1" x14ac:dyDescent="0.2">
      <c r="E338" s="10"/>
      <c r="F338" s="8"/>
      <c r="G338" s="18"/>
      <c r="I338" s="37"/>
      <c r="L338" s="8"/>
      <c r="AZ338" s="46"/>
      <c r="BA338" s="46"/>
    </row>
    <row r="339" spans="5:53" s="6" customFormat="1" x14ac:dyDescent="0.2">
      <c r="E339" s="10"/>
      <c r="F339" s="8"/>
      <c r="G339" s="18"/>
      <c r="I339" s="37"/>
      <c r="L339" s="8"/>
      <c r="AZ339" s="46"/>
      <c r="BA339" s="46"/>
    </row>
    <row r="340" spans="5:53" s="6" customFormat="1" x14ac:dyDescent="0.2">
      <c r="E340" s="10"/>
      <c r="F340" s="8"/>
      <c r="G340" s="18"/>
      <c r="I340" s="37"/>
      <c r="L340" s="8"/>
      <c r="AZ340" s="46"/>
      <c r="BA340" s="46"/>
    </row>
    <row r="341" spans="5:53" s="6" customFormat="1" x14ac:dyDescent="0.2">
      <c r="E341" s="10"/>
      <c r="F341" s="8"/>
      <c r="G341" s="18"/>
      <c r="I341" s="37"/>
      <c r="L341" s="8"/>
      <c r="AZ341" s="46"/>
      <c r="BA341" s="46"/>
    </row>
    <row r="342" spans="5:53" s="6" customFormat="1" x14ac:dyDescent="0.2">
      <c r="E342" s="10"/>
      <c r="F342" s="8"/>
      <c r="G342" s="18"/>
      <c r="I342" s="37"/>
      <c r="L342" s="8"/>
      <c r="AZ342" s="46"/>
      <c r="BA342" s="46"/>
    </row>
    <row r="343" spans="5:53" s="6" customFormat="1" x14ac:dyDescent="0.2">
      <c r="E343" s="10"/>
      <c r="F343" s="8"/>
      <c r="G343" s="18"/>
      <c r="I343" s="37"/>
      <c r="L343" s="8"/>
      <c r="AZ343" s="46"/>
      <c r="BA343" s="46"/>
    </row>
    <row r="344" spans="5:53" s="6" customFormat="1" x14ac:dyDescent="0.2">
      <c r="E344" s="10"/>
      <c r="F344" s="8"/>
      <c r="G344" s="18"/>
      <c r="I344" s="37"/>
      <c r="L344" s="8"/>
      <c r="AZ344" s="46"/>
      <c r="BA344" s="46"/>
    </row>
    <row r="345" spans="5:53" s="6" customFormat="1" x14ac:dyDescent="0.2">
      <c r="E345" s="10"/>
      <c r="F345" s="8"/>
      <c r="G345" s="18"/>
      <c r="I345" s="37"/>
      <c r="L345" s="8"/>
      <c r="AZ345" s="46"/>
      <c r="BA345" s="46"/>
    </row>
    <row r="346" spans="5:53" s="6" customFormat="1" x14ac:dyDescent="0.2">
      <c r="E346" s="10"/>
      <c r="F346" s="8"/>
      <c r="G346" s="18"/>
      <c r="I346" s="37"/>
      <c r="L346" s="8"/>
      <c r="AZ346" s="46"/>
      <c r="BA346" s="46"/>
    </row>
    <row r="347" spans="5:53" s="6" customFormat="1" x14ac:dyDescent="0.2">
      <c r="E347" s="10"/>
      <c r="F347" s="8"/>
      <c r="G347" s="18"/>
      <c r="I347" s="37"/>
      <c r="L347" s="8"/>
      <c r="AZ347" s="46"/>
      <c r="BA347" s="46"/>
    </row>
    <row r="348" spans="5:53" s="6" customFormat="1" x14ac:dyDescent="0.2">
      <c r="E348" s="10"/>
      <c r="F348" s="8"/>
      <c r="G348" s="18"/>
      <c r="I348" s="37"/>
      <c r="L348" s="8"/>
      <c r="AZ348" s="46"/>
      <c r="BA348" s="46"/>
    </row>
    <row r="349" spans="5:53" s="6" customFormat="1" x14ac:dyDescent="0.2">
      <c r="E349" s="10"/>
      <c r="F349" s="8"/>
      <c r="G349" s="18"/>
      <c r="I349" s="37"/>
      <c r="L349" s="8"/>
      <c r="AZ349" s="46"/>
      <c r="BA349" s="46"/>
    </row>
    <row r="350" spans="5:53" s="6" customFormat="1" x14ac:dyDescent="0.2">
      <c r="E350" s="10"/>
      <c r="F350" s="8"/>
      <c r="G350" s="18"/>
      <c r="I350" s="37"/>
      <c r="L350" s="8"/>
      <c r="AZ350" s="46"/>
      <c r="BA350" s="46"/>
    </row>
    <row r="351" spans="5:53" s="6" customFormat="1" x14ac:dyDescent="0.2">
      <c r="E351" s="10"/>
      <c r="F351" s="8"/>
      <c r="G351" s="18"/>
      <c r="I351" s="37"/>
      <c r="L351" s="8"/>
      <c r="AZ351" s="46"/>
      <c r="BA351" s="46"/>
    </row>
    <row r="352" spans="5:53" s="6" customFormat="1" x14ac:dyDescent="0.2">
      <c r="E352" s="10"/>
      <c r="F352" s="8"/>
      <c r="G352" s="18"/>
      <c r="I352" s="37"/>
      <c r="L352" s="8"/>
      <c r="AZ352" s="46"/>
      <c r="BA352" s="46"/>
    </row>
    <row r="353" spans="5:53" s="6" customFormat="1" x14ac:dyDescent="0.2">
      <c r="E353" s="10"/>
      <c r="F353" s="8"/>
      <c r="G353" s="18"/>
      <c r="I353" s="37"/>
      <c r="L353" s="8"/>
      <c r="AZ353" s="46"/>
      <c r="BA353" s="46"/>
    </row>
    <row r="354" spans="5:53" s="6" customFormat="1" x14ac:dyDescent="0.2">
      <c r="E354" s="10"/>
      <c r="F354" s="8"/>
      <c r="G354" s="18"/>
      <c r="I354" s="37"/>
      <c r="L354" s="8"/>
      <c r="AZ354" s="46"/>
      <c r="BA354" s="46"/>
    </row>
    <row r="355" spans="5:53" s="6" customFormat="1" x14ac:dyDescent="0.2">
      <c r="E355" s="10"/>
      <c r="F355" s="8"/>
      <c r="G355" s="18"/>
      <c r="I355" s="37"/>
      <c r="L355" s="8"/>
      <c r="AZ355" s="46"/>
      <c r="BA355" s="46"/>
    </row>
    <row r="356" spans="5:53" s="6" customFormat="1" x14ac:dyDescent="0.2">
      <c r="E356" s="10"/>
      <c r="F356" s="8"/>
      <c r="G356" s="18"/>
      <c r="I356" s="37"/>
      <c r="L356" s="8"/>
      <c r="AZ356" s="46"/>
      <c r="BA356" s="46"/>
    </row>
    <row r="357" spans="5:53" s="6" customFormat="1" x14ac:dyDescent="0.2">
      <c r="E357" s="10"/>
      <c r="F357" s="8"/>
      <c r="G357" s="18"/>
      <c r="I357" s="37"/>
      <c r="L357" s="8"/>
      <c r="AZ357" s="46"/>
      <c r="BA357" s="46"/>
    </row>
    <row r="358" spans="5:53" s="6" customFormat="1" x14ac:dyDescent="0.2">
      <c r="E358" s="10"/>
      <c r="F358" s="8"/>
      <c r="G358" s="18"/>
      <c r="I358" s="37"/>
      <c r="L358" s="8"/>
      <c r="AZ358" s="46"/>
      <c r="BA358" s="46"/>
    </row>
    <row r="359" spans="5:53" s="6" customFormat="1" x14ac:dyDescent="0.2">
      <c r="E359" s="10"/>
      <c r="F359" s="8"/>
      <c r="G359" s="18"/>
      <c r="I359" s="37"/>
      <c r="L359" s="8"/>
      <c r="AZ359" s="46"/>
      <c r="BA359" s="46"/>
    </row>
    <row r="360" spans="5:53" s="6" customFormat="1" x14ac:dyDescent="0.2">
      <c r="E360" s="10"/>
      <c r="F360" s="8"/>
      <c r="G360" s="18"/>
      <c r="I360" s="37"/>
      <c r="L360" s="8"/>
      <c r="AZ360" s="46"/>
      <c r="BA360" s="46"/>
    </row>
    <row r="361" spans="5:53" s="6" customFormat="1" x14ac:dyDescent="0.2">
      <c r="E361" s="10"/>
      <c r="F361" s="8"/>
      <c r="G361" s="18"/>
      <c r="I361" s="37"/>
      <c r="L361" s="8"/>
      <c r="AZ361" s="46"/>
      <c r="BA361" s="46"/>
    </row>
    <row r="362" spans="5:53" s="6" customFormat="1" x14ac:dyDescent="0.2">
      <c r="E362" s="10"/>
      <c r="F362" s="8"/>
      <c r="G362" s="18"/>
      <c r="I362" s="37"/>
      <c r="L362" s="8"/>
      <c r="AZ362" s="46"/>
      <c r="BA362" s="46"/>
    </row>
    <row r="363" spans="5:53" s="6" customFormat="1" x14ac:dyDescent="0.2">
      <c r="E363" s="10"/>
      <c r="F363" s="8"/>
      <c r="G363" s="18"/>
      <c r="I363" s="37"/>
      <c r="L363" s="8"/>
      <c r="AZ363" s="46"/>
      <c r="BA363" s="46"/>
    </row>
    <row r="364" spans="5:53" s="6" customFormat="1" x14ac:dyDescent="0.2">
      <c r="E364" s="10"/>
      <c r="F364" s="8"/>
      <c r="G364" s="18"/>
      <c r="I364" s="37"/>
      <c r="L364" s="8"/>
      <c r="AZ364" s="46"/>
      <c r="BA364" s="46"/>
    </row>
    <row r="365" spans="5:53" s="6" customFormat="1" x14ac:dyDescent="0.2">
      <c r="E365" s="10"/>
      <c r="F365" s="8"/>
      <c r="G365" s="18"/>
      <c r="I365" s="37"/>
      <c r="L365" s="8"/>
      <c r="AZ365" s="46"/>
      <c r="BA365" s="46"/>
    </row>
    <row r="366" spans="5:53" s="6" customFormat="1" x14ac:dyDescent="0.2">
      <c r="E366" s="10"/>
      <c r="F366" s="8"/>
      <c r="G366" s="18"/>
      <c r="I366" s="37"/>
      <c r="L366" s="8"/>
      <c r="AZ366" s="46"/>
      <c r="BA366" s="46"/>
    </row>
    <row r="367" spans="5:53" s="6" customFormat="1" x14ac:dyDescent="0.2">
      <c r="E367" s="10"/>
      <c r="F367" s="8"/>
      <c r="G367" s="18"/>
      <c r="I367" s="37"/>
      <c r="L367" s="8"/>
      <c r="AZ367" s="46"/>
      <c r="BA367" s="46"/>
    </row>
    <row r="368" spans="5:53" s="6" customFormat="1" x14ac:dyDescent="0.2">
      <c r="E368" s="10"/>
      <c r="F368" s="8"/>
      <c r="G368" s="18"/>
      <c r="I368" s="37"/>
      <c r="L368" s="8"/>
      <c r="AZ368" s="46"/>
      <c r="BA368" s="46"/>
    </row>
    <row r="369" spans="5:53" s="6" customFormat="1" x14ac:dyDescent="0.2">
      <c r="E369" s="10"/>
      <c r="F369" s="8"/>
      <c r="G369" s="18"/>
      <c r="I369" s="37"/>
      <c r="L369" s="8"/>
      <c r="AZ369" s="46"/>
      <c r="BA369" s="46"/>
    </row>
    <row r="370" spans="5:53" s="6" customFormat="1" x14ac:dyDescent="0.2">
      <c r="E370" s="10"/>
      <c r="F370" s="8"/>
      <c r="G370" s="18"/>
      <c r="I370" s="37"/>
      <c r="L370" s="8"/>
      <c r="AZ370" s="46"/>
      <c r="BA370" s="46"/>
    </row>
    <row r="371" spans="5:53" s="6" customFormat="1" x14ac:dyDescent="0.2">
      <c r="E371" s="10"/>
      <c r="F371" s="8"/>
      <c r="G371" s="18"/>
      <c r="I371" s="37"/>
      <c r="L371" s="8"/>
      <c r="AZ371" s="46"/>
      <c r="BA371" s="46"/>
    </row>
    <row r="372" spans="5:53" s="6" customFormat="1" x14ac:dyDescent="0.2">
      <c r="E372" s="10"/>
      <c r="F372" s="8"/>
      <c r="G372" s="18"/>
      <c r="I372" s="37"/>
      <c r="L372" s="8"/>
      <c r="AZ372" s="46"/>
      <c r="BA372" s="46"/>
    </row>
    <row r="373" spans="5:53" s="6" customFormat="1" x14ac:dyDescent="0.2">
      <c r="E373" s="10"/>
      <c r="F373" s="8"/>
      <c r="G373" s="18"/>
      <c r="I373" s="37"/>
      <c r="L373" s="8"/>
      <c r="AZ373" s="46"/>
      <c r="BA373" s="46"/>
    </row>
    <row r="374" spans="5:53" s="6" customFormat="1" x14ac:dyDescent="0.2">
      <c r="E374" s="10"/>
      <c r="F374" s="8"/>
      <c r="G374" s="18"/>
      <c r="I374" s="37"/>
      <c r="L374" s="8"/>
      <c r="AZ374" s="46"/>
      <c r="BA374" s="46"/>
    </row>
    <row r="375" spans="5:53" s="6" customFormat="1" x14ac:dyDescent="0.2">
      <c r="E375" s="10"/>
      <c r="F375" s="8"/>
      <c r="G375" s="18"/>
      <c r="I375" s="37"/>
      <c r="L375" s="8"/>
      <c r="AZ375" s="46"/>
      <c r="BA375" s="46"/>
    </row>
    <row r="376" spans="5:53" s="6" customFormat="1" x14ac:dyDescent="0.2">
      <c r="E376" s="10"/>
      <c r="F376" s="8"/>
      <c r="G376" s="18"/>
      <c r="I376" s="37"/>
      <c r="L376" s="8"/>
      <c r="AZ376" s="46"/>
      <c r="BA376" s="46"/>
    </row>
    <row r="377" spans="5:53" s="6" customFormat="1" x14ac:dyDescent="0.2">
      <c r="E377" s="10"/>
      <c r="F377" s="8"/>
      <c r="G377" s="18"/>
      <c r="I377" s="37"/>
      <c r="L377" s="8"/>
      <c r="AZ377" s="46"/>
      <c r="BA377" s="46"/>
    </row>
    <row r="378" spans="5:53" s="6" customFormat="1" x14ac:dyDescent="0.2">
      <c r="E378" s="10"/>
      <c r="F378" s="8"/>
      <c r="G378" s="18"/>
      <c r="I378" s="37"/>
      <c r="L378" s="8"/>
      <c r="AZ378" s="46"/>
      <c r="BA378" s="46"/>
    </row>
    <row r="379" spans="5:53" s="6" customFormat="1" x14ac:dyDescent="0.2">
      <c r="E379" s="10"/>
      <c r="F379" s="8"/>
      <c r="G379" s="18"/>
      <c r="I379" s="37"/>
      <c r="L379" s="8"/>
      <c r="AZ379" s="46"/>
      <c r="BA379" s="46"/>
    </row>
    <row r="380" spans="5:53" s="6" customFormat="1" x14ac:dyDescent="0.2">
      <c r="E380" s="10"/>
      <c r="F380" s="8"/>
      <c r="G380" s="18"/>
      <c r="I380" s="37"/>
      <c r="L380" s="8"/>
      <c r="AZ380" s="46"/>
      <c r="BA380" s="46"/>
    </row>
    <row r="381" spans="5:53" s="6" customFormat="1" x14ac:dyDescent="0.2">
      <c r="E381" s="10"/>
      <c r="F381" s="8"/>
      <c r="G381" s="18"/>
      <c r="I381" s="37"/>
      <c r="L381" s="8"/>
      <c r="AZ381" s="46"/>
      <c r="BA381" s="46"/>
    </row>
    <row r="382" spans="5:53" s="6" customFormat="1" x14ac:dyDescent="0.2">
      <c r="E382" s="10"/>
      <c r="F382" s="8"/>
      <c r="G382" s="18"/>
      <c r="I382" s="37"/>
      <c r="L382" s="8"/>
      <c r="AZ382" s="46"/>
      <c r="BA382" s="46"/>
    </row>
    <row r="383" spans="5:53" s="6" customFormat="1" x14ac:dyDescent="0.2">
      <c r="E383" s="10"/>
      <c r="F383" s="8"/>
      <c r="G383" s="18"/>
      <c r="I383" s="37"/>
      <c r="L383" s="8"/>
      <c r="AZ383" s="46"/>
      <c r="BA383" s="46"/>
    </row>
    <row r="384" spans="5:53" s="6" customFormat="1" x14ac:dyDescent="0.2">
      <c r="E384" s="10"/>
      <c r="F384" s="8"/>
      <c r="G384" s="18"/>
      <c r="I384" s="37"/>
      <c r="L384" s="8"/>
      <c r="AZ384" s="46"/>
      <c r="BA384" s="46"/>
    </row>
    <row r="385" spans="5:53" s="6" customFormat="1" x14ac:dyDescent="0.2">
      <c r="E385" s="10"/>
      <c r="F385" s="8"/>
      <c r="G385" s="18"/>
      <c r="I385" s="37"/>
      <c r="L385" s="8"/>
      <c r="AZ385" s="46"/>
      <c r="BA385" s="46"/>
    </row>
    <row r="386" spans="5:53" s="6" customFormat="1" x14ac:dyDescent="0.2">
      <c r="E386" s="10"/>
      <c r="F386" s="8"/>
      <c r="G386" s="18"/>
      <c r="I386" s="37"/>
      <c r="L386" s="8"/>
      <c r="AZ386" s="46"/>
      <c r="BA386" s="46"/>
    </row>
    <row r="387" spans="5:53" s="6" customFormat="1" x14ac:dyDescent="0.2">
      <c r="E387" s="10"/>
      <c r="F387" s="8"/>
      <c r="G387" s="18"/>
      <c r="I387" s="37"/>
      <c r="L387" s="8"/>
      <c r="AZ387" s="46"/>
      <c r="BA387" s="46"/>
    </row>
    <row r="388" spans="5:53" s="6" customFormat="1" x14ac:dyDescent="0.2">
      <c r="E388" s="10"/>
      <c r="F388" s="8"/>
      <c r="G388" s="18"/>
      <c r="I388" s="37"/>
      <c r="L388" s="8"/>
      <c r="AZ388" s="46"/>
      <c r="BA388" s="46"/>
    </row>
    <row r="389" spans="5:53" s="6" customFormat="1" x14ac:dyDescent="0.2">
      <c r="E389" s="10"/>
      <c r="F389" s="8"/>
      <c r="G389" s="18"/>
      <c r="I389" s="37"/>
      <c r="L389" s="8"/>
      <c r="AZ389" s="46"/>
      <c r="BA389" s="46"/>
    </row>
    <row r="390" spans="5:53" s="6" customFormat="1" x14ac:dyDescent="0.2">
      <c r="E390" s="10"/>
      <c r="F390" s="8"/>
      <c r="G390" s="18"/>
      <c r="I390" s="37"/>
      <c r="L390" s="8"/>
      <c r="AZ390" s="46"/>
      <c r="BA390" s="46"/>
    </row>
    <row r="391" spans="5:53" s="6" customFormat="1" x14ac:dyDescent="0.2">
      <c r="E391" s="10"/>
      <c r="F391" s="8"/>
      <c r="G391" s="18"/>
      <c r="I391" s="37"/>
      <c r="L391" s="8"/>
      <c r="AZ391" s="46"/>
      <c r="BA391" s="46"/>
    </row>
    <row r="392" spans="5:53" s="6" customFormat="1" x14ac:dyDescent="0.2">
      <c r="E392" s="10"/>
      <c r="F392" s="8"/>
      <c r="G392" s="18"/>
      <c r="I392" s="37"/>
      <c r="L392" s="8"/>
      <c r="AZ392" s="46"/>
      <c r="BA392" s="46"/>
    </row>
    <row r="393" spans="5:53" s="6" customFormat="1" x14ac:dyDescent="0.2">
      <c r="E393" s="10"/>
      <c r="F393" s="8"/>
      <c r="G393" s="18"/>
      <c r="I393" s="37"/>
      <c r="L393" s="8"/>
      <c r="AZ393" s="46"/>
      <c r="BA393" s="46"/>
    </row>
    <row r="394" spans="5:53" s="6" customFormat="1" x14ac:dyDescent="0.2">
      <c r="E394" s="10"/>
      <c r="F394" s="8"/>
      <c r="G394" s="18"/>
      <c r="I394" s="37"/>
      <c r="L394" s="8"/>
      <c r="AZ394" s="46"/>
      <c r="BA394" s="46"/>
    </row>
    <row r="395" spans="5:53" s="6" customFormat="1" x14ac:dyDescent="0.2">
      <c r="E395" s="10"/>
      <c r="F395" s="8"/>
      <c r="G395" s="18"/>
      <c r="I395" s="37"/>
      <c r="L395" s="8"/>
      <c r="AZ395" s="46"/>
      <c r="BA395" s="46"/>
    </row>
    <row r="396" spans="5:53" s="6" customFormat="1" x14ac:dyDescent="0.2">
      <c r="E396" s="10"/>
      <c r="F396" s="8"/>
      <c r="G396" s="18"/>
      <c r="I396" s="37"/>
      <c r="L396" s="8"/>
      <c r="AZ396" s="46"/>
      <c r="BA396" s="46"/>
    </row>
    <row r="397" spans="5:53" s="6" customFormat="1" x14ac:dyDescent="0.2">
      <c r="E397" s="10"/>
      <c r="F397" s="8"/>
      <c r="G397" s="18"/>
      <c r="I397" s="37"/>
      <c r="L397" s="8"/>
      <c r="AZ397" s="46"/>
      <c r="BA397" s="46"/>
    </row>
    <row r="398" spans="5:53" s="6" customFormat="1" x14ac:dyDescent="0.2">
      <c r="E398" s="10"/>
      <c r="F398" s="8"/>
      <c r="G398" s="18"/>
      <c r="I398" s="37"/>
      <c r="L398" s="8"/>
      <c r="AZ398" s="46"/>
      <c r="BA398" s="46"/>
    </row>
    <row r="399" spans="5:53" s="6" customFormat="1" x14ac:dyDescent="0.2">
      <c r="E399" s="10"/>
      <c r="F399" s="8"/>
      <c r="G399" s="18"/>
      <c r="I399" s="37"/>
      <c r="L399" s="8"/>
      <c r="AZ399" s="46"/>
      <c r="BA399" s="46"/>
    </row>
    <row r="400" spans="5:53" s="6" customFormat="1" x14ac:dyDescent="0.2">
      <c r="E400" s="10"/>
      <c r="F400" s="8"/>
      <c r="G400" s="18"/>
      <c r="I400" s="37"/>
      <c r="L400" s="8"/>
      <c r="AZ400" s="46"/>
      <c r="BA400" s="46"/>
    </row>
    <row r="401" spans="5:53" s="6" customFormat="1" x14ac:dyDescent="0.2">
      <c r="E401" s="10"/>
      <c r="F401" s="8"/>
      <c r="G401" s="18"/>
      <c r="I401" s="37"/>
      <c r="L401" s="8"/>
      <c r="AZ401" s="46"/>
      <c r="BA401" s="46"/>
    </row>
    <row r="402" spans="5:53" s="6" customFormat="1" x14ac:dyDescent="0.2">
      <c r="E402" s="10"/>
      <c r="F402" s="8"/>
      <c r="G402" s="18"/>
      <c r="I402" s="37"/>
      <c r="L402" s="8"/>
      <c r="AZ402" s="46"/>
      <c r="BA402" s="46"/>
    </row>
    <row r="403" spans="5:53" s="6" customFormat="1" x14ac:dyDescent="0.2">
      <c r="E403" s="10"/>
      <c r="F403" s="8"/>
      <c r="G403" s="18"/>
      <c r="I403" s="37"/>
      <c r="L403" s="8"/>
      <c r="AZ403" s="46"/>
      <c r="BA403" s="46"/>
    </row>
    <row r="404" spans="5:53" s="6" customFormat="1" x14ac:dyDescent="0.2">
      <c r="E404" s="10"/>
      <c r="F404" s="8"/>
      <c r="G404" s="18"/>
      <c r="I404" s="37"/>
      <c r="L404" s="8"/>
      <c r="AZ404" s="46"/>
      <c r="BA404" s="46"/>
    </row>
    <row r="405" spans="5:53" s="6" customFormat="1" x14ac:dyDescent="0.2">
      <c r="E405" s="10"/>
      <c r="F405" s="8"/>
      <c r="G405" s="18"/>
      <c r="I405" s="37"/>
      <c r="L405" s="8"/>
      <c r="AZ405" s="46"/>
      <c r="BA405" s="46"/>
    </row>
    <row r="406" spans="5:53" s="6" customFormat="1" x14ac:dyDescent="0.2">
      <c r="E406" s="10"/>
      <c r="F406" s="8"/>
      <c r="G406" s="18"/>
      <c r="I406" s="37"/>
      <c r="L406" s="8"/>
      <c r="AZ406" s="46"/>
      <c r="BA406" s="46"/>
    </row>
    <row r="407" spans="5:53" s="6" customFormat="1" x14ac:dyDescent="0.2">
      <c r="E407" s="10"/>
      <c r="F407" s="8"/>
      <c r="G407" s="18"/>
      <c r="I407" s="37"/>
      <c r="L407" s="8"/>
      <c r="AZ407" s="46"/>
      <c r="BA407" s="46"/>
    </row>
    <row r="408" spans="5:53" s="6" customFormat="1" x14ac:dyDescent="0.2">
      <c r="E408" s="10"/>
      <c r="F408" s="8"/>
      <c r="G408" s="18"/>
      <c r="I408" s="37"/>
      <c r="L408" s="8"/>
      <c r="AZ408" s="46"/>
      <c r="BA408" s="46"/>
    </row>
    <row r="409" spans="5:53" s="6" customFormat="1" x14ac:dyDescent="0.2">
      <c r="E409" s="10"/>
      <c r="F409" s="8"/>
      <c r="G409" s="18"/>
      <c r="I409" s="37"/>
      <c r="L409" s="8"/>
      <c r="AZ409" s="46"/>
      <c r="BA409" s="46"/>
    </row>
    <row r="410" spans="5:53" s="6" customFormat="1" x14ac:dyDescent="0.2">
      <c r="E410" s="10"/>
      <c r="F410" s="8"/>
      <c r="G410" s="18"/>
      <c r="I410" s="37"/>
      <c r="L410" s="8"/>
      <c r="AZ410" s="46"/>
      <c r="BA410" s="46"/>
    </row>
    <row r="411" spans="5:53" s="6" customFormat="1" x14ac:dyDescent="0.2">
      <c r="E411" s="10"/>
      <c r="F411" s="8"/>
      <c r="G411" s="18"/>
      <c r="I411" s="37"/>
      <c r="L411" s="8"/>
      <c r="AZ411" s="46"/>
      <c r="BA411" s="46"/>
    </row>
    <row r="412" spans="5:53" s="6" customFormat="1" x14ac:dyDescent="0.2">
      <c r="E412" s="10"/>
      <c r="F412" s="8"/>
      <c r="G412" s="18"/>
      <c r="I412" s="37"/>
      <c r="L412" s="8"/>
      <c r="AZ412" s="46"/>
      <c r="BA412" s="46"/>
    </row>
    <row r="413" spans="5:53" s="6" customFormat="1" x14ac:dyDescent="0.2">
      <c r="E413" s="10"/>
      <c r="F413" s="8"/>
      <c r="G413" s="18"/>
      <c r="I413" s="37"/>
      <c r="L413" s="8"/>
      <c r="AZ413" s="46"/>
      <c r="BA413" s="46"/>
    </row>
    <row r="414" spans="5:53" s="6" customFormat="1" x14ac:dyDescent="0.2">
      <c r="E414" s="10"/>
      <c r="F414" s="8"/>
      <c r="G414" s="18"/>
      <c r="I414" s="37"/>
      <c r="L414" s="8"/>
      <c r="AZ414" s="46"/>
      <c r="BA414" s="46"/>
    </row>
    <row r="415" spans="5:53" s="6" customFormat="1" x14ac:dyDescent="0.2">
      <c r="E415" s="10"/>
      <c r="F415" s="8"/>
      <c r="G415" s="18"/>
      <c r="I415" s="37"/>
      <c r="L415" s="8"/>
      <c r="AZ415" s="46"/>
      <c r="BA415" s="46"/>
    </row>
    <row r="416" spans="5:53" s="6" customFormat="1" x14ac:dyDescent="0.2">
      <c r="E416" s="10"/>
      <c r="F416" s="8"/>
      <c r="G416" s="18"/>
      <c r="I416" s="37"/>
      <c r="L416" s="8"/>
      <c r="AZ416" s="46"/>
      <c r="BA416" s="46"/>
    </row>
    <row r="417" spans="5:53" s="6" customFormat="1" x14ac:dyDescent="0.2">
      <c r="E417" s="10"/>
      <c r="F417" s="8"/>
      <c r="G417" s="18"/>
      <c r="I417" s="37"/>
      <c r="L417" s="8"/>
      <c r="AZ417" s="46"/>
      <c r="BA417" s="46"/>
    </row>
    <row r="418" spans="5:53" s="6" customFormat="1" x14ac:dyDescent="0.2">
      <c r="E418" s="10"/>
      <c r="F418" s="8"/>
      <c r="G418" s="18"/>
      <c r="I418" s="37"/>
      <c r="L418" s="8"/>
      <c r="AZ418" s="46"/>
      <c r="BA418" s="46"/>
    </row>
    <row r="419" spans="5:53" s="6" customFormat="1" x14ac:dyDescent="0.2">
      <c r="E419" s="10"/>
      <c r="F419" s="8"/>
      <c r="G419" s="18"/>
      <c r="I419" s="37"/>
      <c r="L419" s="8"/>
      <c r="AZ419" s="46"/>
      <c r="BA419" s="46"/>
    </row>
    <row r="420" spans="5:53" s="6" customFormat="1" x14ac:dyDescent="0.2">
      <c r="E420" s="10"/>
      <c r="F420" s="8"/>
      <c r="G420" s="18"/>
      <c r="I420" s="37"/>
      <c r="L420" s="8"/>
      <c r="AZ420" s="46"/>
      <c r="BA420" s="46"/>
    </row>
    <row r="421" spans="5:53" s="6" customFormat="1" x14ac:dyDescent="0.2">
      <c r="E421" s="10"/>
      <c r="F421" s="8"/>
      <c r="G421" s="18"/>
      <c r="I421" s="37"/>
      <c r="L421" s="8"/>
      <c r="AZ421" s="46"/>
      <c r="BA421" s="46"/>
    </row>
    <row r="422" spans="5:53" s="6" customFormat="1" x14ac:dyDescent="0.2">
      <c r="E422" s="10"/>
      <c r="F422" s="8"/>
      <c r="G422" s="18"/>
      <c r="I422" s="37"/>
      <c r="L422" s="8"/>
      <c r="AZ422" s="46"/>
      <c r="BA422" s="46"/>
    </row>
    <row r="423" spans="5:53" s="6" customFormat="1" x14ac:dyDescent="0.2">
      <c r="E423" s="10"/>
      <c r="F423" s="8"/>
      <c r="G423" s="18"/>
      <c r="I423" s="37"/>
      <c r="L423" s="8"/>
      <c r="AZ423" s="46"/>
      <c r="BA423" s="46"/>
    </row>
    <row r="424" spans="5:53" s="6" customFormat="1" x14ac:dyDescent="0.2">
      <c r="E424" s="10"/>
      <c r="F424" s="8"/>
      <c r="G424" s="18"/>
      <c r="I424" s="37"/>
      <c r="L424" s="8"/>
      <c r="AZ424" s="46"/>
      <c r="BA424" s="46"/>
    </row>
    <row r="425" spans="5:53" s="6" customFormat="1" x14ac:dyDescent="0.2">
      <c r="E425" s="10"/>
      <c r="F425" s="8"/>
      <c r="G425" s="18"/>
      <c r="I425" s="37"/>
      <c r="L425" s="8"/>
      <c r="AZ425" s="46"/>
      <c r="BA425" s="46"/>
    </row>
    <row r="426" spans="5:53" s="6" customFormat="1" x14ac:dyDescent="0.2">
      <c r="E426" s="10"/>
      <c r="F426" s="8"/>
      <c r="G426" s="18"/>
      <c r="I426" s="37"/>
      <c r="L426" s="8"/>
      <c r="AZ426" s="46"/>
      <c r="BA426" s="46"/>
    </row>
    <row r="427" spans="5:53" s="6" customFormat="1" x14ac:dyDescent="0.2">
      <c r="E427" s="10"/>
      <c r="F427" s="8"/>
      <c r="G427" s="18"/>
      <c r="I427" s="37"/>
      <c r="L427" s="8"/>
      <c r="AZ427" s="46"/>
      <c r="BA427" s="46"/>
    </row>
    <row r="428" spans="5:53" s="6" customFormat="1" x14ac:dyDescent="0.2">
      <c r="E428" s="10"/>
      <c r="F428" s="8"/>
      <c r="G428" s="18"/>
      <c r="I428" s="37"/>
      <c r="L428" s="8"/>
      <c r="AZ428" s="46"/>
      <c r="BA428" s="46"/>
    </row>
    <row r="429" spans="5:53" s="6" customFormat="1" x14ac:dyDescent="0.2">
      <c r="E429" s="10"/>
      <c r="F429" s="8"/>
      <c r="G429" s="18"/>
      <c r="I429" s="37"/>
      <c r="L429" s="8"/>
      <c r="AZ429" s="46"/>
      <c r="BA429" s="46"/>
    </row>
    <row r="430" spans="5:53" s="6" customFormat="1" x14ac:dyDescent="0.2">
      <c r="E430" s="10"/>
      <c r="F430" s="8"/>
      <c r="G430" s="18"/>
      <c r="I430" s="37"/>
      <c r="L430" s="8"/>
      <c r="AZ430" s="46"/>
      <c r="BA430" s="46"/>
    </row>
    <row r="431" spans="5:53" s="6" customFormat="1" x14ac:dyDescent="0.2">
      <c r="E431" s="10"/>
      <c r="F431" s="8"/>
      <c r="G431" s="18"/>
      <c r="I431" s="37"/>
      <c r="L431" s="8"/>
      <c r="AZ431" s="46"/>
      <c r="BA431" s="46"/>
    </row>
    <row r="432" spans="5:53" s="6" customFormat="1" x14ac:dyDescent="0.2">
      <c r="E432" s="10"/>
      <c r="F432" s="8"/>
      <c r="G432" s="18"/>
      <c r="I432" s="37"/>
      <c r="L432" s="8"/>
      <c r="AZ432" s="46"/>
      <c r="BA432" s="46"/>
    </row>
    <row r="433" spans="5:53" s="6" customFormat="1" x14ac:dyDescent="0.2">
      <c r="E433" s="10"/>
      <c r="F433" s="8"/>
      <c r="G433" s="18"/>
      <c r="I433" s="37"/>
      <c r="L433" s="8"/>
      <c r="AZ433" s="46"/>
      <c r="BA433" s="46"/>
    </row>
    <row r="434" spans="5:53" s="6" customFormat="1" x14ac:dyDescent="0.2">
      <c r="E434" s="10"/>
      <c r="F434" s="8"/>
      <c r="G434" s="18"/>
      <c r="I434" s="37"/>
      <c r="L434" s="8"/>
      <c r="AZ434" s="46"/>
      <c r="BA434" s="46"/>
    </row>
    <row r="435" spans="5:53" s="6" customFormat="1" x14ac:dyDescent="0.2">
      <c r="E435" s="10"/>
      <c r="F435" s="8"/>
      <c r="G435" s="18"/>
      <c r="I435" s="37"/>
      <c r="L435" s="8"/>
      <c r="AZ435" s="46"/>
      <c r="BA435" s="46"/>
    </row>
    <row r="436" spans="5:53" s="6" customFormat="1" x14ac:dyDescent="0.2">
      <c r="E436" s="10"/>
      <c r="F436" s="8"/>
      <c r="G436" s="18"/>
      <c r="I436" s="37"/>
      <c r="L436" s="8"/>
      <c r="AZ436" s="46"/>
      <c r="BA436" s="46"/>
    </row>
    <row r="437" spans="5:53" s="6" customFormat="1" x14ac:dyDescent="0.2">
      <c r="E437" s="10"/>
      <c r="F437" s="8"/>
      <c r="G437" s="18"/>
      <c r="I437" s="37"/>
      <c r="L437" s="8"/>
      <c r="AZ437" s="46"/>
      <c r="BA437" s="46"/>
    </row>
    <row r="438" spans="5:53" s="6" customFormat="1" x14ac:dyDescent="0.2">
      <c r="E438" s="10"/>
      <c r="F438" s="8"/>
      <c r="G438" s="18"/>
      <c r="I438" s="37"/>
      <c r="L438" s="8"/>
      <c r="AZ438" s="46"/>
      <c r="BA438" s="46"/>
    </row>
    <row r="439" spans="5:53" s="6" customFormat="1" x14ac:dyDescent="0.2">
      <c r="E439" s="10"/>
      <c r="F439" s="8"/>
      <c r="G439" s="18"/>
      <c r="I439" s="37"/>
      <c r="L439" s="8"/>
      <c r="AZ439" s="46"/>
      <c r="BA439" s="46"/>
    </row>
    <row r="440" spans="5:53" s="6" customFormat="1" x14ac:dyDescent="0.2">
      <c r="E440" s="10"/>
      <c r="F440" s="8"/>
      <c r="G440" s="18"/>
      <c r="I440" s="37"/>
      <c r="L440" s="8"/>
      <c r="AZ440" s="46"/>
      <c r="BA440" s="46"/>
    </row>
    <row r="441" spans="5:53" s="6" customFormat="1" x14ac:dyDescent="0.2">
      <c r="E441" s="10"/>
      <c r="F441" s="8"/>
      <c r="G441" s="18"/>
      <c r="I441" s="37"/>
      <c r="L441" s="8"/>
      <c r="AZ441" s="46"/>
      <c r="BA441" s="46"/>
    </row>
    <row r="442" spans="5:53" s="6" customFormat="1" x14ac:dyDescent="0.2">
      <c r="E442" s="10"/>
      <c r="F442" s="8"/>
      <c r="G442" s="18"/>
      <c r="I442" s="37"/>
      <c r="L442" s="8"/>
      <c r="AZ442" s="46"/>
      <c r="BA442" s="46"/>
    </row>
    <row r="443" spans="5:53" s="6" customFormat="1" x14ac:dyDescent="0.2">
      <c r="E443" s="10"/>
      <c r="F443" s="8"/>
      <c r="G443" s="18"/>
      <c r="I443" s="37"/>
      <c r="L443" s="8"/>
      <c r="AZ443" s="46"/>
      <c r="BA443" s="46"/>
    </row>
    <row r="444" spans="5:53" s="6" customFormat="1" x14ac:dyDescent="0.2">
      <c r="E444" s="10"/>
      <c r="F444" s="8"/>
      <c r="G444" s="18"/>
      <c r="I444" s="37"/>
      <c r="L444" s="8"/>
      <c r="AZ444" s="46"/>
      <c r="BA444" s="46"/>
    </row>
    <row r="445" spans="5:53" s="6" customFormat="1" x14ac:dyDescent="0.2">
      <c r="E445" s="10"/>
      <c r="F445" s="8"/>
      <c r="G445" s="18"/>
      <c r="I445" s="37"/>
      <c r="L445" s="8"/>
      <c r="AZ445" s="46"/>
      <c r="BA445" s="46"/>
    </row>
    <row r="446" spans="5:53" s="6" customFormat="1" x14ac:dyDescent="0.2">
      <c r="E446" s="10"/>
      <c r="F446" s="8"/>
      <c r="G446" s="18"/>
      <c r="I446" s="37"/>
      <c r="L446" s="8"/>
      <c r="AZ446" s="46"/>
      <c r="BA446" s="46"/>
    </row>
    <row r="447" spans="5:53" s="6" customFormat="1" x14ac:dyDescent="0.2">
      <c r="E447" s="10"/>
      <c r="F447" s="8"/>
      <c r="G447" s="18"/>
      <c r="I447" s="37"/>
      <c r="L447" s="8"/>
      <c r="AZ447" s="46"/>
      <c r="BA447" s="46"/>
    </row>
    <row r="448" spans="5:53" s="6" customFormat="1" x14ac:dyDescent="0.2">
      <c r="E448" s="10"/>
      <c r="F448" s="8"/>
      <c r="G448" s="18"/>
      <c r="I448" s="37"/>
      <c r="L448" s="8"/>
      <c r="AZ448" s="46"/>
      <c r="BA448" s="46"/>
    </row>
    <row r="449" spans="5:53" s="6" customFormat="1" x14ac:dyDescent="0.2">
      <c r="E449" s="10"/>
      <c r="F449" s="8"/>
      <c r="G449" s="18"/>
      <c r="I449" s="37"/>
      <c r="L449" s="8"/>
      <c r="AZ449" s="46"/>
      <c r="BA449" s="46"/>
    </row>
    <row r="450" spans="5:53" s="6" customFormat="1" x14ac:dyDescent="0.2">
      <c r="E450" s="10"/>
      <c r="F450" s="8"/>
      <c r="G450" s="18"/>
      <c r="I450" s="37"/>
      <c r="L450" s="8"/>
      <c r="AZ450" s="46"/>
      <c r="BA450" s="46"/>
    </row>
    <row r="451" spans="5:53" s="6" customFormat="1" x14ac:dyDescent="0.2">
      <c r="E451" s="10"/>
      <c r="F451" s="8"/>
      <c r="G451" s="18"/>
      <c r="I451" s="37"/>
      <c r="L451" s="8"/>
      <c r="AZ451" s="46"/>
      <c r="BA451" s="46"/>
    </row>
    <row r="452" spans="5:53" s="6" customFormat="1" x14ac:dyDescent="0.2">
      <c r="E452" s="10"/>
      <c r="F452" s="8"/>
      <c r="G452" s="18"/>
      <c r="I452" s="37"/>
      <c r="L452" s="8"/>
      <c r="AZ452" s="46"/>
      <c r="BA452" s="46"/>
    </row>
    <row r="453" spans="5:53" s="6" customFormat="1" x14ac:dyDescent="0.2">
      <c r="E453" s="10"/>
      <c r="F453" s="8"/>
      <c r="G453" s="18"/>
      <c r="I453" s="37"/>
      <c r="L453" s="8"/>
      <c r="AZ453" s="46"/>
      <c r="BA453" s="46"/>
    </row>
    <row r="454" spans="5:53" s="6" customFormat="1" x14ac:dyDescent="0.2">
      <c r="E454" s="10"/>
      <c r="F454" s="8"/>
      <c r="G454" s="18"/>
      <c r="I454" s="37"/>
      <c r="L454" s="8"/>
      <c r="AZ454" s="46"/>
      <c r="BA454" s="46"/>
    </row>
    <row r="455" spans="5:53" s="6" customFormat="1" x14ac:dyDescent="0.2">
      <c r="E455" s="10"/>
      <c r="F455" s="8"/>
      <c r="G455" s="18"/>
      <c r="I455" s="37"/>
      <c r="L455" s="8"/>
      <c r="AZ455" s="46"/>
      <c r="BA455" s="46"/>
    </row>
    <row r="456" spans="5:53" s="6" customFormat="1" x14ac:dyDescent="0.2">
      <c r="E456" s="10"/>
      <c r="F456" s="8"/>
      <c r="G456" s="18"/>
      <c r="I456" s="37"/>
      <c r="L456" s="8"/>
      <c r="AZ456" s="46"/>
      <c r="BA456" s="46"/>
    </row>
    <row r="457" spans="5:53" s="6" customFormat="1" x14ac:dyDescent="0.2">
      <c r="E457" s="10"/>
      <c r="F457" s="8"/>
      <c r="G457" s="18"/>
      <c r="I457" s="37"/>
      <c r="L457" s="8"/>
      <c r="AZ457" s="46"/>
      <c r="BA457" s="46"/>
    </row>
    <row r="458" spans="5:53" s="6" customFormat="1" x14ac:dyDescent="0.2">
      <c r="E458" s="10"/>
      <c r="F458" s="8"/>
      <c r="G458" s="18"/>
      <c r="I458" s="37"/>
      <c r="L458" s="8"/>
      <c r="AZ458" s="46"/>
      <c r="BA458" s="46"/>
    </row>
    <row r="459" spans="5:53" s="6" customFormat="1" x14ac:dyDescent="0.2">
      <c r="E459" s="10"/>
      <c r="F459" s="8"/>
      <c r="G459" s="18"/>
      <c r="I459" s="37"/>
      <c r="L459" s="8"/>
      <c r="AZ459" s="46"/>
      <c r="BA459" s="46"/>
    </row>
  </sheetData>
  <sheetProtection algorithmName="SHA-512" hashValue="Cb9LnZhzJz476fXFp4JNKH7VIhf6BDezgta/MCRrRwEPLB7Nxdwj2ZmZQpNIdsQ9QFZqowM6h1+i/uUZ7A2ltQ==" saltValue="EXT0rmc2BcZJCJ8nvtbNKg==" spinCount="100000" sheet="1" objects="1" scenarios="1" selectLockedCells="1"/>
  <conditionalFormatting sqref="E10 E106:E108 E114:E116 E122:E124 E138:E140 E146:E148 E130:E132 E154:E156 E162:E164 E170:E172 E178:E180 E186:E188 E194:E196 E202:E204 E210:E212 E218:E220 E226:E228 E234:E236 E242:E244">
    <cfRule type="cellIs" dxfId="479" priority="113" operator="equal">
      <formula>$AZ10</formula>
    </cfRule>
    <cfRule type="cellIs" dxfId="478" priority="114" operator="equal">
      <formula>$BA10</formula>
    </cfRule>
  </conditionalFormatting>
  <conditionalFormatting sqref="E11:E12">
    <cfRule type="cellIs" dxfId="477" priority="111" operator="equal">
      <formula>$AZ11</formula>
    </cfRule>
    <cfRule type="cellIs" dxfId="476" priority="112" operator="equal">
      <formula>$BA11</formula>
    </cfRule>
  </conditionalFormatting>
  <conditionalFormatting sqref="I14">
    <cfRule type="cellIs" dxfId="475" priority="107" operator="equal">
      <formula>$AZ14</formula>
    </cfRule>
    <cfRule type="cellIs" dxfId="474" priority="108" operator="notEqual">
      <formula>$AZ14</formula>
    </cfRule>
  </conditionalFormatting>
  <conditionalFormatting sqref="E18">
    <cfRule type="cellIs" dxfId="473" priority="105" operator="equal">
      <formula>$AZ18</formula>
    </cfRule>
    <cfRule type="cellIs" dxfId="472" priority="106" operator="equal">
      <formula>$BA18</formula>
    </cfRule>
  </conditionalFormatting>
  <conditionalFormatting sqref="E19:E20">
    <cfRule type="cellIs" dxfId="471" priority="103" operator="equal">
      <formula>$AZ19</formula>
    </cfRule>
    <cfRule type="cellIs" dxfId="470" priority="104" operator="equal">
      <formula>$BA19</formula>
    </cfRule>
  </conditionalFormatting>
  <conditionalFormatting sqref="E26">
    <cfRule type="cellIs" dxfId="469" priority="101" operator="equal">
      <formula>$AZ26</formula>
    </cfRule>
    <cfRule type="cellIs" dxfId="468" priority="102" operator="equal">
      <formula>$BA26</formula>
    </cfRule>
  </conditionalFormatting>
  <conditionalFormatting sqref="E27:E28">
    <cfRule type="cellIs" dxfId="467" priority="99" operator="equal">
      <formula>$AZ27</formula>
    </cfRule>
    <cfRule type="cellIs" dxfId="466" priority="100" operator="equal">
      <formula>$BA27</formula>
    </cfRule>
  </conditionalFormatting>
  <conditionalFormatting sqref="E34">
    <cfRule type="cellIs" dxfId="465" priority="97" operator="equal">
      <formula>$AZ34</formula>
    </cfRule>
    <cfRule type="cellIs" dxfId="464" priority="98" operator="equal">
      <formula>$BA34</formula>
    </cfRule>
  </conditionalFormatting>
  <conditionalFormatting sqref="E35:E36">
    <cfRule type="cellIs" dxfId="463" priority="95" operator="equal">
      <formula>$AZ35</formula>
    </cfRule>
    <cfRule type="cellIs" dxfId="462" priority="96" operator="equal">
      <formula>$BA35</formula>
    </cfRule>
  </conditionalFormatting>
  <conditionalFormatting sqref="E42">
    <cfRule type="cellIs" dxfId="461" priority="93" operator="equal">
      <formula>$AZ42</formula>
    </cfRule>
    <cfRule type="cellIs" dxfId="460" priority="94" operator="equal">
      <formula>$BA42</formula>
    </cfRule>
  </conditionalFormatting>
  <conditionalFormatting sqref="E43:E44">
    <cfRule type="cellIs" dxfId="459" priority="91" operator="equal">
      <formula>$AZ43</formula>
    </cfRule>
    <cfRule type="cellIs" dxfId="458" priority="92" operator="equal">
      <formula>$BA43</formula>
    </cfRule>
  </conditionalFormatting>
  <conditionalFormatting sqref="E50">
    <cfRule type="cellIs" dxfId="457" priority="89" operator="equal">
      <formula>$AZ50</formula>
    </cfRule>
    <cfRule type="cellIs" dxfId="456" priority="90" operator="equal">
      <formula>$BA50</formula>
    </cfRule>
  </conditionalFormatting>
  <conditionalFormatting sqref="E51:E52">
    <cfRule type="cellIs" dxfId="455" priority="87" operator="equal">
      <formula>$AZ51</formula>
    </cfRule>
    <cfRule type="cellIs" dxfId="454" priority="88" operator="equal">
      <formula>$BA51</formula>
    </cfRule>
  </conditionalFormatting>
  <conditionalFormatting sqref="E58">
    <cfRule type="cellIs" dxfId="453" priority="85" operator="equal">
      <formula>$AZ58</formula>
    </cfRule>
    <cfRule type="cellIs" dxfId="452" priority="86" operator="equal">
      <formula>$BA58</formula>
    </cfRule>
  </conditionalFormatting>
  <conditionalFormatting sqref="E59:E60">
    <cfRule type="cellIs" dxfId="451" priority="83" operator="equal">
      <formula>$AZ59</formula>
    </cfRule>
    <cfRule type="cellIs" dxfId="450" priority="84" operator="equal">
      <formula>$BA59</formula>
    </cfRule>
  </conditionalFormatting>
  <conditionalFormatting sqref="E66">
    <cfRule type="cellIs" dxfId="449" priority="81" operator="equal">
      <formula>$AZ66</formula>
    </cfRule>
    <cfRule type="cellIs" dxfId="448" priority="82" operator="equal">
      <formula>$BA66</formula>
    </cfRule>
  </conditionalFormatting>
  <conditionalFormatting sqref="E67:E68">
    <cfRule type="cellIs" dxfId="447" priority="79" operator="equal">
      <formula>$AZ67</formula>
    </cfRule>
    <cfRule type="cellIs" dxfId="446" priority="80" operator="equal">
      <formula>$BA67</formula>
    </cfRule>
  </conditionalFormatting>
  <conditionalFormatting sqref="E74">
    <cfRule type="cellIs" dxfId="445" priority="77" operator="equal">
      <formula>$AZ74</formula>
    </cfRule>
    <cfRule type="cellIs" dxfId="444" priority="78" operator="equal">
      <formula>$BA74</formula>
    </cfRule>
  </conditionalFormatting>
  <conditionalFormatting sqref="E75:E76">
    <cfRule type="cellIs" dxfId="443" priority="75" operator="equal">
      <formula>$AZ75</formula>
    </cfRule>
    <cfRule type="cellIs" dxfId="442" priority="76" operator="equal">
      <formula>$BA75</formula>
    </cfRule>
  </conditionalFormatting>
  <conditionalFormatting sqref="E82">
    <cfRule type="cellIs" dxfId="441" priority="73" operator="equal">
      <formula>$AZ82</formula>
    </cfRule>
    <cfRule type="cellIs" dxfId="440" priority="74" operator="equal">
      <formula>$BA82</formula>
    </cfRule>
  </conditionalFormatting>
  <conditionalFormatting sqref="E83:E84">
    <cfRule type="cellIs" dxfId="439" priority="71" operator="equal">
      <formula>$AZ83</formula>
    </cfRule>
    <cfRule type="cellIs" dxfId="438" priority="72" operator="equal">
      <formula>$BA83</formula>
    </cfRule>
  </conditionalFormatting>
  <conditionalFormatting sqref="E90">
    <cfRule type="cellIs" dxfId="437" priority="69" operator="equal">
      <formula>$AZ90</formula>
    </cfRule>
    <cfRule type="cellIs" dxfId="436" priority="70" operator="equal">
      <formula>$BA90</formula>
    </cfRule>
  </conditionalFormatting>
  <conditionalFormatting sqref="E91:E92">
    <cfRule type="cellIs" dxfId="435" priority="67" operator="equal">
      <formula>$AZ91</formula>
    </cfRule>
    <cfRule type="cellIs" dxfId="434" priority="68" operator="equal">
      <formula>$BA91</formula>
    </cfRule>
  </conditionalFormatting>
  <conditionalFormatting sqref="E98">
    <cfRule type="cellIs" dxfId="433" priority="65" operator="equal">
      <formula>$AZ98</formula>
    </cfRule>
    <cfRule type="cellIs" dxfId="432" priority="66" operator="equal">
      <formula>$BA98</formula>
    </cfRule>
  </conditionalFormatting>
  <conditionalFormatting sqref="E99:E100">
    <cfRule type="cellIs" dxfId="431" priority="63" operator="equal">
      <formula>$AZ99</formula>
    </cfRule>
    <cfRule type="cellIs" dxfId="430" priority="64" operator="equal">
      <formula>$BA99</formula>
    </cfRule>
  </conditionalFormatting>
  <conditionalFormatting sqref="I22">
    <cfRule type="cellIs" dxfId="429" priority="57" operator="equal">
      <formula>$AZ22</formula>
    </cfRule>
    <cfRule type="cellIs" dxfId="428" priority="58" operator="notEqual">
      <formula>$AZ22</formula>
    </cfRule>
  </conditionalFormatting>
  <conditionalFormatting sqref="I30">
    <cfRule type="cellIs" dxfId="427" priority="55" operator="equal">
      <formula>$AZ30</formula>
    </cfRule>
    <cfRule type="cellIs" dxfId="426" priority="56" operator="notEqual">
      <formula>$AZ30</formula>
    </cfRule>
  </conditionalFormatting>
  <conditionalFormatting sqref="I38">
    <cfRule type="cellIs" dxfId="425" priority="53" operator="equal">
      <formula>$AZ38</formula>
    </cfRule>
    <cfRule type="cellIs" dxfId="424" priority="54" operator="notEqual">
      <formula>$AZ38</formula>
    </cfRule>
  </conditionalFormatting>
  <conditionalFormatting sqref="I46">
    <cfRule type="cellIs" dxfId="423" priority="51" operator="equal">
      <formula>$AZ46</formula>
    </cfRule>
    <cfRule type="cellIs" dxfId="422" priority="52" operator="notEqual">
      <formula>$AZ46</formula>
    </cfRule>
  </conditionalFormatting>
  <conditionalFormatting sqref="I54">
    <cfRule type="cellIs" dxfId="421" priority="49" operator="equal">
      <formula>$AZ54</formula>
    </cfRule>
    <cfRule type="cellIs" dxfId="420" priority="50" operator="notEqual">
      <formula>$AZ54</formula>
    </cfRule>
  </conditionalFormatting>
  <conditionalFormatting sqref="I62">
    <cfRule type="cellIs" dxfId="419" priority="47" operator="equal">
      <formula>$AZ62</formula>
    </cfRule>
    <cfRule type="cellIs" dxfId="418" priority="48" operator="notEqual">
      <formula>$AZ62</formula>
    </cfRule>
  </conditionalFormatting>
  <conditionalFormatting sqref="I70">
    <cfRule type="cellIs" dxfId="417" priority="45" operator="equal">
      <formula>$AZ70</formula>
    </cfRule>
    <cfRule type="cellIs" dxfId="416" priority="46" operator="notEqual">
      <formula>$AZ70</formula>
    </cfRule>
  </conditionalFormatting>
  <conditionalFormatting sqref="I78">
    <cfRule type="cellIs" dxfId="415" priority="43" operator="equal">
      <formula>$AZ78</formula>
    </cfRule>
    <cfRule type="cellIs" dxfId="414" priority="44" operator="notEqual">
      <formula>$AZ78</formula>
    </cfRule>
  </conditionalFormatting>
  <conditionalFormatting sqref="I86">
    <cfRule type="cellIs" dxfId="413" priority="41" operator="equal">
      <formula>$AZ86</formula>
    </cfRule>
    <cfRule type="cellIs" dxfId="412" priority="42" operator="notEqual">
      <formula>$AZ86</formula>
    </cfRule>
  </conditionalFormatting>
  <conditionalFormatting sqref="I94">
    <cfRule type="cellIs" dxfId="411" priority="39" operator="equal">
      <formula>$AZ94</formula>
    </cfRule>
    <cfRule type="cellIs" dxfId="410" priority="40" operator="notEqual">
      <formula>$AZ94</formula>
    </cfRule>
  </conditionalFormatting>
  <conditionalFormatting sqref="I102">
    <cfRule type="cellIs" dxfId="409" priority="37" operator="equal">
      <formula>$AZ102</formula>
    </cfRule>
    <cfRule type="cellIs" dxfId="408" priority="38" operator="notEqual">
      <formula>$AZ102</formula>
    </cfRule>
  </conditionalFormatting>
  <conditionalFormatting sqref="I110">
    <cfRule type="cellIs" dxfId="407" priority="35" operator="equal">
      <formula>$AZ110</formula>
    </cfRule>
    <cfRule type="cellIs" dxfId="406" priority="36" operator="notEqual">
      <formula>$AZ110</formula>
    </cfRule>
  </conditionalFormatting>
  <conditionalFormatting sqref="I118">
    <cfRule type="cellIs" dxfId="405" priority="33" operator="equal">
      <formula>$AZ118</formula>
    </cfRule>
    <cfRule type="cellIs" dxfId="404" priority="34" operator="notEqual">
      <formula>$AZ118</formula>
    </cfRule>
  </conditionalFormatting>
  <conditionalFormatting sqref="I126">
    <cfRule type="cellIs" dxfId="403" priority="31" operator="equal">
      <formula>$AZ126</formula>
    </cfRule>
    <cfRule type="cellIs" dxfId="402" priority="32" operator="notEqual">
      <formula>$AZ126</formula>
    </cfRule>
  </conditionalFormatting>
  <conditionalFormatting sqref="I134">
    <cfRule type="cellIs" dxfId="401" priority="29" operator="equal">
      <formula>$AZ134</formula>
    </cfRule>
    <cfRule type="cellIs" dxfId="400" priority="30" operator="notEqual">
      <formula>$AZ134</formula>
    </cfRule>
  </conditionalFormatting>
  <conditionalFormatting sqref="I142">
    <cfRule type="cellIs" dxfId="399" priority="27" operator="equal">
      <formula>$AZ142</formula>
    </cfRule>
    <cfRule type="cellIs" dxfId="398" priority="28" operator="notEqual">
      <formula>$AZ142</formula>
    </cfRule>
  </conditionalFormatting>
  <conditionalFormatting sqref="I150">
    <cfRule type="cellIs" dxfId="397" priority="25" operator="equal">
      <formula>$AZ150</formula>
    </cfRule>
    <cfRule type="cellIs" dxfId="396" priority="26" operator="notEqual">
      <formula>$AZ150</formula>
    </cfRule>
  </conditionalFormatting>
  <conditionalFormatting sqref="I158">
    <cfRule type="cellIs" dxfId="395" priority="23" operator="equal">
      <formula>$AZ158</formula>
    </cfRule>
    <cfRule type="cellIs" dxfId="394" priority="24" operator="notEqual">
      <formula>$AZ158</formula>
    </cfRule>
  </conditionalFormatting>
  <conditionalFormatting sqref="I166">
    <cfRule type="cellIs" dxfId="393" priority="21" operator="equal">
      <formula>$AZ166</formula>
    </cfRule>
    <cfRule type="cellIs" dxfId="392" priority="22" operator="notEqual">
      <formula>$AZ166</formula>
    </cfRule>
  </conditionalFormatting>
  <conditionalFormatting sqref="I174">
    <cfRule type="cellIs" dxfId="391" priority="19" operator="equal">
      <formula>$AZ174</formula>
    </cfRule>
    <cfRule type="cellIs" dxfId="390" priority="20" operator="notEqual">
      <formula>$AZ174</formula>
    </cfRule>
  </conditionalFormatting>
  <conditionalFormatting sqref="I182">
    <cfRule type="cellIs" dxfId="389" priority="17" operator="equal">
      <formula>$AZ182</formula>
    </cfRule>
    <cfRule type="cellIs" dxfId="388" priority="18" operator="notEqual">
      <formula>$AZ182</formula>
    </cfRule>
  </conditionalFormatting>
  <conditionalFormatting sqref="I190">
    <cfRule type="cellIs" dxfId="387" priority="15" operator="equal">
      <formula>$AZ190</formula>
    </cfRule>
    <cfRule type="cellIs" dxfId="386" priority="16" operator="notEqual">
      <formula>$AZ190</formula>
    </cfRule>
  </conditionalFormatting>
  <conditionalFormatting sqref="I198">
    <cfRule type="cellIs" dxfId="385" priority="13" operator="equal">
      <formula>$AZ198</formula>
    </cfRule>
    <cfRule type="cellIs" dxfId="384" priority="14" operator="notEqual">
      <formula>$AZ198</formula>
    </cfRule>
  </conditionalFormatting>
  <conditionalFormatting sqref="I206">
    <cfRule type="cellIs" dxfId="383" priority="11" operator="equal">
      <formula>$AZ206</formula>
    </cfRule>
    <cfRule type="cellIs" dxfId="382" priority="12" operator="notEqual">
      <formula>$AZ206</formula>
    </cfRule>
  </conditionalFormatting>
  <conditionalFormatting sqref="I214">
    <cfRule type="cellIs" dxfId="381" priority="9" operator="equal">
      <formula>$AZ214</formula>
    </cfRule>
    <cfRule type="cellIs" dxfId="380" priority="10" operator="notEqual">
      <formula>$AZ214</formula>
    </cfRule>
  </conditionalFormatting>
  <conditionalFormatting sqref="I222">
    <cfRule type="cellIs" dxfId="379" priority="7" operator="equal">
      <formula>$AZ222</formula>
    </cfRule>
    <cfRule type="cellIs" dxfId="378" priority="8" operator="notEqual">
      <formula>$AZ222</formula>
    </cfRule>
  </conditionalFormatting>
  <conditionalFormatting sqref="I230">
    <cfRule type="cellIs" dxfId="377" priority="5" operator="equal">
      <formula>$AZ230</formula>
    </cfRule>
    <cfRule type="cellIs" dxfId="376" priority="6" operator="notEqual">
      <formula>$AZ230</formula>
    </cfRule>
  </conditionalFormatting>
  <conditionalFormatting sqref="I238">
    <cfRule type="cellIs" dxfId="375" priority="3" operator="equal">
      <formula>$AZ238</formula>
    </cfRule>
    <cfRule type="cellIs" dxfId="374" priority="4" operator="notEqual">
      <formula>$AZ238</formula>
    </cfRule>
  </conditionalFormatting>
  <conditionalFormatting sqref="I246">
    <cfRule type="cellIs" dxfId="373" priority="1" operator="equal">
      <formula>$AZ246</formula>
    </cfRule>
    <cfRule type="cellIs" dxfId="372" priority="2" operator="notEqual">
      <formula>$AZ246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BA1048576"/>
  <sheetViews>
    <sheetView zoomScaleNormal="100" workbookViewId="0">
      <pane xSplit="26" ySplit="6" topLeftCell="AA18" activePane="bottomRight" state="frozenSplit"/>
      <selection pane="topRight" activeCell="AA1" sqref="AA1"/>
      <selection pane="bottomLeft" activeCell="A7" sqref="A7"/>
      <selection pane="bottomRight" activeCell="I18" sqref="I18"/>
    </sheetView>
  </sheetViews>
  <sheetFormatPr defaultRowHeight="11.25" x14ac:dyDescent="0.2"/>
  <cols>
    <col min="1" max="1" width="4.7109375" style="94" customWidth="1"/>
    <col min="2" max="2" width="2.7109375" style="87" bestFit="1" customWidth="1"/>
    <col min="3" max="3" width="1.7109375" style="87" customWidth="1"/>
    <col min="4" max="4" width="1.7109375" style="94" customWidth="1"/>
    <col min="5" max="5" width="2.7109375" style="95" customWidth="1"/>
    <col min="6" max="6" width="1.7109375" style="96" customWidth="1"/>
    <col min="7" max="7" width="12.7109375" style="97" customWidth="1"/>
    <col min="8" max="8" width="1.7109375" style="94" customWidth="1"/>
    <col min="9" max="9" width="10.7109375" style="98" customWidth="1"/>
    <col min="10" max="11" width="10.7109375" style="94" customWidth="1"/>
    <col min="12" max="13" width="7.7109375" style="94" customWidth="1"/>
    <col min="14" max="14" width="28.7109375" style="94" customWidth="1"/>
    <col min="15" max="26" width="10.7109375" style="94" customWidth="1"/>
    <col min="27" max="51" width="9.140625" style="94"/>
    <col min="52" max="53" width="9.140625" style="92"/>
    <col min="54" max="16384" width="9.140625" style="94"/>
  </cols>
  <sheetData>
    <row r="1" spans="1:53" s="63" customFormat="1" ht="15" x14ac:dyDescent="0.25">
      <c r="A1" s="63" t="s">
        <v>259</v>
      </c>
      <c r="E1" s="64"/>
      <c r="F1" s="65"/>
      <c r="G1" s="66"/>
      <c r="I1" s="67"/>
      <c r="AZ1" s="68"/>
      <c r="BA1" s="68"/>
    </row>
    <row r="2" spans="1:53" s="71" customFormat="1" ht="15.75" x14ac:dyDescent="0.25">
      <c r="A2" s="69"/>
      <c r="B2" s="70"/>
      <c r="C2" s="70"/>
      <c r="E2" s="72"/>
      <c r="F2" s="73"/>
      <c r="G2" s="74"/>
      <c r="I2" s="75"/>
      <c r="AZ2" s="76"/>
      <c r="BA2" s="76"/>
    </row>
    <row r="3" spans="1:53" s="71" customFormat="1" x14ac:dyDescent="0.2">
      <c r="B3" s="70"/>
      <c r="C3" s="70"/>
      <c r="E3" s="77" t="s">
        <v>195</v>
      </c>
      <c r="G3" s="78">
        <f ca="1">NOW()</f>
        <v>45133.186623611109</v>
      </c>
      <c r="H3" s="72"/>
      <c r="I3" s="74"/>
      <c r="J3" s="72"/>
      <c r="K3" s="77" t="s">
        <v>185</v>
      </c>
      <c r="L3" s="73">
        <f>'Часть 0'!K1</f>
        <v>22</v>
      </c>
      <c r="AZ3" s="76"/>
      <c r="BA3" s="76"/>
    </row>
    <row r="4" spans="1:53" s="71" customFormat="1" x14ac:dyDescent="0.2">
      <c r="B4" s="70"/>
      <c r="C4" s="70"/>
      <c r="E4" s="77" t="s">
        <v>193</v>
      </c>
      <c r="G4" s="78">
        <v>45132.375629745373</v>
      </c>
      <c r="H4" s="72"/>
      <c r="I4" s="74"/>
      <c r="K4" s="77" t="s">
        <v>186</v>
      </c>
      <c r="L4" s="73">
        <v>22</v>
      </c>
      <c r="AZ4" s="76"/>
      <c r="BA4" s="76"/>
    </row>
    <row r="5" spans="1:53" s="71" customFormat="1" x14ac:dyDescent="0.2">
      <c r="B5" s="70"/>
      <c r="C5" s="70"/>
      <c r="E5" s="77" t="s">
        <v>194</v>
      </c>
      <c r="G5" s="78"/>
      <c r="H5" s="72"/>
      <c r="I5" s="74"/>
      <c r="K5" s="77" t="s">
        <v>187</v>
      </c>
      <c r="L5" s="79" t="str">
        <f ca="1">ROUND(IF(G5="",G3-G4,G5-G4)*24*60/(L3+1),1)&amp;" мин"</f>
        <v>50,8 мин</v>
      </c>
      <c r="AZ5" s="76"/>
      <c r="BA5" s="76"/>
    </row>
    <row r="6" spans="1:53" s="71" customFormat="1" x14ac:dyDescent="0.2">
      <c r="B6" s="70"/>
      <c r="C6" s="70"/>
      <c r="E6" s="72"/>
      <c r="F6" s="73"/>
      <c r="G6" s="74"/>
      <c r="I6" s="75"/>
      <c r="AZ6" s="76"/>
      <c r="BA6" s="76"/>
    </row>
    <row r="7" spans="1:53" s="80" customFormat="1" x14ac:dyDescent="0.2">
      <c r="B7" s="81"/>
      <c r="C7" s="81"/>
      <c r="E7" s="82"/>
      <c r="F7" s="83"/>
      <c r="G7" s="84"/>
      <c r="I7" s="85"/>
      <c r="AZ7" s="86"/>
      <c r="BA7" s="86"/>
    </row>
    <row r="8" spans="1:53" s="87" customFormat="1" x14ac:dyDescent="0.2">
      <c r="B8" s="87">
        <v>1</v>
      </c>
      <c r="C8" s="87" t="s">
        <v>90</v>
      </c>
      <c r="D8" s="87" t="s">
        <v>157</v>
      </c>
      <c r="E8" s="88"/>
      <c r="F8" s="89"/>
      <c r="G8" s="90"/>
      <c r="I8" s="91"/>
      <c r="AZ8" s="92">
        <f>VLOOKUP(MAX($B$8:$B8),'Часть 0'!$H$3:$I$24,2,0)</f>
        <v>7</v>
      </c>
      <c r="BA8" s="93">
        <f>VLOOKUP(MAX($B$8:$B8),'Часть 0'!$H$3:$J$24,3,0)</f>
        <v>7</v>
      </c>
    </row>
    <row r="9" spans="1:53" ht="5.0999999999999996" customHeight="1" x14ac:dyDescent="0.2">
      <c r="AZ9" s="92">
        <f>VLOOKUP(MAX($B$8:$B9),'Часть 0'!$H$3:$I$24,2,0)</f>
        <v>7</v>
      </c>
      <c r="BA9" s="93">
        <f>VLOOKUP(MAX($B$8:$B9),'Часть 0'!$H$3:$J$24,3,0)</f>
        <v>7</v>
      </c>
    </row>
    <row r="10" spans="1:53" x14ac:dyDescent="0.2">
      <c r="C10" s="99"/>
      <c r="E10" s="95">
        <v>1</v>
      </c>
      <c r="F10" s="96" t="s">
        <v>156</v>
      </c>
      <c r="G10" s="97">
        <v>0.04</v>
      </c>
      <c r="AZ10" s="92">
        <f>VLOOKUP(MAX($B$8:$B10),'Часть 0'!$H$3:$I$24,2,0)</f>
        <v>7</v>
      </c>
      <c r="BA10" s="93">
        <f>VLOOKUP(MAX($B$8:$B10),'Часть 0'!$H$3:$J$24,3,0)</f>
        <v>7</v>
      </c>
    </row>
    <row r="11" spans="1:53" x14ac:dyDescent="0.2">
      <c r="C11" s="99"/>
      <c r="E11" s="95">
        <v>2</v>
      </c>
      <c r="F11" s="96" t="s">
        <v>156</v>
      </c>
      <c r="G11" s="97">
        <v>0.25</v>
      </c>
      <c r="AZ11" s="92">
        <f>VLOOKUP(MAX($B$8:$B11),'Часть 0'!$H$3:$I$24,2,0)</f>
        <v>7</v>
      </c>
      <c r="BA11" s="93">
        <f>VLOOKUP(MAX($B$8:$B11),'Часть 0'!$H$3:$J$24,3,0)</f>
        <v>7</v>
      </c>
    </row>
    <row r="12" spans="1:53" x14ac:dyDescent="0.2">
      <c r="C12" s="99"/>
      <c r="E12" s="95">
        <v>3</v>
      </c>
      <c r="F12" s="96" t="s">
        <v>156</v>
      </c>
      <c r="G12" s="97">
        <v>0.4</v>
      </c>
      <c r="AZ12" s="92">
        <f>VLOOKUP(MAX($B$8:$B12),'Часть 0'!$H$3:$I$24,2,0)</f>
        <v>7</v>
      </c>
      <c r="BA12" s="93">
        <f>VLOOKUP(MAX($B$8:$B12),'Часть 0'!$H$3:$J$24,3,0)</f>
        <v>7</v>
      </c>
    </row>
    <row r="13" spans="1:53" x14ac:dyDescent="0.2">
      <c r="E13" s="95">
        <v>4</v>
      </c>
      <c r="F13" s="96" t="s">
        <v>156</v>
      </c>
      <c r="G13" s="97">
        <v>0.96</v>
      </c>
      <c r="AZ13" s="92">
        <f>VLOOKUP(MAX($B$8:$B13),'Часть 0'!$H$3:$I$24,2,0)</f>
        <v>7</v>
      </c>
      <c r="BA13" s="93">
        <f>VLOOKUP(MAX($B$8:$B13),'Часть 0'!$H$3:$J$24,3,0)</f>
        <v>7</v>
      </c>
    </row>
    <row r="14" spans="1:53" x14ac:dyDescent="0.2">
      <c r="E14" s="95">
        <v>5</v>
      </c>
      <c r="F14" s="96" t="s">
        <v>156</v>
      </c>
      <c r="G14" s="97">
        <v>4</v>
      </c>
      <c r="AZ14" s="92">
        <f>VLOOKUP(MAX($B$8:$B14),'Часть 0'!$H$3:$I$24,2,0)</f>
        <v>7</v>
      </c>
      <c r="BA14" s="93">
        <f>VLOOKUP(MAX($B$8:$B14),'Часть 0'!$H$3:$J$24,3,0)</f>
        <v>7</v>
      </c>
    </row>
    <row r="15" spans="1:53" x14ac:dyDescent="0.2">
      <c r="E15" s="95">
        <v>6</v>
      </c>
      <c r="F15" s="96" t="s">
        <v>156</v>
      </c>
      <c r="G15" s="97">
        <v>2.5</v>
      </c>
      <c r="AZ15" s="92">
        <f>VLOOKUP(MAX($B$8:$B15),'Часть 0'!$H$3:$I$24,2,0)</f>
        <v>7</v>
      </c>
      <c r="BA15" s="93">
        <f>VLOOKUP(MAX($B$8:$B15),'Часть 0'!$H$3:$J$24,3,0)</f>
        <v>7</v>
      </c>
    </row>
    <row r="16" spans="1:53" x14ac:dyDescent="0.2">
      <c r="E16" s="95">
        <v>7</v>
      </c>
      <c r="F16" s="96" t="s">
        <v>156</v>
      </c>
      <c r="G16" s="97">
        <v>25</v>
      </c>
      <c r="AZ16" s="92">
        <f>VLOOKUP(MAX($B$8:$B16),'Часть 0'!$H$3:$I$24,2,0)</f>
        <v>7</v>
      </c>
      <c r="BA16" s="93">
        <f>VLOOKUP(MAX($B$8:$B16),'Часть 0'!$H$3:$J$24,3,0)</f>
        <v>7</v>
      </c>
    </row>
    <row r="17" spans="2:53" ht="5.0999999999999996" customHeight="1" thickBot="1" x14ac:dyDescent="0.25">
      <c r="G17" s="100"/>
      <c r="H17" s="101"/>
      <c r="AZ17" s="92">
        <f>VLOOKUP(MAX($B$8:$B17),'Часть 0'!$H$3:$I$24,2,0)</f>
        <v>7</v>
      </c>
      <c r="BA17" s="93">
        <f>VLOOKUP(MAX($B$8:$B17),'Часть 0'!$H$3:$J$24,3,0)</f>
        <v>7</v>
      </c>
    </row>
    <row r="18" spans="2:53" ht="12" thickBot="1" x14ac:dyDescent="0.25">
      <c r="C18" s="102">
        <v>1</v>
      </c>
      <c r="D18" s="87" t="s">
        <v>220</v>
      </c>
      <c r="E18" s="87"/>
      <c r="F18" s="87"/>
      <c r="G18" s="87"/>
      <c r="H18" s="87"/>
      <c r="I18" s="109">
        <v>7</v>
      </c>
      <c r="AZ18" s="92">
        <f>VLOOKUP(MAX($B$8:$B18),'Часть 0'!$H$3:$I$24,2,0)</f>
        <v>7</v>
      </c>
      <c r="BA18" s="93">
        <f>VLOOKUP(MAX($B$8:$B18),'Часть 0'!$H$3:$J$24,3,0)</f>
        <v>7</v>
      </c>
    </row>
    <row r="19" spans="2:53" x14ac:dyDescent="0.2">
      <c r="G19" s="84"/>
      <c r="H19" s="80"/>
      <c r="AZ19" s="92">
        <f>VLOOKUP(MAX($B$8:$B19),'Часть 0'!$H$3:$I$24,2,0)</f>
        <v>7</v>
      </c>
      <c r="BA19" s="93">
        <f>VLOOKUP(MAX($B$8:$B19),'Часть 0'!$H$3:$J$24,3,0)</f>
        <v>7</v>
      </c>
    </row>
    <row r="20" spans="2:53" s="87" customFormat="1" x14ac:dyDescent="0.2">
      <c r="B20" s="87">
        <v>2</v>
      </c>
      <c r="C20" s="87" t="s">
        <v>90</v>
      </c>
      <c r="D20" s="87" t="s">
        <v>158</v>
      </c>
      <c r="E20" s="88"/>
      <c r="F20" s="89"/>
      <c r="G20" s="90"/>
      <c r="I20" s="91"/>
      <c r="AZ20" s="92">
        <f>VLOOKUP(MAX($B$8:$B20),'Часть 0'!$H$3:$I$24,2,0)</f>
        <v>2</v>
      </c>
      <c r="BA20" s="93">
        <f>VLOOKUP(MAX($B$8:$B20),'Часть 0'!$H$3:$J$24,3,0)</f>
        <v>2</v>
      </c>
    </row>
    <row r="21" spans="2:53" ht="5.0999999999999996" customHeight="1" x14ac:dyDescent="0.2">
      <c r="AZ21" s="92">
        <f>VLOOKUP(MAX($B$8:$B21),'Часть 0'!$H$3:$I$24,2,0)</f>
        <v>2</v>
      </c>
      <c r="BA21" s="93">
        <f>VLOOKUP(MAX($B$8:$B21),'Часть 0'!$H$3:$J$24,3,0)</f>
        <v>2</v>
      </c>
    </row>
    <row r="22" spans="2:53" x14ac:dyDescent="0.2">
      <c r="C22" s="99"/>
      <c r="AZ22" s="92">
        <f>VLOOKUP(MAX($B$8:$B22),'Часть 0'!$H$3:$I$24,2,0)</f>
        <v>2</v>
      </c>
      <c r="BA22" s="93">
        <f>VLOOKUP(MAX($B$8:$B22),'Часть 0'!$H$3:$J$24,3,0)</f>
        <v>2</v>
      </c>
    </row>
    <row r="23" spans="2:53" x14ac:dyDescent="0.2">
      <c r="C23" s="99"/>
      <c r="E23" s="95">
        <v>1</v>
      </c>
      <c r="F23" s="96" t="s">
        <v>156</v>
      </c>
      <c r="G23" s="97" t="s">
        <v>123</v>
      </c>
      <c r="AZ23" s="92">
        <f>VLOOKUP(MAX($B$8:$B23),'Часть 0'!$H$3:$I$24,2,0)</f>
        <v>2</v>
      </c>
      <c r="BA23" s="93">
        <f>VLOOKUP(MAX($B$8:$B23),'Часть 0'!$H$3:$J$24,3,0)</f>
        <v>2</v>
      </c>
    </row>
    <row r="24" spans="2:53" x14ac:dyDescent="0.2">
      <c r="C24" s="99"/>
      <c r="E24" s="95">
        <v>2</v>
      </c>
      <c r="F24" s="96" t="s">
        <v>156</v>
      </c>
      <c r="G24" s="97" t="s">
        <v>124</v>
      </c>
      <c r="AZ24" s="92">
        <f>VLOOKUP(MAX($B$8:$B24),'Часть 0'!$H$3:$I$24,2,0)</f>
        <v>2</v>
      </c>
      <c r="BA24" s="93">
        <f>VLOOKUP(MAX($B$8:$B24),'Часть 0'!$H$3:$J$24,3,0)</f>
        <v>2</v>
      </c>
    </row>
    <row r="25" spans="2:53" x14ac:dyDescent="0.2">
      <c r="E25" s="95">
        <v>3</v>
      </c>
      <c r="F25" s="96" t="s">
        <v>156</v>
      </c>
      <c r="G25" s="97" t="s">
        <v>125</v>
      </c>
      <c r="AZ25" s="92">
        <f>VLOOKUP(MAX($B$8:$B25),'Часть 0'!$H$3:$I$24,2,0)</f>
        <v>2</v>
      </c>
      <c r="BA25" s="93">
        <f>VLOOKUP(MAX($B$8:$B25),'Часть 0'!$H$3:$J$24,3,0)</f>
        <v>2</v>
      </c>
    </row>
    <row r="26" spans="2:53" x14ac:dyDescent="0.2">
      <c r="E26" s="95">
        <v>4</v>
      </c>
      <c r="F26" s="96" t="s">
        <v>156</v>
      </c>
      <c r="G26" s="97" t="s">
        <v>126</v>
      </c>
      <c r="AZ26" s="92">
        <f>VLOOKUP(MAX($B$8:$B26),'Часть 0'!$H$3:$I$24,2,0)</f>
        <v>2</v>
      </c>
      <c r="BA26" s="93">
        <f>VLOOKUP(MAX($B$8:$B26),'Часть 0'!$H$3:$J$24,3,0)</f>
        <v>2</v>
      </c>
    </row>
    <row r="27" spans="2:53" x14ac:dyDescent="0.2">
      <c r="E27" s="95">
        <v>5</v>
      </c>
      <c r="F27" s="96" t="s">
        <v>156</v>
      </c>
      <c r="G27" s="97" t="s">
        <v>127</v>
      </c>
      <c r="AZ27" s="92">
        <f>VLOOKUP(MAX($B$8:$B27),'Часть 0'!$H$3:$I$24,2,0)</f>
        <v>2</v>
      </c>
      <c r="BA27" s="93">
        <f>VLOOKUP(MAX($B$8:$B27),'Часть 0'!$H$3:$J$24,3,0)</f>
        <v>2</v>
      </c>
    </row>
    <row r="28" spans="2:53" ht="5.0999999999999996" customHeight="1" thickBot="1" x14ac:dyDescent="0.25">
      <c r="G28" s="100"/>
      <c r="H28" s="101"/>
      <c r="AZ28" s="92">
        <f>VLOOKUP(MAX($B$8:$B28),'Часть 0'!$H$3:$I$24,2,0)</f>
        <v>2</v>
      </c>
      <c r="BA28" s="93">
        <f>VLOOKUP(MAX($B$8:$B28),'Часть 0'!$H$3:$J$24,3,0)</f>
        <v>2</v>
      </c>
    </row>
    <row r="29" spans="2:53" ht="12" thickBot="1" x14ac:dyDescent="0.25">
      <c r="C29" s="102">
        <v>2</v>
      </c>
      <c r="D29" s="87" t="s">
        <v>220</v>
      </c>
      <c r="E29" s="87"/>
      <c r="F29" s="87"/>
      <c r="G29" s="87"/>
      <c r="H29" s="87"/>
      <c r="I29" s="109">
        <v>2</v>
      </c>
      <c r="AZ29" s="92">
        <f>VLOOKUP(MAX($B$8:$B29),'Часть 0'!$H$3:$I$24,2,0)</f>
        <v>2</v>
      </c>
      <c r="BA29" s="93">
        <f>VLOOKUP(MAX($B$8:$B29),'Часть 0'!$H$3:$J$24,3,0)</f>
        <v>2</v>
      </c>
    </row>
    <row r="30" spans="2:53" x14ac:dyDescent="0.2">
      <c r="G30" s="84"/>
      <c r="H30" s="80"/>
      <c r="AZ30" s="92">
        <f>VLOOKUP(MAX($B$8:$B30),'Часть 0'!$H$3:$I$24,2,0)</f>
        <v>2</v>
      </c>
      <c r="BA30" s="93">
        <f>VLOOKUP(MAX($B$8:$B30),'Часть 0'!$H$3:$J$24,3,0)</f>
        <v>2</v>
      </c>
    </row>
    <row r="31" spans="2:53" s="87" customFormat="1" x14ac:dyDescent="0.2">
      <c r="B31" s="87">
        <v>3</v>
      </c>
      <c r="C31" s="87" t="s">
        <v>90</v>
      </c>
      <c r="D31" s="87" t="s">
        <v>159</v>
      </c>
      <c r="E31" s="88"/>
      <c r="F31" s="89"/>
      <c r="G31" s="90"/>
      <c r="I31" s="91"/>
      <c r="AZ31" s="92">
        <f>VLOOKUP(MAX($B$8:$B31),'Часть 0'!$H$3:$I$24,2,0)</f>
        <v>5</v>
      </c>
      <c r="BA31" s="93">
        <f>VLOOKUP(MAX($B$8:$B31),'Часть 0'!$H$3:$J$24,3,0)</f>
        <v>3</v>
      </c>
    </row>
    <row r="32" spans="2:53" ht="5.0999999999999996" customHeight="1" x14ac:dyDescent="0.2">
      <c r="AZ32" s="92">
        <f>VLOOKUP(MAX($B$8:$B32),'Часть 0'!$H$3:$I$24,2,0)</f>
        <v>5</v>
      </c>
      <c r="BA32" s="93">
        <f>VLOOKUP(MAX($B$8:$B32),'Часть 0'!$H$3:$J$24,3,0)</f>
        <v>3</v>
      </c>
    </row>
    <row r="33" spans="2:53" x14ac:dyDescent="0.2">
      <c r="C33" s="99"/>
      <c r="AZ33" s="92">
        <f>VLOOKUP(MAX($B$8:$B33),'Часть 0'!$H$3:$I$24,2,0)</f>
        <v>5</v>
      </c>
      <c r="BA33" s="93">
        <f>VLOOKUP(MAX($B$8:$B33),'Часть 0'!$H$3:$J$24,3,0)</f>
        <v>3</v>
      </c>
    </row>
    <row r="34" spans="2:53" x14ac:dyDescent="0.2">
      <c r="C34" s="99"/>
      <c r="E34" s="95">
        <v>1</v>
      </c>
      <c r="F34" s="96" t="s">
        <v>156</v>
      </c>
      <c r="G34" s="97" t="s">
        <v>123</v>
      </c>
      <c r="AZ34" s="92">
        <f>VLOOKUP(MAX($B$8:$B34),'Часть 0'!$H$3:$I$24,2,0)</f>
        <v>5</v>
      </c>
      <c r="BA34" s="93">
        <f>VLOOKUP(MAX($B$8:$B34),'Часть 0'!$H$3:$J$24,3,0)</f>
        <v>3</v>
      </c>
    </row>
    <row r="35" spans="2:53" x14ac:dyDescent="0.2">
      <c r="C35" s="99"/>
      <c r="E35" s="95">
        <v>2</v>
      </c>
      <c r="F35" s="96" t="s">
        <v>156</v>
      </c>
      <c r="G35" s="97" t="s">
        <v>124</v>
      </c>
      <c r="AZ35" s="92">
        <f>VLOOKUP(MAX($B$8:$B35),'Часть 0'!$H$3:$I$24,2,0)</f>
        <v>5</v>
      </c>
      <c r="BA35" s="93">
        <f>VLOOKUP(MAX($B$8:$B35),'Часть 0'!$H$3:$J$24,3,0)</f>
        <v>3</v>
      </c>
    </row>
    <row r="36" spans="2:53" x14ac:dyDescent="0.2">
      <c r="E36" s="95">
        <v>3</v>
      </c>
      <c r="F36" s="96" t="s">
        <v>156</v>
      </c>
      <c r="G36" s="97" t="s">
        <v>128</v>
      </c>
      <c r="AZ36" s="92">
        <f>VLOOKUP(MAX($B$8:$B36),'Часть 0'!$H$3:$I$24,2,0)</f>
        <v>5</v>
      </c>
      <c r="BA36" s="93">
        <f>VLOOKUP(MAX($B$8:$B36),'Часть 0'!$H$3:$J$24,3,0)</f>
        <v>3</v>
      </c>
    </row>
    <row r="37" spans="2:53" x14ac:dyDescent="0.2">
      <c r="E37" s="95">
        <v>4</v>
      </c>
      <c r="F37" s="96" t="s">
        <v>156</v>
      </c>
      <c r="G37" s="97" t="s">
        <v>126</v>
      </c>
      <c r="AZ37" s="92">
        <f>VLOOKUP(MAX($B$8:$B37),'Часть 0'!$H$3:$I$24,2,0)</f>
        <v>5</v>
      </c>
      <c r="BA37" s="93">
        <f>VLOOKUP(MAX($B$8:$B37),'Часть 0'!$H$3:$J$24,3,0)</f>
        <v>3</v>
      </c>
    </row>
    <row r="38" spans="2:53" x14ac:dyDescent="0.2">
      <c r="E38" s="95">
        <v>5</v>
      </c>
      <c r="F38" s="96" t="s">
        <v>156</v>
      </c>
      <c r="G38" s="97" t="s">
        <v>127</v>
      </c>
      <c r="AZ38" s="92">
        <f>VLOOKUP(MAX($B$8:$B38),'Часть 0'!$H$3:$I$24,2,0)</f>
        <v>5</v>
      </c>
      <c r="BA38" s="93">
        <f>VLOOKUP(MAX($B$8:$B38),'Часть 0'!$H$3:$J$24,3,0)</f>
        <v>3</v>
      </c>
    </row>
    <row r="39" spans="2:53" ht="5.0999999999999996" customHeight="1" thickBot="1" x14ac:dyDescent="0.25">
      <c r="G39" s="100"/>
      <c r="H39" s="101"/>
      <c r="AZ39" s="92">
        <f>VLOOKUP(MAX($B$8:$B39),'Часть 0'!$H$3:$I$24,2,0)</f>
        <v>5</v>
      </c>
      <c r="BA39" s="93">
        <f>VLOOKUP(MAX($B$8:$B39),'Часть 0'!$H$3:$J$24,3,0)</f>
        <v>3</v>
      </c>
    </row>
    <row r="40" spans="2:53" ht="12" thickBot="1" x14ac:dyDescent="0.25">
      <c r="C40" s="102">
        <v>3</v>
      </c>
      <c r="D40" s="87" t="s">
        <v>220</v>
      </c>
      <c r="E40" s="87"/>
      <c r="F40" s="87"/>
      <c r="G40" s="87"/>
      <c r="H40" s="87"/>
      <c r="I40" s="109">
        <v>3</v>
      </c>
      <c r="AZ40" s="92">
        <f>VLOOKUP(MAX($B$8:$B40),'Часть 0'!$H$3:$I$24,2,0)</f>
        <v>5</v>
      </c>
      <c r="BA40" s="93">
        <f>VLOOKUP(MAX($B$8:$B40),'Часть 0'!$H$3:$J$24,3,0)</f>
        <v>3</v>
      </c>
    </row>
    <row r="41" spans="2:53" x14ac:dyDescent="0.2">
      <c r="G41" s="84"/>
      <c r="H41" s="80"/>
      <c r="AZ41" s="92">
        <f>VLOOKUP(MAX($B$8:$B41),'Часть 0'!$H$3:$I$24,2,0)</f>
        <v>5</v>
      </c>
      <c r="BA41" s="93">
        <f>VLOOKUP(MAX($B$8:$B41),'Часть 0'!$H$3:$J$24,3,0)</f>
        <v>3</v>
      </c>
    </row>
    <row r="42" spans="2:53" s="87" customFormat="1" x14ac:dyDescent="0.2">
      <c r="B42" s="87">
        <v>4</v>
      </c>
      <c r="C42" s="87" t="s">
        <v>90</v>
      </c>
      <c r="D42" s="87" t="s">
        <v>160</v>
      </c>
      <c r="E42" s="88"/>
      <c r="F42" s="89"/>
      <c r="G42" s="90"/>
      <c r="I42" s="91"/>
      <c r="AZ42" s="92">
        <f>VLOOKUP(MAX($B$8:$B42),'Часть 0'!$H$3:$I$24,2,0)</f>
        <v>1</v>
      </c>
      <c r="BA42" s="93">
        <f>VLOOKUP(MAX($B$8:$B42),'Часть 0'!$H$3:$J$24,3,0)</f>
        <v>1</v>
      </c>
    </row>
    <row r="43" spans="2:53" ht="5.0999999999999996" customHeight="1" x14ac:dyDescent="0.2">
      <c r="AZ43" s="92">
        <f>VLOOKUP(MAX($B$8:$B43),'Часть 0'!$H$3:$I$24,2,0)</f>
        <v>1</v>
      </c>
      <c r="BA43" s="93">
        <f>VLOOKUP(MAX($B$8:$B43),'Часть 0'!$H$3:$J$24,3,0)</f>
        <v>1</v>
      </c>
    </row>
    <row r="44" spans="2:53" x14ac:dyDescent="0.2">
      <c r="C44" s="99"/>
      <c r="AZ44" s="92">
        <f>VLOOKUP(MAX($B$8:$B44),'Часть 0'!$H$3:$I$24,2,0)</f>
        <v>1</v>
      </c>
      <c r="BA44" s="93">
        <f>VLOOKUP(MAX($B$8:$B44),'Часть 0'!$H$3:$J$24,3,0)</f>
        <v>1</v>
      </c>
    </row>
    <row r="45" spans="2:53" x14ac:dyDescent="0.2">
      <c r="C45" s="99"/>
      <c r="E45" s="95">
        <v>1</v>
      </c>
      <c r="F45" s="96" t="s">
        <v>156</v>
      </c>
      <c r="G45" s="97" t="s">
        <v>122</v>
      </c>
      <c r="AZ45" s="92">
        <f>VLOOKUP(MAX($B$8:$B45),'Часть 0'!$H$3:$I$24,2,0)</f>
        <v>1</v>
      </c>
      <c r="BA45" s="93">
        <f>VLOOKUP(MAX($B$8:$B45),'Часть 0'!$H$3:$J$24,3,0)</f>
        <v>1</v>
      </c>
    </row>
    <row r="46" spans="2:53" x14ac:dyDescent="0.2">
      <c r="C46" s="99"/>
      <c r="E46" s="95">
        <v>2</v>
      </c>
      <c r="F46" s="96" t="s">
        <v>156</v>
      </c>
      <c r="G46" s="97" t="s">
        <v>121</v>
      </c>
      <c r="AZ46" s="92">
        <f>VLOOKUP(MAX($B$8:$B46),'Часть 0'!$H$3:$I$24,2,0)</f>
        <v>1</v>
      </c>
      <c r="BA46" s="93">
        <f>VLOOKUP(MAX($B$8:$B46),'Часть 0'!$H$3:$J$24,3,0)</f>
        <v>1</v>
      </c>
    </row>
    <row r="47" spans="2:53" x14ac:dyDescent="0.2">
      <c r="E47" s="95">
        <v>3</v>
      </c>
      <c r="F47" s="96" t="s">
        <v>156</v>
      </c>
      <c r="G47" s="97" t="s">
        <v>129</v>
      </c>
      <c r="AZ47" s="92">
        <f>VLOOKUP(MAX($B$8:$B47),'Часть 0'!$H$3:$I$24,2,0)</f>
        <v>1</v>
      </c>
      <c r="BA47" s="93">
        <f>VLOOKUP(MAX($B$8:$B47),'Часть 0'!$H$3:$J$24,3,0)</f>
        <v>1</v>
      </c>
    </row>
    <row r="48" spans="2:53" x14ac:dyDescent="0.2">
      <c r="E48" s="95">
        <v>4</v>
      </c>
      <c r="F48" s="96" t="s">
        <v>156</v>
      </c>
      <c r="G48" s="97" t="s">
        <v>130</v>
      </c>
      <c r="AZ48" s="92">
        <f>VLOOKUP(MAX($B$8:$B48),'Часть 0'!$H$3:$I$24,2,0)</f>
        <v>1</v>
      </c>
      <c r="BA48" s="93">
        <f>VLOOKUP(MAX($B$8:$B48),'Часть 0'!$H$3:$J$24,3,0)</f>
        <v>1</v>
      </c>
    </row>
    <row r="49" spans="2:53" x14ac:dyDescent="0.2">
      <c r="E49" s="95">
        <v>5</v>
      </c>
      <c r="F49" s="96" t="s">
        <v>156</v>
      </c>
      <c r="G49" s="97" t="s">
        <v>131</v>
      </c>
      <c r="AZ49" s="92">
        <f>VLOOKUP(MAX($B$8:$B49),'Часть 0'!$H$3:$I$24,2,0)</f>
        <v>1</v>
      </c>
      <c r="BA49" s="93">
        <f>VLOOKUP(MAX($B$8:$B49),'Часть 0'!$H$3:$J$24,3,0)</f>
        <v>1</v>
      </c>
    </row>
    <row r="50" spans="2:53" ht="5.0999999999999996" customHeight="1" thickBot="1" x14ac:dyDescent="0.25">
      <c r="G50" s="100"/>
      <c r="H50" s="101"/>
      <c r="AZ50" s="92">
        <f>VLOOKUP(MAX($B$8:$B50),'Часть 0'!$H$3:$I$24,2,0)</f>
        <v>1</v>
      </c>
      <c r="BA50" s="93">
        <f>VLOOKUP(MAX($B$8:$B50),'Часть 0'!$H$3:$J$24,3,0)</f>
        <v>1</v>
      </c>
    </row>
    <row r="51" spans="2:53" ht="12" thickBot="1" x14ac:dyDescent="0.25">
      <c r="C51" s="102">
        <v>4</v>
      </c>
      <c r="D51" s="87" t="s">
        <v>220</v>
      </c>
      <c r="E51" s="87"/>
      <c r="F51" s="87"/>
      <c r="G51" s="87"/>
      <c r="H51" s="87"/>
      <c r="I51" s="109">
        <v>1</v>
      </c>
      <c r="AZ51" s="92">
        <f>VLOOKUP(MAX($B$8:$B51),'Часть 0'!$H$3:$I$24,2,0)</f>
        <v>1</v>
      </c>
      <c r="BA51" s="93">
        <f>VLOOKUP(MAX($B$8:$B51),'Часть 0'!$H$3:$J$24,3,0)</f>
        <v>1</v>
      </c>
    </row>
    <row r="52" spans="2:53" x14ac:dyDescent="0.2">
      <c r="G52" s="84"/>
      <c r="H52" s="80"/>
      <c r="AZ52" s="92">
        <f>VLOOKUP(MAX($B$8:$B52),'Часть 0'!$H$3:$I$24,2,0)</f>
        <v>1</v>
      </c>
      <c r="BA52" s="93">
        <f>VLOOKUP(MAX($B$8:$B52),'Часть 0'!$H$3:$J$24,3,0)</f>
        <v>1</v>
      </c>
    </row>
    <row r="53" spans="2:53" s="87" customFormat="1" x14ac:dyDescent="0.2">
      <c r="B53" s="87">
        <v>5</v>
      </c>
      <c r="C53" s="87" t="s">
        <v>90</v>
      </c>
      <c r="D53" s="87" t="s">
        <v>161</v>
      </c>
      <c r="E53" s="88"/>
      <c r="F53" s="89"/>
      <c r="G53" s="90"/>
      <c r="I53" s="91"/>
      <c r="AZ53" s="92">
        <f>VLOOKUP(MAX($B$8:$B53),'Часть 0'!$H$3:$I$24,2,0)</f>
        <v>5</v>
      </c>
      <c r="BA53" s="93">
        <f>VLOOKUP(MAX($B$8:$B53),'Часть 0'!$H$3:$J$24,3,0)</f>
        <v>5</v>
      </c>
    </row>
    <row r="54" spans="2:53" ht="5.0999999999999996" customHeight="1" x14ac:dyDescent="0.2">
      <c r="AZ54" s="92">
        <f>VLOOKUP(MAX($B$8:$B54),'Часть 0'!$H$3:$I$24,2,0)</f>
        <v>5</v>
      </c>
      <c r="BA54" s="93">
        <f>VLOOKUP(MAX($B$8:$B54),'Часть 0'!$H$3:$J$24,3,0)</f>
        <v>5</v>
      </c>
    </row>
    <row r="55" spans="2:53" x14ac:dyDescent="0.2">
      <c r="C55" s="99"/>
      <c r="AZ55" s="92">
        <f>VLOOKUP(MAX($B$8:$B55),'Часть 0'!$H$3:$I$24,2,0)</f>
        <v>5</v>
      </c>
      <c r="BA55" s="93">
        <f>VLOOKUP(MAX($B$8:$B55),'Часть 0'!$H$3:$J$24,3,0)</f>
        <v>5</v>
      </c>
    </row>
    <row r="56" spans="2:53" x14ac:dyDescent="0.2">
      <c r="C56" s="99"/>
      <c r="E56" s="95">
        <v>1</v>
      </c>
      <c r="F56" s="96" t="s">
        <v>156</v>
      </c>
      <c r="G56" s="97" t="s">
        <v>132</v>
      </c>
      <c r="AZ56" s="92">
        <f>VLOOKUP(MAX($B$8:$B56),'Часть 0'!$H$3:$I$24,2,0)</f>
        <v>5</v>
      </c>
      <c r="BA56" s="93">
        <f>VLOOKUP(MAX($B$8:$B56),'Часть 0'!$H$3:$J$24,3,0)</f>
        <v>5</v>
      </c>
    </row>
    <row r="57" spans="2:53" x14ac:dyDescent="0.2">
      <c r="C57" s="99"/>
      <c r="E57" s="95">
        <v>2</v>
      </c>
      <c r="F57" s="96" t="s">
        <v>156</v>
      </c>
      <c r="G57" s="97" t="s">
        <v>133</v>
      </c>
      <c r="AZ57" s="92">
        <f>VLOOKUP(MAX($B$8:$B57),'Часть 0'!$H$3:$I$24,2,0)</f>
        <v>5</v>
      </c>
      <c r="BA57" s="93">
        <f>VLOOKUP(MAX($B$8:$B57),'Часть 0'!$H$3:$J$24,3,0)</f>
        <v>5</v>
      </c>
    </row>
    <row r="58" spans="2:53" x14ac:dyDescent="0.2">
      <c r="E58" s="95">
        <v>3</v>
      </c>
      <c r="F58" s="96" t="s">
        <v>156</v>
      </c>
      <c r="G58" s="97" t="s">
        <v>134</v>
      </c>
      <c r="AZ58" s="92">
        <f>VLOOKUP(MAX($B$8:$B58),'Часть 0'!$H$3:$I$24,2,0)</f>
        <v>5</v>
      </c>
      <c r="BA58" s="93">
        <f>VLOOKUP(MAX($B$8:$B58),'Часть 0'!$H$3:$J$24,3,0)</f>
        <v>5</v>
      </c>
    </row>
    <row r="59" spans="2:53" x14ac:dyDescent="0.2">
      <c r="E59" s="95">
        <v>4</v>
      </c>
      <c r="F59" s="96" t="s">
        <v>156</v>
      </c>
      <c r="G59" s="97" t="s">
        <v>135</v>
      </c>
      <c r="AZ59" s="92">
        <f>VLOOKUP(MAX($B$8:$B59),'Часть 0'!$H$3:$I$24,2,0)</f>
        <v>5</v>
      </c>
      <c r="BA59" s="93">
        <f>VLOOKUP(MAX($B$8:$B59),'Часть 0'!$H$3:$J$24,3,0)</f>
        <v>5</v>
      </c>
    </row>
    <row r="60" spans="2:53" x14ac:dyDescent="0.2">
      <c r="E60" s="95">
        <v>5</v>
      </c>
      <c r="F60" s="96" t="s">
        <v>156</v>
      </c>
      <c r="G60" s="97" t="s">
        <v>136</v>
      </c>
      <c r="AZ60" s="92">
        <f>VLOOKUP(MAX($B$8:$B60),'Часть 0'!$H$3:$I$24,2,0)</f>
        <v>5</v>
      </c>
      <c r="BA60" s="93">
        <f>VLOOKUP(MAX($B$8:$B60),'Часть 0'!$H$3:$J$24,3,0)</f>
        <v>5</v>
      </c>
    </row>
    <row r="61" spans="2:53" ht="5.0999999999999996" customHeight="1" thickBot="1" x14ac:dyDescent="0.25">
      <c r="G61" s="100"/>
      <c r="H61" s="101"/>
      <c r="AZ61" s="92">
        <f>VLOOKUP(MAX($B$8:$B61),'Часть 0'!$H$3:$I$24,2,0)</f>
        <v>5</v>
      </c>
      <c r="BA61" s="93">
        <f>VLOOKUP(MAX($B$8:$B61),'Часть 0'!$H$3:$J$24,3,0)</f>
        <v>5</v>
      </c>
    </row>
    <row r="62" spans="2:53" ht="12" thickBot="1" x14ac:dyDescent="0.25">
      <c r="C62" s="102">
        <v>5</v>
      </c>
      <c r="D62" s="87" t="s">
        <v>220</v>
      </c>
      <c r="E62" s="87"/>
      <c r="F62" s="87"/>
      <c r="G62" s="87"/>
      <c r="H62" s="87"/>
      <c r="I62" s="109">
        <v>5</v>
      </c>
      <c r="AZ62" s="92">
        <f>VLOOKUP(MAX($B$8:$B62),'Часть 0'!$H$3:$I$24,2,0)</f>
        <v>5</v>
      </c>
      <c r="BA62" s="93">
        <f>VLOOKUP(MAX($B$8:$B62),'Часть 0'!$H$3:$J$24,3,0)</f>
        <v>5</v>
      </c>
    </row>
    <row r="63" spans="2:53" x14ac:dyDescent="0.2">
      <c r="G63" s="84"/>
      <c r="H63" s="80"/>
      <c r="AZ63" s="92">
        <f>VLOOKUP(MAX($B$8:$B63),'Часть 0'!$H$3:$I$24,2,0)</f>
        <v>5</v>
      </c>
      <c r="BA63" s="93">
        <f>VLOOKUP(MAX($B$8:$B63),'Часть 0'!$H$3:$J$24,3,0)</f>
        <v>5</v>
      </c>
    </row>
    <row r="64" spans="2:53" s="87" customFormat="1" x14ac:dyDescent="0.2">
      <c r="B64" s="87">
        <v>6</v>
      </c>
      <c r="C64" s="87" t="s">
        <v>90</v>
      </c>
      <c r="D64" s="87" t="s">
        <v>162</v>
      </c>
      <c r="E64" s="88"/>
      <c r="F64" s="89"/>
      <c r="G64" s="90"/>
      <c r="I64" s="91"/>
      <c r="AZ64" s="92">
        <f>VLOOKUP(MAX($B$8:$B64),'Часть 0'!$H$3:$I$24,2,0)</f>
        <v>6</v>
      </c>
      <c r="BA64" s="93">
        <f>VLOOKUP(MAX($B$8:$B64),'Часть 0'!$H$3:$J$24,3,0)</f>
        <v>6</v>
      </c>
    </row>
    <row r="65" spans="2:53" ht="5.0999999999999996" customHeight="1" x14ac:dyDescent="0.2">
      <c r="AZ65" s="92">
        <f>VLOOKUP(MAX($B$8:$B65),'Часть 0'!$H$3:$I$24,2,0)</f>
        <v>6</v>
      </c>
      <c r="BA65" s="93">
        <f>VLOOKUP(MAX($B$8:$B65),'Часть 0'!$H$3:$J$24,3,0)</f>
        <v>6</v>
      </c>
    </row>
    <row r="66" spans="2:53" x14ac:dyDescent="0.2">
      <c r="C66" s="99"/>
      <c r="E66" s="95">
        <v>1</v>
      </c>
      <c r="F66" s="96" t="s">
        <v>156</v>
      </c>
      <c r="G66" s="97" t="s">
        <v>171</v>
      </c>
      <c r="AZ66" s="92">
        <f>VLOOKUP(MAX($B$8:$B66),'Часть 0'!$H$3:$I$24,2,0)</f>
        <v>6</v>
      </c>
      <c r="BA66" s="93">
        <f>VLOOKUP(MAX($B$8:$B66),'Часть 0'!$H$3:$J$24,3,0)</f>
        <v>6</v>
      </c>
    </row>
    <row r="67" spans="2:53" x14ac:dyDescent="0.2">
      <c r="C67" s="99"/>
      <c r="E67" s="95">
        <v>2</v>
      </c>
      <c r="F67" s="96" t="s">
        <v>156</v>
      </c>
      <c r="G67" s="97" t="s">
        <v>172</v>
      </c>
      <c r="AZ67" s="92">
        <f>VLOOKUP(MAX($B$8:$B67),'Часть 0'!$H$3:$I$24,2,0)</f>
        <v>6</v>
      </c>
      <c r="BA67" s="93">
        <f>VLOOKUP(MAX($B$8:$B67),'Часть 0'!$H$3:$J$24,3,0)</f>
        <v>6</v>
      </c>
    </row>
    <row r="68" spans="2:53" x14ac:dyDescent="0.2">
      <c r="E68" s="95">
        <v>3</v>
      </c>
      <c r="F68" s="96" t="s">
        <v>156</v>
      </c>
      <c r="G68" s="97" t="s">
        <v>173</v>
      </c>
      <c r="AZ68" s="92">
        <f>VLOOKUP(MAX($B$8:$B68),'Часть 0'!$H$3:$I$24,2,0)</f>
        <v>6</v>
      </c>
      <c r="BA68" s="93">
        <f>VLOOKUP(MAX($B$8:$B68),'Часть 0'!$H$3:$J$24,3,0)</f>
        <v>6</v>
      </c>
    </row>
    <row r="69" spans="2:53" x14ac:dyDescent="0.2">
      <c r="E69" s="95">
        <v>4</v>
      </c>
      <c r="F69" s="96" t="s">
        <v>156</v>
      </c>
      <c r="G69" s="97" t="s">
        <v>174</v>
      </c>
      <c r="AZ69" s="92">
        <f>VLOOKUP(MAX($B$8:$B69),'Часть 0'!$H$3:$I$24,2,0)</f>
        <v>6</v>
      </c>
      <c r="BA69" s="93">
        <f>VLOOKUP(MAX($B$8:$B69),'Часть 0'!$H$3:$J$24,3,0)</f>
        <v>6</v>
      </c>
    </row>
    <row r="70" spans="2:53" x14ac:dyDescent="0.2">
      <c r="E70" s="95">
        <v>5</v>
      </c>
      <c r="F70" s="96" t="s">
        <v>156</v>
      </c>
      <c r="G70" s="97" t="s">
        <v>175</v>
      </c>
      <c r="AZ70" s="92">
        <f>VLOOKUP(MAX($B$8:$B70),'Часть 0'!$H$3:$I$24,2,0)</f>
        <v>6</v>
      </c>
      <c r="BA70" s="93">
        <f>VLOOKUP(MAX($B$8:$B70),'Часть 0'!$H$3:$J$24,3,0)</f>
        <v>6</v>
      </c>
    </row>
    <row r="71" spans="2:53" x14ac:dyDescent="0.2">
      <c r="E71" s="95">
        <v>6</v>
      </c>
      <c r="F71" s="96" t="s">
        <v>156</v>
      </c>
      <c r="G71" s="97" t="s">
        <v>176</v>
      </c>
      <c r="AZ71" s="92">
        <f>VLOOKUP(MAX($B$8:$B71),'Часть 0'!$H$3:$I$24,2,0)</f>
        <v>6</v>
      </c>
      <c r="BA71" s="93">
        <f>VLOOKUP(MAX($B$8:$B71),'Часть 0'!$H$3:$J$24,3,0)</f>
        <v>6</v>
      </c>
    </row>
    <row r="72" spans="2:53" x14ac:dyDescent="0.2">
      <c r="E72" s="95">
        <v>7</v>
      </c>
      <c r="F72" s="96" t="s">
        <v>156</v>
      </c>
      <c r="G72" s="97" t="s">
        <v>177</v>
      </c>
      <c r="AZ72" s="92">
        <f>VLOOKUP(MAX($B$8:$B72),'Часть 0'!$H$3:$I$24,2,0)</f>
        <v>6</v>
      </c>
      <c r="BA72" s="93">
        <f>VLOOKUP(MAX($B$8:$B72),'Часть 0'!$H$3:$J$24,3,0)</f>
        <v>6</v>
      </c>
    </row>
    <row r="73" spans="2:53" ht="5.0999999999999996" customHeight="1" thickBot="1" x14ac:dyDescent="0.25">
      <c r="G73" s="100"/>
      <c r="H73" s="101"/>
      <c r="AZ73" s="92">
        <f>VLOOKUP(MAX($B$8:$B73),'Часть 0'!$H$3:$I$24,2,0)</f>
        <v>6</v>
      </c>
      <c r="BA73" s="93">
        <f>VLOOKUP(MAX($B$8:$B73),'Часть 0'!$H$3:$J$24,3,0)</f>
        <v>6</v>
      </c>
    </row>
    <row r="74" spans="2:53" ht="12" thickBot="1" x14ac:dyDescent="0.25">
      <c r="C74" s="102">
        <v>6</v>
      </c>
      <c r="D74" s="87" t="s">
        <v>220</v>
      </c>
      <c r="E74" s="87"/>
      <c r="F74" s="87"/>
      <c r="G74" s="87"/>
      <c r="H74" s="87"/>
      <c r="I74" s="109">
        <v>6</v>
      </c>
      <c r="AZ74" s="92">
        <f>VLOOKUP(MAX($B$8:$B74),'Часть 0'!$H$3:$I$24,2,0)</f>
        <v>6</v>
      </c>
      <c r="BA74" s="93">
        <f>VLOOKUP(MAX($B$8:$B74),'Часть 0'!$H$3:$J$24,3,0)</f>
        <v>6</v>
      </c>
    </row>
    <row r="75" spans="2:53" x14ac:dyDescent="0.2">
      <c r="G75" s="84"/>
      <c r="H75" s="80"/>
      <c r="AZ75" s="92">
        <f>VLOOKUP(MAX($B$8:$B75),'Часть 0'!$H$3:$I$24,2,0)</f>
        <v>6</v>
      </c>
      <c r="BA75" s="93">
        <f>VLOOKUP(MAX($B$8:$B75),'Часть 0'!$H$3:$J$24,3,0)</f>
        <v>6</v>
      </c>
    </row>
    <row r="76" spans="2:53" s="87" customFormat="1" x14ac:dyDescent="0.2">
      <c r="B76" s="87">
        <v>7</v>
      </c>
      <c r="C76" s="87" t="s">
        <v>90</v>
      </c>
      <c r="D76" s="87" t="s">
        <v>163</v>
      </c>
      <c r="E76" s="88"/>
      <c r="F76" s="89"/>
      <c r="G76" s="90"/>
      <c r="I76" s="91"/>
      <c r="AZ76" s="92">
        <f>VLOOKUP(MAX($B$8:$B76),'Часть 0'!$H$3:$I$24,2,0)</f>
        <v>4</v>
      </c>
      <c r="BA76" s="93">
        <f>VLOOKUP(MAX($B$8:$B76),'Часть 0'!$H$3:$J$24,3,0)</f>
        <v>4</v>
      </c>
    </row>
    <row r="77" spans="2:53" ht="5.0999999999999996" customHeight="1" x14ac:dyDescent="0.2">
      <c r="AZ77" s="92">
        <f>VLOOKUP(MAX($B$8:$B77),'Часть 0'!$H$3:$I$24,2,0)</f>
        <v>4</v>
      </c>
      <c r="BA77" s="93">
        <f>VLOOKUP(MAX($B$8:$B77),'Часть 0'!$H$3:$J$24,3,0)</f>
        <v>4</v>
      </c>
    </row>
    <row r="78" spans="2:53" x14ac:dyDescent="0.2">
      <c r="C78" s="99"/>
      <c r="E78" s="95">
        <v>1</v>
      </c>
      <c r="F78" s="96" t="s">
        <v>156</v>
      </c>
      <c r="G78" s="97" t="s">
        <v>137</v>
      </c>
      <c r="AZ78" s="92">
        <f>VLOOKUP(MAX($B$8:$B78),'Часть 0'!$H$3:$I$24,2,0)</f>
        <v>4</v>
      </c>
      <c r="BA78" s="93">
        <f>VLOOKUP(MAX($B$8:$B78),'Часть 0'!$H$3:$J$24,3,0)</f>
        <v>4</v>
      </c>
    </row>
    <row r="79" spans="2:53" x14ac:dyDescent="0.2">
      <c r="E79" s="95">
        <v>2</v>
      </c>
      <c r="F79" s="96" t="s">
        <v>156</v>
      </c>
      <c r="G79" s="97" t="s">
        <v>138</v>
      </c>
      <c r="AZ79" s="92">
        <f>VLOOKUP(MAX($B$8:$B79),'Часть 0'!$H$3:$I$24,2,0)</f>
        <v>4</v>
      </c>
      <c r="BA79" s="93">
        <f>VLOOKUP(MAX($B$8:$B79),'Часть 0'!$H$3:$J$24,3,0)</f>
        <v>4</v>
      </c>
    </row>
    <row r="80" spans="2:53" x14ac:dyDescent="0.2">
      <c r="E80" s="95">
        <v>3</v>
      </c>
      <c r="F80" s="96" t="s">
        <v>156</v>
      </c>
      <c r="G80" s="97" t="s">
        <v>139</v>
      </c>
      <c r="AZ80" s="92">
        <f>VLOOKUP(MAX($B$8:$B80),'Часть 0'!$H$3:$I$24,2,0)</f>
        <v>4</v>
      </c>
      <c r="BA80" s="93">
        <f>VLOOKUP(MAX($B$8:$B80),'Часть 0'!$H$3:$J$24,3,0)</f>
        <v>4</v>
      </c>
    </row>
    <row r="81" spans="2:53" x14ac:dyDescent="0.2">
      <c r="E81" s="95">
        <v>4</v>
      </c>
      <c r="F81" s="96" t="s">
        <v>156</v>
      </c>
      <c r="G81" s="97" t="s">
        <v>136</v>
      </c>
      <c r="AZ81" s="92">
        <f>VLOOKUP(MAX($B$8:$B81),'Часть 0'!$H$3:$I$24,2,0)</f>
        <v>4</v>
      </c>
      <c r="BA81" s="93">
        <f>VLOOKUP(MAX($B$8:$B81),'Часть 0'!$H$3:$J$24,3,0)</f>
        <v>4</v>
      </c>
    </row>
    <row r="82" spans="2:53" ht="5.0999999999999996" customHeight="1" thickBot="1" x14ac:dyDescent="0.25">
      <c r="G82" s="100"/>
      <c r="H82" s="101"/>
      <c r="AZ82" s="92">
        <f>VLOOKUP(MAX($B$8:$B82),'Часть 0'!$H$3:$I$24,2,0)</f>
        <v>4</v>
      </c>
      <c r="BA82" s="93">
        <f>VLOOKUP(MAX($B$8:$B82),'Часть 0'!$H$3:$J$24,3,0)</f>
        <v>4</v>
      </c>
    </row>
    <row r="83" spans="2:53" ht="12" thickBot="1" x14ac:dyDescent="0.25">
      <c r="C83" s="102">
        <v>7</v>
      </c>
      <c r="D83" s="87" t="s">
        <v>220</v>
      </c>
      <c r="E83" s="87"/>
      <c r="F83" s="87"/>
      <c r="G83" s="87"/>
      <c r="H83" s="87"/>
      <c r="I83" s="109">
        <v>4</v>
      </c>
      <c r="AZ83" s="92">
        <f>VLOOKUP(MAX($B$8:$B83),'Часть 0'!$H$3:$I$24,2,0)</f>
        <v>4</v>
      </c>
      <c r="BA83" s="93">
        <f>VLOOKUP(MAX($B$8:$B83),'Часть 0'!$H$3:$J$24,3,0)</f>
        <v>4</v>
      </c>
    </row>
    <row r="84" spans="2:53" x14ac:dyDescent="0.2">
      <c r="G84" s="84"/>
      <c r="H84" s="80"/>
      <c r="AZ84" s="92">
        <f>VLOOKUP(MAX($B$8:$B84),'Часть 0'!$H$3:$I$24,2,0)</f>
        <v>4</v>
      </c>
      <c r="BA84" s="93">
        <f>VLOOKUP(MAX($B$8:$B84),'Часть 0'!$H$3:$J$24,3,0)</f>
        <v>4</v>
      </c>
    </row>
    <row r="85" spans="2:53" s="87" customFormat="1" x14ac:dyDescent="0.2">
      <c r="B85" s="87">
        <v>8</v>
      </c>
      <c r="C85" s="87" t="s">
        <v>90</v>
      </c>
      <c r="D85" s="87" t="s">
        <v>164</v>
      </c>
      <c r="E85" s="88"/>
      <c r="F85" s="89"/>
      <c r="G85" s="90"/>
      <c r="I85" s="91"/>
      <c r="AZ85" s="92">
        <f>VLOOKUP(MAX($B$8:$B85),'Часть 0'!$H$3:$I$24,2,0)</f>
        <v>4</v>
      </c>
      <c r="BA85" s="93">
        <f>VLOOKUP(MAX($B$8:$B85),'Часть 0'!$H$3:$J$24,3,0)</f>
        <v>4</v>
      </c>
    </row>
    <row r="86" spans="2:53" ht="5.0999999999999996" customHeight="1" x14ac:dyDescent="0.2">
      <c r="AZ86" s="92">
        <f>VLOOKUP(MAX($B$8:$B86),'Часть 0'!$H$3:$I$24,2,0)</f>
        <v>4</v>
      </c>
      <c r="BA86" s="93">
        <f>VLOOKUP(MAX($B$8:$B86),'Часть 0'!$H$3:$J$24,3,0)</f>
        <v>4</v>
      </c>
    </row>
    <row r="87" spans="2:53" x14ac:dyDescent="0.2">
      <c r="E87" s="95">
        <v>1</v>
      </c>
      <c r="F87" s="96" t="s">
        <v>156</v>
      </c>
      <c r="G87" s="97">
        <v>0</v>
      </c>
      <c r="AZ87" s="92">
        <f>VLOOKUP(MAX($B$8:$B87),'Часть 0'!$H$3:$I$24,2,0)</f>
        <v>4</v>
      </c>
      <c r="BA87" s="93">
        <f>VLOOKUP(MAX($B$8:$B87),'Часть 0'!$H$3:$J$24,3,0)</f>
        <v>4</v>
      </c>
    </row>
    <row r="88" spans="2:53" x14ac:dyDescent="0.2">
      <c r="E88" s="95">
        <v>2</v>
      </c>
      <c r="F88" s="96" t="s">
        <v>156</v>
      </c>
      <c r="G88" s="97">
        <v>1</v>
      </c>
      <c r="AZ88" s="92">
        <f>VLOOKUP(MAX($B$8:$B88),'Часть 0'!$H$3:$I$24,2,0)</f>
        <v>4</v>
      </c>
      <c r="BA88" s="93">
        <f>VLOOKUP(MAX($B$8:$B88),'Часть 0'!$H$3:$J$24,3,0)</f>
        <v>4</v>
      </c>
    </row>
    <row r="89" spans="2:53" x14ac:dyDescent="0.2">
      <c r="E89" s="95">
        <v>3</v>
      </c>
      <c r="F89" s="96" t="s">
        <v>156</v>
      </c>
      <c r="G89" s="97">
        <v>2</v>
      </c>
      <c r="AZ89" s="92">
        <f>VLOOKUP(MAX($B$8:$B89),'Часть 0'!$H$3:$I$24,2,0)</f>
        <v>4</v>
      </c>
      <c r="BA89" s="93">
        <f>VLOOKUP(MAX($B$8:$B89),'Часть 0'!$H$3:$J$24,3,0)</f>
        <v>4</v>
      </c>
    </row>
    <row r="90" spans="2:53" x14ac:dyDescent="0.2">
      <c r="E90" s="95">
        <v>4</v>
      </c>
      <c r="F90" s="96" t="s">
        <v>156</v>
      </c>
      <c r="G90" s="97">
        <v>3</v>
      </c>
      <c r="AZ90" s="92">
        <f>VLOOKUP(MAX($B$8:$B90),'Часть 0'!$H$3:$I$24,2,0)</f>
        <v>4</v>
      </c>
      <c r="BA90" s="93">
        <f>VLOOKUP(MAX($B$8:$B90),'Часть 0'!$H$3:$J$24,3,0)</f>
        <v>4</v>
      </c>
    </row>
    <row r="91" spans="2:53" x14ac:dyDescent="0.2">
      <c r="E91" s="95">
        <v>5</v>
      </c>
      <c r="F91" s="96" t="s">
        <v>156</v>
      </c>
      <c r="G91" s="97">
        <v>4</v>
      </c>
      <c r="AZ91" s="92">
        <f>VLOOKUP(MAX($B$8:$B91),'Часть 0'!$H$3:$I$24,2,0)</f>
        <v>4</v>
      </c>
      <c r="BA91" s="93">
        <f>VLOOKUP(MAX($B$8:$B91),'Часть 0'!$H$3:$J$24,3,0)</f>
        <v>4</v>
      </c>
    </row>
    <row r="92" spans="2:53" x14ac:dyDescent="0.2">
      <c r="E92" s="95">
        <v>6</v>
      </c>
      <c r="F92" s="96" t="s">
        <v>156</v>
      </c>
      <c r="G92" s="97">
        <v>5</v>
      </c>
      <c r="AZ92" s="92">
        <f>VLOOKUP(MAX($B$8:$B92),'Часть 0'!$H$3:$I$24,2,0)</f>
        <v>4</v>
      </c>
      <c r="BA92" s="93">
        <f>VLOOKUP(MAX($B$8:$B92),'Часть 0'!$H$3:$J$24,3,0)</f>
        <v>4</v>
      </c>
    </row>
    <row r="93" spans="2:53" x14ac:dyDescent="0.2">
      <c r="E93" s="95">
        <v>7</v>
      </c>
      <c r="F93" s="96" t="s">
        <v>156</v>
      </c>
      <c r="G93" s="97">
        <v>6</v>
      </c>
      <c r="AZ93" s="92">
        <f>VLOOKUP(MAX($B$8:$B93),'Часть 0'!$H$3:$I$24,2,0)</f>
        <v>4</v>
      </c>
      <c r="BA93" s="93">
        <f>VLOOKUP(MAX($B$8:$B93),'Часть 0'!$H$3:$J$24,3,0)</f>
        <v>4</v>
      </c>
    </row>
    <row r="94" spans="2:53" x14ac:dyDescent="0.2">
      <c r="E94" s="95">
        <v>8</v>
      </c>
      <c r="F94" s="96" t="s">
        <v>156</v>
      </c>
      <c r="G94" s="97">
        <v>7</v>
      </c>
      <c r="AZ94" s="92">
        <f>VLOOKUP(MAX($B$8:$B94),'Часть 0'!$H$3:$I$24,2,0)</f>
        <v>4</v>
      </c>
      <c r="BA94" s="93">
        <f>VLOOKUP(MAX($B$8:$B94),'Часть 0'!$H$3:$J$24,3,0)</f>
        <v>4</v>
      </c>
    </row>
    <row r="95" spans="2:53" ht="5.0999999999999996" customHeight="1" thickBot="1" x14ac:dyDescent="0.25">
      <c r="G95" s="100"/>
      <c r="H95" s="101"/>
      <c r="AZ95" s="92">
        <f>VLOOKUP(MAX($B$8:$B95),'Часть 0'!$H$3:$I$24,2,0)</f>
        <v>4</v>
      </c>
      <c r="BA95" s="93">
        <f>VLOOKUP(MAX($B$8:$B95),'Часть 0'!$H$3:$J$24,3,0)</f>
        <v>4</v>
      </c>
    </row>
    <row r="96" spans="2:53" ht="12" thickBot="1" x14ac:dyDescent="0.25">
      <c r="C96" s="102">
        <v>8</v>
      </c>
      <c r="D96" s="87" t="s">
        <v>220</v>
      </c>
      <c r="E96" s="87"/>
      <c r="F96" s="87"/>
      <c r="G96" s="87"/>
      <c r="H96" s="87"/>
      <c r="I96" s="109">
        <v>4</v>
      </c>
      <c r="AZ96" s="92">
        <f>VLOOKUP(MAX($B$8:$B96),'Часть 0'!$H$3:$I$24,2,0)</f>
        <v>4</v>
      </c>
      <c r="BA96" s="93">
        <f>VLOOKUP(MAX($B$8:$B96),'Часть 0'!$H$3:$J$24,3,0)</f>
        <v>4</v>
      </c>
    </row>
    <row r="97" spans="2:53" x14ac:dyDescent="0.2">
      <c r="G97" s="84"/>
      <c r="H97" s="80"/>
      <c r="AZ97" s="92">
        <f>VLOOKUP(MAX($B$8:$B97),'Часть 0'!$H$3:$I$24,2,0)</f>
        <v>4</v>
      </c>
      <c r="BA97" s="93">
        <f>VLOOKUP(MAX($B$8:$B97),'Часть 0'!$H$3:$J$24,3,0)</f>
        <v>4</v>
      </c>
    </row>
    <row r="98" spans="2:53" s="87" customFormat="1" x14ac:dyDescent="0.2">
      <c r="B98" s="87">
        <v>9</v>
      </c>
      <c r="C98" s="87" t="s">
        <v>90</v>
      </c>
      <c r="D98" s="87" t="s">
        <v>178</v>
      </c>
      <c r="E98" s="88"/>
      <c r="F98" s="89"/>
      <c r="G98" s="90"/>
      <c r="I98" s="91"/>
      <c r="AZ98" s="92">
        <f>VLOOKUP(MAX($B$8:$B98),'Часть 0'!$H$3:$I$24,2,0)</f>
        <v>3</v>
      </c>
      <c r="BA98" s="93">
        <f>VLOOKUP(MAX($B$8:$B98),'Часть 0'!$H$3:$J$24,3,0)</f>
        <v>3</v>
      </c>
    </row>
    <row r="99" spans="2:53" ht="5.0999999999999996" customHeight="1" x14ac:dyDescent="0.2">
      <c r="AZ99" s="92">
        <f>VLOOKUP(MAX($B$8:$B99),'Часть 0'!$H$3:$I$24,2,0)</f>
        <v>3</v>
      </c>
      <c r="BA99" s="93">
        <f>VLOOKUP(MAX($B$8:$B99),'Часть 0'!$H$3:$J$24,3,0)</f>
        <v>3</v>
      </c>
    </row>
    <row r="100" spans="2:53" x14ac:dyDescent="0.2">
      <c r="E100" s="95">
        <v>1</v>
      </c>
      <c r="F100" s="96" t="s">
        <v>156</v>
      </c>
      <c r="G100" s="97" t="s">
        <v>140</v>
      </c>
      <c r="AZ100" s="92">
        <f>VLOOKUP(MAX($B$8:$B100),'Часть 0'!$H$3:$I$24,2,0)</f>
        <v>3</v>
      </c>
      <c r="BA100" s="93">
        <f>VLOOKUP(MAX($B$8:$B100),'Часть 0'!$H$3:$J$24,3,0)</f>
        <v>3</v>
      </c>
    </row>
    <row r="101" spans="2:53" x14ac:dyDescent="0.2">
      <c r="E101" s="95">
        <v>2</v>
      </c>
      <c r="F101" s="96" t="s">
        <v>156</v>
      </c>
      <c r="G101" s="97" t="s">
        <v>141</v>
      </c>
      <c r="AZ101" s="92">
        <f>VLOOKUP(MAX($B$8:$B101),'Часть 0'!$H$3:$I$24,2,0)</f>
        <v>3</v>
      </c>
      <c r="BA101" s="93">
        <f>VLOOKUP(MAX($B$8:$B101),'Часть 0'!$H$3:$J$24,3,0)</f>
        <v>3</v>
      </c>
    </row>
    <row r="102" spans="2:53" x14ac:dyDescent="0.2">
      <c r="E102" s="95">
        <v>3</v>
      </c>
      <c r="F102" s="96" t="s">
        <v>156</v>
      </c>
      <c r="G102" s="97" t="s">
        <v>142</v>
      </c>
      <c r="AZ102" s="92">
        <f>VLOOKUP(MAX($B$8:$B102),'Часть 0'!$H$3:$I$24,2,0)</f>
        <v>3</v>
      </c>
      <c r="BA102" s="93">
        <f>VLOOKUP(MAX($B$8:$B102),'Часть 0'!$H$3:$J$24,3,0)</f>
        <v>3</v>
      </c>
    </row>
    <row r="103" spans="2:53" x14ac:dyDescent="0.2">
      <c r="E103" s="95">
        <v>4</v>
      </c>
      <c r="F103" s="96" t="s">
        <v>156</v>
      </c>
      <c r="G103" s="97" t="s">
        <v>143</v>
      </c>
      <c r="AZ103" s="92">
        <f>VLOOKUP(MAX($B$8:$B103),'Часть 0'!$H$3:$I$24,2,0)</f>
        <v>3</v>
      </c>
      <c r="BA103" s="93">
        <f>VLOOKUP(MAX($B$8:$B103),'Часть 0'!$H$3:$J$24,3,0)</f>
        <v>3</v>
      </c>
    </row>
    <row r="104" spans="2:53" x14ac:dyDescent="0.2">
      <c r="E104" s="95">
        <v>5</v>
      </c>
      <c r="F104" s="96" t="s">
        <v>156</v>
      </c>
      <c r="G104" s="97" t="s">
        <v>136</v>
      </c>
      <c r="AZ104" s="92">
        <f>VLOOKUP(MAX($B$8:$B104),'Часть 0'!$H$3:$I$24,2,0)</f>
        <v>3</v>
      </c>
      <c r="BA104" s="93">
        <f>VLOOKUP(MAX($B$8:$B104),'Часть 0'!$H$3:$J$24,3,0)</f>
        <v>3</v>
      </c>
    </row>
    <row r="105" spans="2:53" ht="5.0999999999999996" customHeight="1" thickBot="1" x14ac:dyDescent="0.25">
      <c r="G105" s="100"/>
      <c r="H105" s="101"/>
      <c r="AZ105" s="92">
        <f>VLOOKUP(MAX($B$8:$B105),'Часть 0'!$H$3:$I$24,2,0)</f>
        <v>3</v>
      </c>
      <c r="BA105" s="93">
        <f>VLOOKUP(MAX($B$8:$B105),'Часть 0'!$H$3:$J$24,3,0)</f>
        <v>3</v>
      </c>
    </row>
    <row r="106" spans="2:53" ht="12" thickBot="1" x14ac:dyDescent="0.25">
      <c r="C106" s="102">
        <v>9</v>
      </c>
      <c r="D106" s="87" t="s">
        <v>220</v>
      </c>
      <c r="E106" s="87"/>
      <c r="F106" s="87"/>
      <c r="G106" s="87"/>
      <c r="H106" s="87"/>
      <c r="I106" s="109">
        <v>3</v>
      </c>
      <c r="AZ106" s="92">
        <f>VLOOKUP(MAX($B$8:$B106),'Часть 0'!$H$3:$I$24,2,0)</f>
        <v>3</v>
      </c>
      <c r="BA106" s="93">
        <f>VLOOKUP(MAX($B$8:$B106),'Часть 0'!$H$3:$J$24,3,0)</f>
        <v>3</v>
      </c>
    </row>
    <row r="107" spans="2:53" x14ac:dyDescent="0.2">
      <c r="G107" s="84"/>
      <c r="H107" s="80"/>
      <c r="AZ107" s="92">
        <f>VLOOKUP(MAX($B$8:$B107),'Часть 0'!$H$3:$I$24,2,0)</f>
        <v>3</v>
      </c>
      <c r="BA107" s="93">
        <f>VLOOKUP(MAX($B$8:$B107),'Часть 0'!$H$3:$J$24,3,0)</f>
        <v>3</v>
      </c>
    </row>
    <row r="108" spans="2:53" s="87" customFormat="1" x14ac:dyDescent="0.2">
      <c r="B108" s="87">
        <v>10</v>
      </c>
      <c r="C108" s="87" t="s">
        <v>90</v>
      </c>
      <c r="D108" s="87" t="s">
        <v>165</v>
      </c>
      <c r="E108" s="88"/>
      <c r="F108" s="89"/>
      <c r="G108" s="90"/>
      <c r="I108" s="91"/>
      <c r="AZ108" s="92">
        <f>VLOOKUP(MAX($B$8:$B108),'Часть 0'!$H$3:$I$24,2,0)</f>
        <v>3</v>
      </c>
      <c r="BA108" s="93">
        <f>VLOOKUP(MAX($B$8:$B108),'Часть 0'!$H$3:$J$24,3,0)</f>
        <v>3</v>
      </c>
    </row>
    <row r="109" spans="2:53" ht="5.0999999999999996" customHeight="1" x14ac:dyDescent="0.2">
      <c r="AZ109" s="92">
        <f>VLOOKUP(MAX($B$8:$B109),'Часть 0'!$H$3:$I$24,2,0)</f>
        <v>3</v>
      </c>
      <c r="BA109" s="93">
        <f>VLOOKUP(MAX($B$8:$B109),'Часть 0'!$H$3:$J$24,3,0)</f>
        <v>3</v>
      </c>
    </row>
    <row r="110" spans="2:53" x14ac:dyDescent="0.2">
      <c r="E110" s="95">
        <v>1</v>
      </c>
      <c r="F110" s="96" t="s">
        <v>156</v>
      </c>
      <c r="G110" s="103">
        <v>0</v>
      </c>
      <c r="AZ110" s="92">
        <f>VLOOKUP(MAX($B$8:$B110),'Часть 0'!$H$3:$I$24,2,0)</f>
        <v>3</v>
      </c>
      <c r="BA110" s="93">
        <f>VLOOKUP(MAX($B$8:$B110),'Часть 0'!$H$3:$J$24,3,0)</f>
        <v>3</v>
      </c>
    </row>
    <row r="111" spans="2:53" x14ac:dyDescent="0.2">
      <c r="E111" s="95">
        <v>2</v>
      </c>
      <c r="F111" s="96" t="s">
        <v>156</v>
      </c>
      <c r="G111" s="103">
        <v>0.9</v>
      </c>
      <c r="AZ111" s="92">
        <f>VLOOKUP(MAX($B$8:$B111),'Часть 0'!$H$3:$I$24,2,0)</f>
        <v>3</v>
      </c>
      <c r="BA111" s="93">
        <f>VLOOKUP(MAX($B$8:$B111),'Часть 0'!$H$3:$J$24,3,0)</f>
        <v>3</v>
      </c>
    </row>
    <row r="112" spans="2:53" x14ac:dyDescent="0.2">
      <c r="E112" s="95">
        <v>3</v>
      </c>
      <c r="F112" s="96" t="s">
        <v>156</v>
      </c>
      <c r="G112" s="103">
        <v>0.99</v>
      </c>
      <c r="AZ112" s="92">
        <f>VLOOKUP(MAX($B$8:$B112),'Часть 0'!$H$3:$I$24,2,0)</f>
        <v>3</v>
      </c>
      <c r="BA112" s="93">
        <f>VLOOKUP(MAX($B$8:$B112),'Часть 0'!$H$3:$J$24,3,0)</f>
        <v>3</v>
      </c>
    </row>
    <row r="113" spans="2:53" x14ac:dyDescent="0.2">
      <c r="E113" s="95">
        <v>4</v>
      </c>
      <c r="F113" s="96" t="s">
        <v>156</v>
      </c>
      <c r="G113" s="103">
        <v>1</v>
      </c>
      <c r="AZ113" s="92">
        <f>VLOOKUP(MAX($B$8:$B113),'Часть 0'!$H$3:$I$24,2,0)</f>
        <v>3</v>
      </c>
      <c r="BA113" s="93">
        <f>VLOOKUP(MAX($B$8:$B113),'Часть 0'!$H$3:$J$24,3,0)</f>
        <v>3</v>
      </c>
    </row>
    <row r="114" spans="2:53" x14ac:dyDescent="0.2">
      <c r="E114" s="95">
        <v>5</v>
      </c>
      <c r="F114" s="96" t="s">
        <v>156</v>
      </c>
      <c r="G114" s="103">
        <v>1.01</v>
      </c>
      <c r="AZ114" s="92">
        <f>VLOOKUP(MAX($B$8:$B114),'Часть 0'!$H$3:$I$24,2,0)</f>
        <v>3</v>
      </c>
      <c r="BA114" s="93">
        <f>VLOOKUP(MAX($B$8:$B114),'Часть 0'!$H$3:$J$24,3,0)</f>
        <v>3</v>
      </c>
    </row>
    <row r="115" spans="2:53" x14ac:dyDescent="0.2">
      <c r="E115" s="95">
        <v>6</v>
      </c>
      <c r="F115" s="96" t="s">
        <v>156</v>
      </c>
      <c r="G115" s="103">
        <v>1.0900000000000001</v>
      </c>
      <c r="AZ115" s="92">
        <f>VLOOKUP(MAX($B$8:$B115),'Часть 0'!$H$3:$I$24,2,0)</f>
        <v>3</v>
      </c>
      <c r="BA115" s="93">
        <f>VLOOKUP(MAX($B$8:$B115),'Часть 0'!$H$3:$J$24,3,0)</f>
        <v>3</v>
      </c>
    </row>
    <row r="116" spans="2:53" x14ac:dyDescent="0.2">
      <c r="E116" s="95">
        <v>7</v>
      </c>
      <c r="F116" s="96" t="s">
        <v>156</v>
      </c>
      <c r="G116" s="103">
        <v>1.1000000000000001</v>
      </c>
      <c r="AZ116" s="92">
        <f>VLOOKUP(MAX($B$8:$B116),'Часть 0'!$H$3:$I$24,2,0)</f>
        <v>3</v>
      </c>
      <c r="BA116" s="93">
        <f>VLOOKUP(MAX($B$8:$B116),'Часть 0'!$H$3:$J$24,3,0)</f>
        <v>3</v>
      </c>
    </row>
    <row r="117" spans="2:53" x14ac:dyDescent="0.2">
      <c r="E117" s="95">
        <v>8</v>
      </c>
      <c r="F117" s="96" t="s">
        <v>156</v>
      </c>
      <c r="G117" s="103">
        <v>1.1100000000000001</v>
      </c>
      <c r="AZ117" s="92">
        <f>VLOOKUP(MAX($B$8:$B117),'Часть 0'!$H$3:$I$24,2,0)</f>
        <v>3</v>
      </c>
      <c r="BA117" s="93">
        <f>VLOOKUP(MAX($B$8:$B117),'Часть 0'!$H$3:$J$24,3,0)</f>
        <v>3</v>
      </c>
    </row>
    <row r="118" spans="2:53" x14ac:dyDescent="0.2">
      <c r="E118" s="95">
        <v>9</v>
      </c>
      <c r="F118" s="96" t="s">
        <v>156</v>
      </c>
      <c r="G118" s="97" t="s">
        <v>136</v>
      </c>
      <c r="AZ118" s="92">
        <f>VLOOKUP(MAX($B$8:$B118),'Часть 0'!$H$3:$I$24,2,0)</f>
        <v>3</v>
      </c>
      <c r="BA118" s="93">
        <f>VLOOKUP(MAX($B$8:$B118),'Часть 0'!$H$3:$J$24,3,0)</f>
        <v>3</v>
      </c>
    </row>
    <row r="119" spans="2:53" ht="5.0999999999999996" customHeight="1" thickBot="1" x14ac:dyDescent="0.25">
      <c r="G119" s="100"/>
      <c r="H119" s="101"/>
      <c r="AZ119" s="92">
        <f>VLOOKUP(MAX($B$8:$B119),'Часть 0'!$H$3:$I$24,2,0)</f>
        <v>3</v>
      </c>
      <c r="BA119" s="93">
        <f>VLOOKUP(MAX($B$8:$B119),'Часть 0'!$H$3:$J$24,3,0)</f>
        <v>3</v>
      </c>
    </row>
    <row r="120" spans="2:53" ht="12" thickBot="1" x14ac:dyDescent="0.25">
      <c r="C120" s="102">
        <v>10</v>
      </c>
      <c r="D120" s="87" t="s">
        <v>220</v>
      </c>
      <c r="E120" s="87"/>
      <c r="F120" s="87"/>
      <c r="G120" s="87"/>
      <c r="H120" s="87"/>
      <c r="I120" s="109">
        <v>3</v>
      </c>
      <c r="AZ120" s="92">
        <f>VLOOKUP(MAX($B$8:$B120),'Часть 0'!$H$3:$I$24,2,0)</f>
        <v>3</v>
      </c>
      <c r="BA120" s="93">
        <f>VLOOKUP(MAX($B$8:$B120),'Часть 0'!$H$3:$J$24,3,0)</f>
        <v>3</v>
      </c>
    </row>
    <row r="121" spans="2:53" x14ac:dyDescent="0.2">
      <c r="G121" s="84"/>
      <c r="H121" s="80"/>
      <c r="AZ121" s="92">
        <f>VLOOKUP(MAX($B$8:$B121),'Часть 0'!$H$3:$I$24,2,0)</f>
        <v>3</v>
      </c>
      <c r="BA121" s="93">
        <f>VLOOKUP(MAX($B$8:$B121),'Часть 0'!$H$3:$J$24,3,0)</f>
        <v>3</v>
      </c>
    </row>
    <row r="122" spans="2:53" s="87" customFormat="1" x14ac:dyDescent="0.2">
      <c r="B122" s="87">
        <v>11</v>
      </c>
      <c r="C122" s="87" t="s">
        <v>90</v>
      </c>
      <c r="D122" s="87" t="s">
        <v>166</v>
      </c>
      <c r="E122" s="88"/>
      <c r="F122" s="89"/>
      <c r="G122" s="90"/>
      <c r="I122" s="91"/>
      <c r="AZ122" s="92">
        <f>VLOOKUP(MAX($B$8:$B122),'Часть 0'!$H$3:$I$24,2,0)</f>
        <v>7</v>
      </c>
      <c r="BA122" s="93">
        <f>VLOOKUP(MAX($B$8:$B122),'Часть 0'!$H$3:$J$24,3,0)</f>
        <v>7</v>
      </c>
    </row>
    <row r="123" spans="2:53" ht="5.0999999999999996" customHeight="1" x14ac:dyDescent="0.2">
      <c r="AZ123" s="92">
        <f>VLOOKUP(MAX($B$8:$B123),'Часть 0'!$H$3:$I$24,2,0)</f>
        <v>7</v>
      </c>
      <c r="BA123" s="93">
        <f>VLOOKUP(MAX($B$8:$B123),'Часть 0'!$H$3:$J$24,3,0)</f>
        <v>7</v>
      </c>
    </row>
    <row r="124" spans="2:53" x14ac:dyDescent="0.2">
      <c r="E124" s="95">
        <v>1</v>
      </c>
      <c r="F124" s="96" t="s">
        <v>156</v>
      </c>
      <c r="G124" s="97">
        <v>1</v>
      </c>
      <c r="AZ124" s="92">
        <f>VLOOKUP(MAX($B$8:$B124),'Часть 0'!$H$3:$I$24,2,0)</f>
        <v>7</v>
      </c>
      <c r="BA124" s="93">
        <f>VLOOKUP(MAX($B$8:$B124),'Часть 0'!$H$3:$J$24,3,0)</f>
        <v>7</v>
      </c>
    </row>
    <row r="125" spans="2:53" x14ac:dyDescent="0.2">
      <c r="E125" s="95">
        <v>2</v>
      </c>
      <c r="F125" s="96" t="s">
        <v>156</v>
      </c>
      <c r="G125" s="97">
        <v>4</v>
      </c>
      <c r="AZ125" s="92">
        <f>VLOOKUP(MAX($B$8:$B125),'Часть 0'!$H$3:$I$24,2,0)</f>
        <v>7</v>
      </c>
      <c r="BA125" s="93">
        <f>VLOOKUP(MAX($B$8:$B125),'Часть 0'!$H$3:$J$24,3,0)</f>
        <v>7</v>
      </c>
    </row>
    <row r="126" spans="2:53" x14ac:dyDescent="0.2">
      <c r="E126" s="95">
        <v>3</v>
      </c>
      <c r="F126" s="96" t="s">
        <v>156</v>
      </c>
      <c r="G126" s="97">
        <v>5</v>
      </c>
      <c r="AZ126" s="92">
        <f>VLOOKUP(MAX($B$8:$B126),'Часть 0'!$H$3:$I$24,2,0)</f>
        <v>7</v>
      </c>
      <c r="BA126" s="93">
        <f>VLOOKUP(MAX($B$8:$B126),'Часть 0'!$H$3:$J$24,3,0)</f>
        <v>7</v>
      </c>
    </row>
    <row r="127" spans="2:53" x14ac:dyDescent="0.2">
      <c r="E127" s="95">
        <v>4</v>
      </c>
      <c r="F127" s="96" t="s">
        <v>156</v>
      </c>
      <c r="G127" s="97">
        <v>6</v>
      </c>
      <c r="AZ127" s="92">
        <f>VLOOKUP(MAX($B$8:$B127),'Часть 0'!$H$3:$I$24,2,0)</f>
        <v>7</v>
      </c>
      <c r="BA127" s="93">
        <f>VLOOKUP(MAX($B$8:$B127),'Часть 0'!$H$3:$J$24,3,0)</f>
        <v>7</v>
      </c>
    </row>
    <row r="128" spans="2:53" x14ac:dyDescent="0.2">
      <c r="E128" s="95">
        <v>5</v>
      </c>
      <c r="F128" s="96" t="s">
        <v>156</v>
      </c>
      <c r="G128" s="97">
        <v>10</v>
      </c>
      <c r="AZ128" s="92">
        <f>VLOOKUP(MAX($B$8:$B128),'Часть 0'!$H$3:$I$24,2,0)</f>
        <v>7</v>
      </c>
      <c r="BA128" s="93">
        <f>VLOOKUP(MAX($B$8:$B128),'Часть 0'!$H$3:$J$24,3,0)</f>
        <v>7</v>
      </c>
    </row>
    <row r="129" spans="2:53" x14ac:dyDescent="0.2">
      <c r="E129" s="95">
        <v>6</v>
      </c>
      <c r="F129" s="96" t="s">
        <v>156</v>
      </c>
      <c r="G129" s="97">
        <v>14</v>
      </c>
      <c r="AZ129" s="92">
        <f>VLOOKUP(MAX($B$8:$B129),'Часть 0'!$H$3:$I$24,2,0)</f>
        <v>7</v>
      </c>
      <c r="BA129" s="93">
        <f>VLOOKUP(MAX($B$8:$B129),'Часть 0'!$H$3:$J$24,3,0)</f>
        <v>7</v>
      </c>
    </row>
    <row r="130" spans="2:53" x14ac:dyDescent="0.2">
      <c r="E130" s="95">
        <v>7</v>
      </c>
      <c r="F130" s="96" t="s">
        <v>156</v>
      </c>
      <c r="G130" s="97">
        <v>15</v>
      </c>
      <c r="AZ130" s="92">
        <f>VLOOKUP(MAX($B$8:$B130),'Часть 0'!$H$3:$I$24,2,0)</f>
        <v>7</v>
      </c>
      <c r="BA130" s="93">
        <f>VLOOKUP(MAX($B$8:$B130),'Часть 0'!$H$3:$J$24,3,0)</f>
        <v>7</v>
      </c>
    </row>
    <row r="131" spans="2:53" x14ac:dyDescent="0.2">
      <c r="E131" s="95">
        <v>8</v>
      </c>
      <c r="F131" s="96" t="s">
        <v>156</v>
      </c>
      <c r="G131" s="97" t="s">
        <v>136</v>
      </c>
      <c r="AZ131" s="92">
        <f>VLOOKUP(MAX($B$8:$B131),'Часть 0'!$H$3:$I$24,2,0)</f>
        <v>7</v>
      </c>
      <c r="BA131" s="93">
        <f>VLOOKUP(MAX($B$8:$B131),'Часть 0'!$H$3:$J$24,3,0)</f>
        <v>7</v>
      </c>
    </row>
    <row r="132" spans="2:53" ht="5.0999999999999996" customHeight="1" thickBot="1" x14ac:dyDescent="0.25">
      <c r="G132" s="100"/>
      <c r="H132" s="101"/>
      <c r="AZ132" s="92">
        <f>VLOOKUP(MAX($B$8:$B132),'Часть 0'!$H$3:$I$24,2,0)</f>
        <v>7</v>
      </c>
      <c r="BA132" s="93">
        <f>VLOOKUP(MAX($B$8:$B132),'Часть 0'!$H$3:$J$24,3,0)</f>
        <v>7</v>
      </c>
    </row>
    <row r="133" spans="2:53" ht="12" thickBot="1" x14ac:dyDescent="0.25">
      <c r="C133" s="102">
        <v>11</v>
      </c>
      <c r="D133" s="87" t="s">
        <v>220</v>
      </c>
      <c r="E133" s="87"/>
      <c r="F133" s="87"/>
      <c r="G133" s="87"/>
      <c r="H133" s="87"/>
      <c r="I133" s="109">
        <v>7</v>
      </c>
      <c r="AZ133" s="92">
        <f>VLOOKUP(MAX($B$8:$B133),'Часть 0'!$H$3:$I$24,2,0)</f>
        <v>7</v>
      </c>
      <c r="BA133" s="93">
        <f>VLOOKUP(MAX($B$8:$B133),'Часть 0'!$H$3:$J$24,3,0)</f>
        <v>7</v>
      </c>
    </row>
    <row r="134" spans="2:53" x14ac:dyDescent="0.2">
      <c r="G134" s="84"/>
      <c r="H134" s="80"/>
      <c r="AZ134" s="92">
        <f>VLOOKUP(MAX($B$8:$B134),'Часть 0'!$H$3:$I$24,2,0)</f>
        <v>7</v>
      </c>
      <c r="BA134" s="93">
        <f>VLOOKUP(MAX($B$8:$B134),'Часть 0'!$H$3:$J$24,3,0)</f>
        <v>7</v>
      </c>
    </row>
    <row r="135" spans="2:53" s="87" customFormat="1" x14ac:dyDescent="0.2">
      <c r="B135" s="87">
        <v>12</v>
      </c>
      <c r="C135" s="87" t="s">
        <v>90</v>
      </c>
      <c r="D135" s="87" t="s">
        <v>179</v>
      </c>
      <c r="E135" s="88"/>
      <c r="F135" s="89"/>
      <c r="G135" s="90"/>
      <c r="I135" s="91"/>
      <c r="AZ135" s="92">
        <f>VLOOKUP(MAX($B$8:$B135),'Часть 0'!$H$3:$I$24,2,0)</f>
        <v>5</v>
      </c>
      <c r="BA135" s="93">
        <f>VLOOKUP(MAX($B$8:$B135),'Часть 0'!$H$3:$J$24,3,0)</f>
        <v>5</v>
      </c>
    </row>
    <row r="136" spans="2:53" ht="5.0999999999999996" customHeight="1" x14ac:dyDescent="0.2">
      <c r="AZ136" s="92">
        <f>VLOOKUP(MAX($B$8:$B136),'Часть 0'!$H$3:$I$24,2,0)</f>
        <v>5</v>
      </c>
      <c r="BA136" s="93">
        <f>VLOOKUP(MAX($B$8:$B136),'Часть 0'!$H$3:$J$24,3,0)</f>
        <v>5</v>
      </c>
    </row>
    <row r="137" spans="2:53" x14ac:dyDescent="0.2">
      <c r="E137" s="95">
        <v>1</v>
      </c>
      <c r="F137" s="96" t="s">
        <v>156</v>
      </c>
      <c r="G137" s="97">
        <v>5</v>
      </c>
      <c r="AZ137" s="92">
        <f>VLOOKUP(MAX($B$8:$B137),'Часть 0'!$H$3:$I$24,2,0)</f>
        <v>5</v>
      </c>
      <c r="BA137" s="93">
        <f>VLOOKUP(MAX($B$8:$B137),'Часть 0'!$H$3:$J$24,3,0)</f>
        <v>5</v>
      </c>
    </row>
    <row r="138" spans="2:53" x14ac:dyDescent="0.2">
      <c r="E138" s="95">
        <v>2</v>
      </c>
      <c r="F138" s="96" t="s">
        <v>156</v>
      </c>
      <c r="G138" s="97">
        <v>10</v>
      </c>
      <c r="AZ138" s="92">
        <f>VLOOKUP(MAX($B$8:$B138),'Часть 0'!$H$3:$I$24,2,0)</f>
        <v>5</v>
      </c>
      <c r="BA138" s="93">
        <f>VLOOKUP(MAX($B$8:$B138),'Часть 0'!$H$3:$J$24,3,0)</f>
        <v>5</v>
      </c>
    </row>
    <row r="139" spans="2:53" x14ac:dyDescent="0.2">
      <c r="E139" s="95">
        <v>3</v>
      </c>
      <c r="F139" s="96" t="s">
        <v>156</v>
      </c>
      <c r="G139" s="97">
        <v>15</v>
      </c>
      <c r="AZ139" s="92">
        <f>VLOOKUP(MAX($B$8:$B139),'Часть 0'!$H$3:$I$24,2,0)</f>
        <v>5</v>
      </c>
      <c r="BA139" s="93">
        <f>VLOOKUP(MAX($B$8:$B139),'Часть 0'!$H$3:$J$24,3,0)</f>
        <v>5</v>
      </c>
    </row>
    <row r="140" spans="2:53" x14ac:dyDescent="0.2">
      <c r="E140" s="95">
        <v>4</v>
      </c>
      <c r="F140" s="96" t="s">
        <v>156</v>
      </c>
      <c r="G140" s="97">
        <v>20</v>
      </c>
      <c r="AZ140" s="92">
        <f>VLOOKUP(MAX($B$8:$B140),'Часть 0'!$H$3:$I$24,2,0)</f>
        <v>5</v>
      </c>
      <c r="BA140" s="93">
        <f>VLOOKUP(MAX($B$8:$B140),'Часть 0'!$H$3:$J$24,3,0)</f>
        <v>5</v>
      </c>
    </row>
    <row r="141" spans="2:53" x14ac:dyDescent="0.2">
      <c r="E141" s="95">
        <v>5</v>
      </c>
      <c r="F141" s="96" t="s">
        <v>156</v>
      </c>
      <c r="G141" s="97">
        <v>25</v>
      </c>
      <c r="AZ141" s="92">
        <f>VLOOKUP(MAX($B$8:$B141),'Часть 0'!$H$3:$I$24,2,0)</f>
        <v>5</v>
      </c>
      <c r="BA141" s="93">
        <f>VLOOKUP(MAX($B$8:$B141),'Часть 0'!$H$3:$J$24,3,0)</f>
        <v>5</v>
      </c>
    </row>
    <row r="142" spans="2:53" x14ac:dyDescent="0.2">
      <c r="E142" s="95">
        <v>6</v>
      </c>
      <c r="F142" s="96" t="s">
        <v>156</v>
      </c>
      <c r="G142" s="97">
        <v>50</v>
      </c>
      <c r="AZ142" s="92">
        <f>VLOOKUP(MAX($B$8:$B142),'Часть 0'!$H$3:$I$24,2,0)</f>
        <v>5</v>
      </c>
      <c r="BA142" s="93">
        <f>VLOOKUP(MAX($B$8:$B142),'Часть 0'!$H$3:$J$24,3,0)</f>
        <v>5</v>
      </c>
    </row>
    <row r="143" spans="2:53" x14ac:dyDescent="0.2">
      <c r="E143" s="95">
        <v>7</v>
      </c>
      <c r="F143" s="96" t="s">
        <v>156</v>
      </c>
      <c r="G143" s="97" t="s">
        <v>136</v>
      </c>
      <c r="AZ143" s="92">
        <f>VLOOKUP(MAX($B$8:$B143),'Часть 0'!$H$3:$I$24,2,0)</f>
        <v>5</v>
      </c>
      <c r="BA143" s="93">
        <f>VLOOKUP(MAX($B$8:$B143),'Часть 0'!$H$3:$J$24,3,0)</f>
        <v>5</v>
      </c>
    </row>
    <row r="144" spans="2:53" ht="5.0999999999999996" customHeight="1" thickBot="1" x14ac:dyDescent="0.25">
      <c r="G144" s="100"/>
      <c r="H144" s="101"/>
      <c r="AZ144" s="92">
        <f>VLOOKUP(MAX($B$8:$B144),'Часть 0'!$H$3:$I$24,2,0)</f>
        <v>5</v>
      </c>
      <c r="BA144" s="93">
        <f>VLOOKUP(MAX($B$8:$B144),'Часть 0'!$H$3:$J$24,3,0)</f>
        <v>5</v>
      </c>
    </row>
    <row r="145" spans="2:53" ht="12" thickBot="1" x14ac:dyDescent="0.25">
      <c r="C145" s="102">
        <v>12</v>
      </c>
      <c r="D145" s="87" t="s">
        <v>220</v>
      </c>
      <c r="E145" s="87"/>
      <c r="F145" s="87"/>
      <c r="G145" s="87"/>
      <c r="H145" s="87"/>
      <c r="I145" s="109">
        <v>5</v>
      </c>
      <c r="AZ145" s="92">
        <f>VLOOKUP(MAX($B$8:$B145),'Часть 0'!$H$3:$I$24,2,0)</f>
        <v>5</v>
      </c>
      <c r="BA145" s="93">
        <f>VLOOKUP(MAX($B$8:$B145),'Часть 0'!$H$3:$J$24,3,0)</f>
        <v>5</v>
      </c>
    </row>
    <row r="146" spans="2:53" x14ac:dyDescent="0.2">
      <c r="G146" s="84"/>
      <c r="H146" s="80"/>
      <c r="AZ146" s="92">
        <f>VLOOKUP(MAX($B$8:$B146),'Часть 0'!$H$3:$I$24,2,0)</f>
        <v>5</v>
      </c>
      <c r="BA146" s="93">
        <f>VLOOKUP(MAX($B$8:$B146),'Часть 0'!$H$3:$J$24,3,0)</f>
        <v>5</v>
      </c>
    </row>
    <row r="147" spans="2:53" s="87" customFormat="1" x14ac:dyDescent="0.2">
      <c r="B147" s="87">
        <v>13</v>
      </c>
      <c r="C147" s="87" t="s">
        <v>90</v>
      </c>
      <c r="D147" s="87" t="s">
        <v>167</v>
      </c>
      <c r="E147" s="88"/>
      <c r="F147" s="89"/>
      <c r="G147" s="90"/>
      <c r="I147" s="91"/>
      <c r="AZ147" s="92">
        <f>VLOOKUP(MAX($B$8:$B147),'Часть 0'!$H$3:$I$24,2,0)</f>
        <v>2</v>
      </c>
      <c r="BA147" s="93">
        <f>VLOOKUP(MAX($B$8:$B147),'Часть 0'!$H$3:$J$24,3,0)</f>
        <v>2</v>
      </c>
    </row>
    <row r="148" spans="2:53" ht="5.0999999999999996" customHeight="1" x14ac:dyDescent="0.2">
      <c r="AZ148" s="92">
        <f>VLOOKUP(MAX($B$8:$B148),'Часть 0'!$H$3:$I$24,2,0)</f>
        <v>2</v>
      </c>
      <c r="BA148" s="93">
        <f>VLOOKUP(MAX($B$8:$B148),'Часть 0'!$H$3:$J$24,3,0)</f>
        <v>2</v>
      </c>
    </row>
    <row r="149" spans="2:53" x14ac:dyDescent="0.2">
      <c r="E149" s="95">
        <v>1</v>
      </c>
      <c r="F149" s="96" t="s">
        <v>156</v>
      </c>
      <c r="G149" s="97" t="s">
        <v>122</v>
      </c>
      <c r="AZ149" s="92">
        <f>VLOOKUP(MAX($B$8:$B149),'Часть 0'!$H$3:$I$24,2,0)</f>
        <v>2</v>
      </c>
      <c r="BA149" s="93">
        <f>VLOOKUP(MAX($B$8:$B149),'Часть 0'!$H$3:$J$24,3,0)</f>
        <v>2</v>
      </c>
    </row>
    <row r="150" spans="2:53" x14ac:dyDescent="0.2">
      <c r="E150" s="95">
        <v>2</v>
      </c>
      <c r="F150" s="96" t="s">
        <v>156</v>
      </c>
      <c r="G150" s="97" t="s">
        <v>121</v>
      </c>
      <c r="AZ150" s="92">
        <f>VLOOKUP(MAX($B$8:$B150),'Часть 0'!$H$3:$I$24,2,0)</f>
        <v>2</v>
      </c>
      <c r="BA150" s="93">
        <f>VLOOKUP(MAX($B$8:$B150),'Часть 0'!$H$3:$J$24,3,0)</f>
        <v>2</v>
      </c>
    </row>
    <row r="151" spans="2:53" x14ac:dyDescent="0.2">
      <c r="E151" s="95">
        <v>3</v>
      </c>
      <c r="F151" s="96" t="s">
        <v>156</v>
      </c>
      <c r="G151" s="97" t="s">
        <v>127</v>
      </c>
      <c r="AZ151" s="92">
        <f>VLOOKUP(MAX($B$8:$B151),'Часть 0'!$H$3:$I$24,2,0)</f>
        <v>2</v>
      </c>
      <c r="BA151" s="93">
        <f>VLOOKUP(MAX($B$8:$B151),'Часть 0'!$H$3:$J$24,3,0)</f>
        <v>2</v>
      </c>
    </row>
    <row r="152" spans="2:53" ht="5.0999999999999996" customHeight="1" thickBot="1" x14ac:dyDescent="0.25">
      <c r="G152" s="100"/>
      <c r="H152" s="101"/>
      <c r="AZ152" s="92">
        <f>VLOOKUP(MAX($B$8:$B152),'Часть 0'!$H$3:$I$24,2,0)</f>
        <v>2</v>
      </c>
      <c r="BA152" s="93">
        <f>VLOOKUP(MAX($B$8:$B152),'Часть 0'!$H$3:$J$24,3,0)</f>
        <v>2</v>
      </c>
    </row>
    <row r="153" spans="2:53" ht="12" thickBot="1" x14ac:dyDescent="0.25">
      <c r="C153" s="102">
        <v>13</v>
      </c>
      <c r="D153" s="87" t="s">
        <v>220</v>
      </c>
      <c r="E153" s="87"/>
      <c r="F153" s="87"/>
      <c r="G153" s="87"/>
      <c r="H153" s="87"/>
      <c r="I153" s="109">
        <v>2</v>
      </c>
      <c r="AZ153" s="92">
        <f>VLOOKUP(MAX($B$8:$B153),'Часть 0'!$H$3:$I$24,2,0)</f>
        <v>2</v>
      </c>
      <c r="BA153" s="93">
        <f>VLOOKUP(MAX($B$8:$B153),'Часть 0'!$H$3:$J$24,3,0)</f>
        <v>2</v>
      </c>
    </row>
    <row r="154" spans="2:53" x14ac:dyDescent="0.2">
      <c r="G154" s="84"/>
      <c r="H154" s="80"/>
      <c r="AZ154" s="92">
        <f>VLOOKUP(MAX($B$8:$B154),'Часть 0'!$H$3:$I$24,2,0)</f>
        <v>2</v>
      </c>
      <c r="BA154" s="93">
        <f>VLOOKUP(MAX($B$8:$B154),'Часть 0'!$H$3:$J$24,3,0)</f>
        <v>2</v>
      </c>
    </row>
    <row r="155" spans="2:53" s="87" customFormat="1" x14ac:dyDescent="0.2">
      <c r="B155" s="87">
        <v>14</v>
      </c>
      <c r="C155" s="87" t="s">
        <v>90</v>
      </c>
      <c r="D155" s="87" t="s">
        <v>168</v>
      </c>
      <c r="E155" s="88"/>
      <c r="F155" s="89"/>
      <c r="G155" s="90"/>
      <c r="I155" s="91"/>
      <c r="AZ155" s="92">
        <f>VLOOKUP(MAX($B$8:$B155),'Часть 0'!$H$3:$I$24,2,0)</f>
        <v>1</v>
      </c>
      <c r="BA155" s="93">
        <f>VLOOKUP(MAX($B$8:$B155),'Часть 0'!$H$3:$J$24,3,0)</f>
        <v>1</v>
      </c>
    </row>
    <row r="156" spans="2:53" ht="5.0999999999999996" customHeight="1" x14ac:dyDescent="0.2">
      <c r="AZ156" s="92">
        <f>VLOOKUP(MAX($B$8:$B156),'Часть 0'!$H$3:$I$24,2,0)</f>
        <v>1</v>
      </c>
      <c r="BA156" s="93">
        <f>VLOOKUP(MAX($B$8:$B156),'Часть 0'!$H$3:$J$24,3,0)</f>
        <v>1</v>
      </c>
    </row>
    <row r="157" spans="2:53" x14ac:dyDescent="0.2">
      <c r="E157" s="95">
        <v>1</v>
      </c>
      <c r="F157" s="96" t="s">
        <v>156</v>
      </c>
      <c r="G157" s="97" t="s">
        <v>144</v>
      </c>
      <c r="AZ157" s="92">
        <f>VLOOKUP(MAX($B$8:$B157),'Часть 0'!$H$3:$I$24,2,0)</f>
        <v>1</v>
      </c>
      <c r="BA157" s="93">
        <f>VLOOKUP(MAX($B$8:$B157),'Часть 0'!$H$3:$J$24,3,0)</f>
        <v>1</v>
      </c>
    </row>
    <row r="158" spans="2:53" x14ac:dyDescent="0.2">
      <c r="E158" s="95">
        <v>2</v>
      </c>
      <c r="F158" s="96" t="s">
        <v>156</v>
      </c>
      <c r="G158" s="97" t="s">
        <v>145</v>
      </c>
      <c r="AZ158" s="92">
        <f>VLOOKUP(MAX($B$8:$B158),'Часть 0'!$H$3:$I$24,2,0)</f>
        <v>1</v>
      </c>
      <c r="BA158" s="93">
        <f>VLOOKUP(MAX($B$8:$B158),'Часть 0'!$H$3:$J$24,3,0)</f>
        <v>1</v>
      </c>
    </row>
    <row r="159" spans="2:53" x14ac:dyDescent="0.2">
      <c r="E159" s="95">
        <v>3</v>
      </c>
      <c r="F159" s="96" t="s">
        <v>156</v>
      </c>
      <c r="G159" s="97" t="s">
        <v>146</v>
      </c>
      <c r="AZ159" s="92">
        <f>VLOOKUP(MAX($B$8:$B159),'Часть 0'!$H$3:$I$24,2,0)</f>
        <v>1</v>
      </c>
      <c r="BA159" s="93">
        <f>VLOOKUP(MAX($B$8:$B159),'Часть 0'!$H$3:$J$24,3,0)</f>
        <v>1</v>
      </c>
    </row>
    <row r="160" spans="2:53" x14ac:dyDescent="0.2">
      <c r="E160" s="95">
        <v>4</v>
      </c>
      <c r="F160" s="96" t="s">
        <v>156</v>
      </c>
      <c r="G160" s="97" t="s">
        <v>147</v>
      </c>
      <c r="AZ160" s="92">
        <f>VLOOKUP(MAX($B$8:$B160),'Часть 0'!$H$3:$I$24,2,0)</f>
        <v>1</v>
      </c>
      <c r="BA160" s="93">
        <f>VLOOKUP(MAX($B$8:$B160),'Часть 0'!$H$3:$J$24,3,0)</f>
        <v>1</v>
      </c>
    </row>
    <row r="161" spans="2:53" x14ac:dyDescent="0.2">
      <c r="E161" s="95">
        <v>5</v>
      </c>
      <c r="F161" s="96" t="s">
        <v>156</v>
      </c>
      <c r="G161" s="97" t="s">
        <v>136</v>
      </c>
      <c r="AZ161" s="92">
        <f>VLOOKUP(MAX($B$8:$B161),'Часть 0'!$H$3:$I$24,2,0)</f>
        <v>1</v>
      </c>
      <c r="BA161" s="93">
        <f>VLOOKUP(MAX($B$8:$B161),'Часть 0'!$H$3:$J$24,3,0)</f>
        <v>1</v>
      </c>
    </row>
    <row r="162" spans="2:53" ht="5.0999999999999996" customHeight="1" thickBot="1" x14ac:dyDescent="0.25">
      <c r="G162" s="100"/>
      <c r="H162" s="101"/>
      <c r="AZ162" s="92">
        <f>VLOOKUP(MAX($B$8:$B162),'Часть 0'!$H$3:$I$24,2,0)</f>
        <v>1</v>
      </c>
      <c r="BA162" s="93">
        <f>VLOOKUP(MAX($B$8:$B162),'Часть 0'!$H$3:$J$24,3,0)</f>
        <v>1</v>
      </c>
    </row>
    <row r="163" spans="2:53" ht="12" thickBot="1" x14ac:dyDescent="0.25">
      <c r="C163" s="102">
        <v>14</v>
      </c>
      <c r="D163" s="87" t="s">
        <v>220</v>
      </c>
      <c r="E163" s="87"/>
      <c r="F163" s="87"/>
      <c r="G163" s="87"/>
      <c r="H163" s="87"/>
      <c r="I163" s="109">
        <v>1</v>
      </c>
      <c r="AZ163" s="92">
        <f>VLOOKUP(MAX($B$8:$B163),'Часть 0'!$H$3:$I$24,2,0)</f>
        <v>1</v>
      </c>
      <c r="BA163" s="93">
        <f>VLOOKUP(MAX($B$8:$B163),'Часть 0'!$H$3:$J$24,3,0)</f>
        <v>1</v>
      </c>
    </row>
    <row r="164" spans="2:53" x14ac:dyDescent="0.2">
      <c r="G164" s="84"/>
      <c r="H164" s="80"/>
      <c r="AZ164" s="92">
        <f>VLOOKUP(MAX($B$8:$B164),'Часть 0'!$H$3:$I$24,2,0)</f>
        <v>1</v>
      </c>
      <c r="BA164" s="93">
        <f>VLOOKUP(MAX($B$8:$B164),'Часть 0'!$H$3:$J$24,3,0)</f>
        <v>1</v>
      </c>
    </row>
    <row r="165" spans="2:53" s="87" customFormat="1" x14ac:dyDescent="0.2">
      <c r="B165" s="87">
        <v>15</v>
      </c>
      <c r="C165" s="87" t="s">
        <v>90</v>
      </c>
      <c r="D165" s="87" t="s">
        <v>169</v>
      </c>
      <c r="E165" s="88"/>
      <c r="F165" s="89"/>
      <c r="G165" s="90"/>
      <c r="I165" s="91"/>
      <c r="AZ165" s="92">
        <f>VLOOKUP(MAX($B$8:$B165),'Часть 0'!$H$3:$I$24,2,0)</f>
        <v>3</v>
      </c>
      <c r="BA165" s="93">
        <f>VLOOKUP(MAX($B$8:$B165),'Часть 0'!$H$3:$J$24,3,0)</f>
        <v>3</v>
      </c>
    </row>
    <row r="166" spans="2:53" ht="5.0999999999999996" customHeight="1" x14ac:dyDescent="0.2">
      <c r="AZ166" s="92">
        <f>VLOOKUP(MAX($B$8:$B166),'Часть 0'!$H$3:$I$24,2,0)</f>
        <v>3</v>
      </c>
      <c r="BA166" s="93">
        <f>VLOOKUP(MAX($B$8:$B166),'Часть 0'!$H$3:$J$24,3,0)</f>
        <v>3</v>
      </c>
    </row>
    <row r="167" spans="2:53" x14ac:dyDescent="0.2">
      <c r="E167" s="95">
        <v>1</v>
      </c>
      <c r="F167" s="96" t="s">
        <v>156</v>
      </c>
      <c r="G167" s="97" t="s">
        <v>149</v>
      </c>
      <c r="AZ167" s="92">
        <f>VLOOKUP(MAX($B$8:$B167),'Часть 0'!$H$3:$I$24,2,0)</f>
        <v>3</v>
      </c>
      <c r="BA167" s="93">
        <f>VLOOKUP(MAX($B$8:$B167),'Часть 0'!$H$3:$J$24,3,0)</f>
        <v>3</v>
      </c>
    </row>
    <row r="168" spans="2:53" x14ac:dyDescent="0.2">
      <c r="E168" s="95">
        <v>2</v>
      </c>
      <c r="F168" s="96" t="s">
        <v>156</v>
      </c>
      <c r="G168" s="97" t="s">
        <v>150</v>
      </c>
      <c r="AZ168" s="92">
        <f>VLOOKUP(MAX($B$8:$B168),'Часть 0'!$H$3:$I$24,2,0)</f>
        <v>3</v>
      </c>
      <c r="BA168" s="93">
        <f>VLOOKUP(MAX($B$8:$B168),'Часть 0'!$H$3:$J$24,3,0)</f>
        <v>3</v>
      </c>
    </row>
    <row r="169" spans="2:53" x14ac:dyDescent="0.2">
      <c r="E169" s="95">
        <v>3</v>
      </c>
      <c r="F169" s="96" t="s">
        <v>156</v>
      </c>
      <c r="G169" s="97" t="s">
        <v>151</v>
      </c>
      <c r="AZ169" s="92">
        <f>VLOOKUP(MAX($B$8:$B169),'Часть 0'!$H$3:$I$24,2,0)</f>
        <v>3</v>
      </c>
      <c r="BA169" s="93">
        <f>VLOOKUP(MAX($B$8:$B169),'Часть 0'!$H$3:$J$24,3,0)</f>
        <v>3</v>
      </c>
    </row>
    <row r="170" spans="2:53" x14ac:dyDescent="0.2">
      <c r="E170" s="95">
        <v>4</v>
      </c>
      <c r="F170" s="96" t="s">
        <v>156</v>
      </c>
      <c r="G170" s="97" t="s">
        <v>152</v>
      </c>
      <c r="AZ170" s="92">
        <f>VLOOKUP(MAX($B$8:$B170),'Часть 0'!$H$3:$I$24,2,0)</f>
        <v>3</v>
      </c>
      <c r="BA170" s="93">
        <f>VLOOKUP(MAX($B$8:$B170),'Часть 0'!$H$3:$J$24,3,0)</f>
        <v>3</v>
      </c>
    </row>
    <row r="171" spans="2:53" x14ac:dyDescent="0.2">
      <c r="E171" s="95">
        <v>5</v>
      </c>
      <c r="F171" s="96" t="s">
        <v>156</v>
      </c>
      <c r="G171" s="97" t="s">
        <v>136</v>
      </c>
      <c r="AZ171" s="92">
        <f>VLOOKUP(MAX($B$8:$B171),'Часть 0'!$H$3:$I$24,2,0)</f>
        <v>3</v>
      </c>
      <c r="BA171" s="93">
        <f>VLOOKUP(MAX($B$8:$B171),'Часть 0'!$H$3:$J$24,3,0)</f>
        <v>3</v>
      </c>
    </row>
    <row r="172" spans="2:53" ht="5.0999999999999996" customHeight="1" thickBot="1" x14ac:dyDescent="0.25">
      <c r="G172" s="100"/>
      <c r="H172" s="101"/>
      <c r="AZ172" s="92">
        <f>VLOOKUP(MAX($B$8:$B172),'Часть 0'!$H$3:$I$24,2,0)</f>
        <v>3</v>
      </c>
      <c r="BA172" s="93">
        <f>VLOOKUP(MAX($B$8:$B172),'Часть 0'!$H$3:$J$24,3,0)</f>
        <v>3</v>
      </c>
    </row>
    <row r="173" spans="2:53" ht="12" thickBot="1" x14ac:dyDescent="0.25">
      <c r="C173" s="102">
        <v>15</v>
      </c>
      <c r="D173" s="87" t="s">
        <v>220</v>
      </c>
      <c r="E173" s="87"/>
      <c r="F173" s="87"/>
      <c r="G173" s="87"/>
      <c r="H173" s="87"/>
      <c r="I173" s="109">
        <v>3</v>
      </c>
      <c r="AZ173" s="92">
        <f>VLOOKUP(MAX($B$8:$B173),'Часть 0'!$H$3:$I$24,2,0)</f>
        <v>3</v>
      </c>
      <c r="BA173" s="93">
        <f>VLOOKUP(MAX($B$8:$B173),'Часть 0'!$H$3:$J$24,3,0)</f>
        <v>3</v>
      </c>
    </row>
    <row r="174" spans="2:53" x14ac:dyDescent="0.2">
      <c r="G174" s="84"/>
      <c r="H174" s="80"/>
      <c r="AZ174" s="92">
        <f>VLOOKUP(MAX($B$8:$B174),'Часть 0'!$H$3:$I$24,2,0)</f>
        <v>3</v>
      </c>
      <c r="BA174" s="93">
        <f>VLOOKUP(MAX($B$8:$B174),'Часть 0'!$H$3:$J$24,3,0)</f>
        <v>3</v>
      </c>
    </row>
    <row r="175" spans="2:53" s="87" customFormat="1" x14ac:dyDescent="0.2">
      <c r="B175" s="87">
        <v>16</v>
      </c>
      <c r="C175" s="87" t="s">
        <v>90</v>
      </c>
      <c r="D175" s="87" t="s">
        <v>170</v>
      </c>
      <c r="E175" s="88"/>
      <c r="F175" s="89"/>
      <c r="G175" s="90"/>
      <c r="I175" s="91"/>
      <c r="AZ175" s="92">
        <f>VLOOKUP(MAX($B$8:$B175),'Часть 0'!$H$3:$I$24,2,0)</f>
        <v>4</v>
      </c>
      <c r="BA175" s="93">
        <f>VLOOKUP(MAX($B$8:$B175),'Часть 0'!$H$3:$J$24,3,0)</f>
        <v>4</v>
      </c>
    </row>
    <row r="176" spans="2:53" ht="5.0999999999999996" customHeight="1" x14ac:dyDescent="0.2">
      <c r="AZ176" s="92">
        <f>VLOOKUP(MAX($B$8:$B176),'Часть 0'!$H$3:$I$24,2,0)</f>
        <v>4</v>
      </c>
      <c r="BA176" s="93">
        <f>VLOOKUP(MAX($B$8:$B176),'Часть 0'!$H$3:$J$24,3,0)</f>
        <v>4</v>
      </c>
    </row>
    <row r="177" spans="2:53" x14ac:dyDescent="0.2">
      <c r="E177" s="95">
        <v>1</v>
      </c>
      <c r="F177" s="96" t="s">
        <v>156</v>
      </c>
      <c r="G177" s="97" t="s">
        <v>153</v>
      </c>
      <c r="AZ177" s="92">
        <f>VLOOKUP(MAX($B$8:$B177),'Часть 0'!$H$3:$I$24,2,0)</f>
        <v>4</v>
      </c>
      <c r="BA177" s="93">
        <f>VLOOKUP(MAX($B$8:$B177),'Часть 0'!$H$3:$J$24,3,0)</f>
        <v>4</v>
      </c>
    </row>
    <row r="178" spans="2:53" x14ac:dyDescent="0.2">
      <c r="E178" s="95">
        <v>2</v>
      </c>
      <c r="F178" s="96" t="s">
        <v>156</v>
      </c>
      <c r="G178" s="97" t="s">
        <v>154</v>
      </c>
      <c r="AZ178" s="92">
        <f>VLOOKUP(MAX($B$8:$B178),'Часть 0'!$H$3:$I$24,2,0)</f>
        <v>4</v>
      </c>
      <c r="BA178" s="93">
        <f>VLOOKUP(MAX($B$8:$B178),'Часть 0'!$H$3:$J$24,3,0)</f>
        <v>4</v>
      </c>
    </row>
    <row r="179" spans="2:53" x14ac:dyDescent="0.2">
      <c r="E179" s="95">
        <v>3</v>
      </c>
      <c r="F179" s="96" t="s">
        <v>156</v>
      </c>
      <c r="G179" s="97" t="s">
        <v>155</v>
      </c>
      <c r="AZ179" s="92">
        <f>VLOOKUP(MAX($B$8:$B179),'Часть 0'!$H$3:$I$24,2,0)</f>
        <v>4</v>
      </c>
      <c r="BA179" s="93">
        <f>VLOOKUP(MAX($B$8:$B179),'Часть 0'!$H$3:$J$24,3,0)</f>
        <v>4</v>
      </c>
    </row>
    <row r="180" spans="2:53" x14ac:dyDescent="0.2">
      <c r="E180" s="95">
        <v>4</v>
      </c>
      <c r="F180" s="96" t="s">
        <v>156</v>
      </c>
      <c r="G180" s="97" t="s">
        <v>148</v>
      </c>
      <c r="AZ180" s="92">
        <f>VLOOKUP(MAX($B$8:$B180),'Часть 0'!$H$3:$I$24,2,0)</f>
        <v>4</v>
      </c>
      <c r="BA180" s="93">
        <f>VLOOKUP(MAX($B$8:$B180),'Часть 0'!$H$3:$J$24,3,0)</f>
        <v>4</v>
      </c>
    </row>
    <row r="181" spans="2:53" x14ac:dyDescent="0.2">
      <c r="E181" s="95">
        <v>5</v>
      </c>
      <c r="F181" s="96" t="s">
        <v>156</v>
      </c>
      <c r="G181" s="97" t="s">
        <v>136</v>
      </c>
      <c r="AZ181" s="92">
        <f>VLOOKUP(MAX($B$8:$B181),'Часть 0'!$H$3:$I$24,2,0)</f>
        <v>4</v>
      </c>
      <c r="BA181" s="93">
        <f>VLOOKUP(MAX($B$8:$B181),'Часть 0'!$H$3:$J$24,3,0)</f>
        <v>4</v>
      </c>
    </row>
    <row r="182" spans="2:53" ht="5.0999999999999996" customHeight="1" thickBot="1" x14ac:dyDescent="0.25">
      <c r="G182" s="100"/>
      <c r="H182" s="101"/>
      <c r="AZ182" s="92">
        <f>VLOOKUP(MAX($B$8:$B182),'Часть 0'!$H$3:$I$24,2,0)</f>
        <v>4</v>
      </c>
      <c r="BA182" s="93">
        <f>VLOOKUP(MAX($B$8:$B182),'Часть 0'!$H$3:$J$24,3,0)</f>
        <v>4</v>
      </c>
    </row>
    <row r="183" spans="2:53" ht="12" thickBot="1" x14ac:dyDescent="0.25">
      <c r="C183" s="102">
        <v>16</v>
      </c>
      <c r="D183" s="87" t="s">
        <v>220</v>
      </c>
      <c r="E183" s="87"/>
      <c r="F183" s="87"/>
      <c r="G183" s="87"/>
      <c r="H183" s="87"/>
      <c r="I183" s="109">
        <v>4</v>
      </c>
      <c r="AZ183" s="92">
        <f>VLOOKUP(MAX($B$8:$B183),'Часть 0'!$H$3:$I$24,2,0)</f>
        <v>4</v>
      </c>
      <c r="BA183" s="93">
        <f>VLOOKUP(MAX($B$8:$B183),'Часть 0'!$H$3:$J$24,3,0)</f>
        <v>4</v>
      </c>
    </row>
    <row r="184" spans="2:53" x14ac:dyDescent="0.2">
      <c r="G184" s="84"/>
      <c r="AZ184" s="92">
        <f>VLOOKUP(MAX($B$8:$B184),'Часть 0'!$H$3:$I$24,2,0)</f>
        <v>4</v>
      </c>
      <c r="BA184" s="93">
        <f>VLOOKUP(MAX($B$8:$B184),'Часть 0'!$H$3:$J$24,3,0)</f>
        <v>4</v>
      </c>
    </row>
    <row r="185" spans="2:53" s="87" customFormat="1" x14ac:dyDescent="0.2">
      <c r="B185" s="87">
        <v>17</v>
      </c>
      <c r="C185" s="87" t="s">
        <v>90</v>
      </c>
      <c r="D185" s="87" t="s">
        <v>183</v>
      </c>
      <c r="E185" s="88"/>
      <c r="F185" s="89"/>
      <c r="G185" s="90"/>
      <c r="I185" s="91"/>
      <c r="AZ185" s="92">
        <f>VLOOKUP(MAX($B$8:$B185),'Часть 0'!$H$3:$I$24,2,0)</f>
        <v>2</v>
      </c>
      <c r="BA185" s="93">
        <f>VLOOKUP(MAX($B$8:$B185),'Часть 0'!$H$3:$J$24,3,0)</f>
        <v>2</v>
      </c>
    </row>
    <row r="186" spans="2:53" ht="5.0999999999999996" customHeight="1" x14ac:dyDescent="0.2">
      <c r="AZ186" s="92">
        <f>VLOOKUP(MAX($B$8:$B186),'Часть 0'!$H$3:$I$24,2,0)</f>
        <v>2</v>
      </c>
      <c r="BA186" s="93">
        <f>VLOOKUP(MAX($B$8:$B186),'Часть 0'!$H$3:$J$24,3,0)</f>
        <v>2</v>
      </c>
    </row>
    <row r="187" spans="2:53" x14ac:dyDescent="0.2">
      <c r="E187" s="95">
        <v>1</v>
      </c>
      <c r="F187" s="96" t="s">
        <v>156</v>
      </c>
      <c r="G187" s="97" t="s">
        <v>180</v>
      </c>
      <c r="AZ187" s="92">
        <f>VLOOKUP(MAX($B$8:$B187),'Часть 0'!$H$3:$I$24,2,0)</f>
        <v>2</v>
      </c>
      <c r="BA187" s="93">
        <f>VLOOKUP(MAX($B$8:$B187),'Часть 0'!$H$3:$J$24,3,0)</f>
        <v>2</v>
      </c>
    </row>
    <row r="188" spans="2:53" x14ac:dyDescent="0.2">
      <c r="E188" s="95">
        <v>2</v>
      </c>
      <c r="F188" s="96" t="s">
        <v>156</v>
      </c>
      <c r="G188" s="97" t="s">
        <v>181</v>
      </c>
      <c r="AZ188" s="92">
        <f>VLOOKUP(MAX($B$8:$B188),'Часть 0'!$H$3:$I$24,2,0)</f>
        <v>2</v>
      </c>
      <c r="BA188" s="93">
        <f>VLOOKUP(MAX($B$8:$B188),'Часть 0'!$H$3:$J$24,3,0)</f>
        <v>2</v>
      </c>
    </row>
    <row r="189" spans="2:53" x14ac:dyDescent="0.2">
      <c r="E189" s="95">
        <v>3</v>
      </c>
      <c r="F189" s="96" t="s">
        <v>156</v>
      </c>
      <c r="G189" s="94" t="s">
        <v>182</v>
      </c>
      <c r="AZ189" s="92">
        <f>VLOOKUP(MAX($B$8:$B189),'Часть 0'!$H$3:$I$24,2,0)</f>
        <v>2</v>
      </c>
      <c r="BA189" s="93">
        <f>VLOOKUP(MAX($B$8:$B189),'Часть 0'!$H$3:$J$24,3,0)</f>
        <v>2</v>
      </c>
    </row>
    <row r="190" spans="2:53" x14ac:dyDescent="0.2">
      <c r="E190" s="95">
        <v>4</v>
      </c>
      <c r="F190" s="96" t="s">
        <v>156</v>
      </c>
      <c r="G190" s="94" t="s">
        <v>127</v>
      </c>
      <c r="AZ190" s="92">
        <f>VLOOKUP(MAX($B$8:$B190),'Часть 0'!$H$3:$I$24,2,0)</f>
        <v>2</v>
      </c>
      <c r="BA190" s="93">
        <f>VLOOKUP(MAX($B$8:$B190),'Часть 0'!$H$3:$J$24,3,0)</f>
        <v>2</v>
      </c>
    </row>
    <row r="191" spans="2:53" ht="5.0999999999999996" customHeight="1" thickBot="1" x14ac:dyDescent="0.25">
      <c r="AZ191" s="92">
        <f>VLOOKUP(MAX($B$8:$B191),'Часть 0'!$H$3:$I$24,2,0)</f>
        <v>2</v>
      </c>
      <c r="BA191" s="93">
        <f>VLOOKUP(MAX($B$8:$B191),'Часть 0'!$H$3:$J$24,3,0)</f>
        <v>2</v>
      </c>
    </row>
    <row r="192" spans="2:53" ht="12" thickBot="1" x14ac:dyDescent="0.25">
      <c r="C192" s="93">
        <v>17</v>
      </c>
      <c r="D192" s="87" t="s">
        <v>220</v>
      </c>
      <c r="E192" s="87"/>
      <c r="F192" s="87"/>
      <c r="G192" s="87"/>
      <c r="H192" s="87"/>
      <c r="I192" s="109">
        <v>2</v>
      </c>
      <c r="AZ192" s="92">
        <f>VLOOKUP(MAX($B$8:$B192),'Часть 0'!$H$3:$I$24,2,0)</f>
        <v>2</v>
      </c>
      <c r="BA192" s="93">
        <f>VLOOKUP(MAX($B$8:$B192),'Часть 0'!$H$3:$J$24,3,0)</f>
        <v>2</v>
      </c>
    </row>
    <row r="193" spans="2:53" x14ac:dyDescent="0.2">
      <c r="G193" s="84"/>
      <c r="AZ193" s="92">
        <f>VLOOKUP(MAX($B$8:$B193),'Часть 0'!$H$3:$I$24,2,0)</f>
        <v>2</v>
      </c>
      <c r="BA193" s="93">
        <f>VLOOKUP(MAX($B$8:$B193),'Часть 0'!$H$3:$J$24,3,0)</f>
        <v>2</v>
      </c>
    </row>
    <row r="194" spans="2:53" s="87" customFormat="1" x14ac:dyDescent="0.2">
      <c r="B194" s="87">
        <v>18</v>
      </c>
      <c r="C194" s="87" t="s">
        <v>90</v>
      </c>
      <c r="D194" s="87" t="s">
        <v>198</v>
      </c>
      <c r="E194" s="88"/>
      <c r="F194" s="89"/>
      <c r="G194" s="90"/>
      <c r="I194" s="91"/>
      <c r="AZ194" s="92">
        <f>VLOOKUP(MAX($B$8:$B194),'Часть 0'!$H$3:$I$24,2,0)</f>
        <v>1</v>
      </c>
      <c r="BA194" s="93">
        <f>VLOOKUP(MAX($B$8:$B194),'Часть 0'!$H$3:$J$24,3,0)</f>
        <v>1</v>
      </c>
    </row>
    <row r="195" spans="2:53" ht="5.0999999999999996" customHeight="1" x14ac:dyDescent="0.2">
      <c r="AZ195" s="92">
        <f>VLOOKUP(MAX($B$8:$B195),'Часть 0'!$H$3:$I$24,2,0)</f>
        <v>1</v>
      </c>
      <c r="BA195" s="93">
        <f>VLOOKUP(MAX($B$8:$B195),'Часть 0'!$H$3:$J$24,3,0)</f>
        <v>1</v>
      </c>
    </row>
    <row r="196" spans="2:53" x14ac:dyDescent="0.2">
      <c r="E196" s="95">
        <v>1</v>
      </c>
      <c r="F196" s="96" t="s">
        <v>156</v>
      </c>
      <c r="G196" s="97" t="s">
        <v>200</v>
      </c>
      <c r="AZ196" s="92">
        <f>VLOOKUP(MAX($B$8:$B196),'Часть 0'!$H$3:$I$24,2,0)</f>
        <v>1</v>
      </c>
      <c r="BA196" s="93">
        <f>VLOOKUP(MAX($B$8:$B196),'Часть 0'!$H$3:$J$24,3,0)</f>
        <v>1</v>
      </c>
    </row>
    <row r="197" spans="2:53" x14ac:dyDescent="0.2">
      <c r="E197" s="95">
        <v>2</v>
      </c>
      <c r="F197" s="96" t="s">
        <v>156</v>
      </c>
      <c r="G197" s="97" t="s">
        <v>201</v>
      </c>
      <c r="AZ197" s="92">
        <f>VLOOKUP(MAX($B$8:$B197),'Часть 0'!$H$3:$I$24,2,0)</f>
        <v>1</v>
      </c>
      <c r="BA197" s="93">
        <f>VLOOKUP(MAX($B$8:$B197),'Часть 0'!$H$3:$J$24,3,0)</f>
        <v>1</v>
      </c>
    </row>
    <row r="198" spans="2:53" x14ac:dyDescent="0.2">
      <c r="E198" s="95">
        <v>3</v>
      </c>
      <c r="F198" s="96" t="s">
        <v>156</v>
      </c>
      <c r="G198" s="97" t="s">
        <v>202</v>
      </c>
      <c r="AZ198" s="92">
        <f>VLOOKUP(MAX($B$8:$B198),'Часть 0'!$H$3:$I$24,2,0)</f>
        <v>1</v>
      </c>
      <c r="BA198" s="93">
        <f>VLOOKUP(MAX($B$8:$B198),'Часть 0'!$H$3:$J$24,3,0)</f>
        <v>1</v>
      </c>
    </row>
    <row r="199" spans="2:53" x14ac:dyDescent="0.2">
      <c r="E199" s="95">
        <v>4</v>
      </c>
      <c r="F199" s="96" t="s">
        <v>156</v>
      </c>
      <c r="G199" s="94" t="s">
        <v>203</v>
      </c>
      <c r="AZ199" s="92">
        <f>VLOOKUP(MAX($B$8:$B199),'Часть 0'!$H$3:$I$24,2,0)</f>
        <v>1</v>
      </c>
      <c r="BA199" s="93">
        <f>VLOOKUP(MAX($B$8:$B199),'Часть 0'!$H$3:$J$24,3,0)</f>
        <v>1</v>
      </c>
    </row>
    <row r="200" spans="2:53" ht="5.0999999999999996" customHeight="1" thickBot="1" x14ac:dyDescent="0.25">
      <c r="AZ200" s="92">
        <f>VLOOKUP(MAX($B$8:$B200),'Часть 0'!$H$3:$I$24,2,0)</f>
        <v>1</v>
      </c>
      <c r="BA200" s="93">
        <f>VLOOKUP(MAX($B$8:$B200),'Часть 0'!$H$3:$J$24,3,0)</f>
        <v>1</v>
      </c>
    </row>
    <row r="201" spans="2:53" ht="12" thickBot="1" x14ac:dyDescent="0.25">
      <c r="C201" s="93">
        <v>18</v>
      </c>
      <c r="D201" s="87" t="s">
        <v>220</v>
      </c>
      <c r="E201" s="87"/>
      <c r="F201" s="87"/>
      <c r="G201" s="87"/>
      <c r="H201" s="87"/>
      <c r="I201" s="109">
        <v>1</v>
      </c>
      <c r="AZ201" s="92">
        <f>VLOOKUP(MAX($B$8:$B201),'Часть 0'!$H$3:$I$24,2,0)</f>
        <v>1</v>
      </c>
      <c r="BA201" s="93">
        <f>VLOOKUP(MAX($B$8:$B201),'Часть 0'!$H$3:$J$24,3,0)</f>
        <v>1</v>
      </c>
    </row>
    <row r="202" spans="2:53" x14ac:dyDescent="0.2">
      <c r="G202" s="84"/>
      <c r="AZ202" s="92">
        <f>VLOOKUP(MAX($B$8:$B202),'Часть 0'!$H$3:$I$24,2,0)</f>
        <v>1</v>
      </c>
      <c r="BA202" s="93">
        <f>VLOOKUP(MAX($B$8:$B202),'Часть 0'!$H$3:$J$24,3,0)</f>
        <v>1</v>
      </c>
    </row>
    <row r="203" spans="2:53" s="87" customFormat="1" x14ac:dyDescent="0.2">
      <c r="B203" s="87">
        <v>19</v>
      </c>
      <c r="C203" s="87" t="s">
        <v>90</v>
      </c>
      <c r="D203" s="87" t="s">
        <v>204</v>
      </c>
      <c r="E203" s="88"/>
      <c r="F203" s="89"/>
      <c r="G203" s="90"/>
      <c r="I203" s="91"/>
      <c r="AZ203" s="92">
        <f>VLOOKUP(MAX($B$8:$B203),'Часть 0'!$H$3:$I$24,2,0)</f>
        <v>4</v>
      </c>
      <c r="BA203" s="93">
        <f>VLOOKUP(MAX($B$8:$B203),'Часть 0'!$H$3:$J$24,3,0)</f>
        <v>3</v>
      </c>
    </row>
    <row r="204" spans="2:53" ht="5.0999999999999996" customHeight="1" x14ac:dyDescent="0.2">
      <c r="AZ204" s="92">
        <f>VLOOKUP(MAX($B$8:$B204),'Часть 0'!$H$3:$I$24,2,0)</f>
        <v>4</v>
      </c>
      <c r="BA204" s="93">
        <f>VLOOKUP(MAX($B$8:$B204),'Часть 0'!$H$3:$J$24,3,0)</f>
        <v>3</v>
      </c>
    </row>
    <row r="205" spans="2:53" x14ac:dyDescent="0.2">
      <c r="E205" s="95">
        <v>1</v>
      </c>
      <c r="F205" s="96" t="s">
        <v>156</v>
      </c>
      <c r="G205" s="97" t="s">
        <v>205</v>
      </c>
      <c r="AZ205" s="92">
        <f>VLOOKUP(MAX($B$8:$B205),'Часть 0'!$H$3:$I$24,2,0)</f>
        <v>4</v>
      </c>
      <c r="BA205" s="93">
        <f>VLOOKUP(MAX($B$8:$B205),'Часть 0'!$H$3:$J$24,3,0)</f>
        <v>3</v>
      </c>
    </row>
    <row r="206" spans="2:53" x14ac:dyDescent="0.2">
      <c r="E206" s="95">
        <v>2</v>
      </c>
      <c r="F206" s="96" t="s">
        <v>156</v>
      </c>
      <c r="G206" s="97" t="s">
        <v>206</v>
      </c>
      <c r="AZ206" s="92">
        <f>VLOOKUP(MAX($B$8:$B206),'Часть 0'!$H$3:$I$24,2,0)</f>
        <v>4</v>
      </c>
      <c r="BA206" s="93">
        <f>VLOOKUP(MAX($B$8:$B206),'Часть 0'!$H$3:$J$24,3,0)</f>
        <v>3</v>
      </c>
    </row>
    <row r="207" spans="2:53" x14ac:dyDescent="0.2">
      <c r="E207" s="95">
        <v>3</v>
      </c>
      <c r="F207" s="96" t="s">
        <v>156</v>
      </c>
      <c r="G207" s="97" t="s">
        <v>207</v>
      </c>
      <c r="AZ207" s="92">
        <f>VLOOKUP(MAX($B$8:$B207),'Часть 0'!$H$3:$I$24,2,0)</f>
        <v>4</v>
      </c>
      <c r="BA207" s="93">
        <f>VLOOKUP(MAX($B$8:$B207),'Часть 0'!$H$3:$J$24,3,0)</f>
        <v>3</v>
      </c>
    </row>
    <row r="208" spans="2:53" x14ac:dyDescent="0.2">
      <c r="E208" s="95">
        <v>4</v>
      </c>
      <c r="F208" s="96" t="s">
        <v>156</v>
      </c>
      <c r="G208" s="97" t="s">
        <v>208</v>
      </c>
      <c r="AZ208" s="92">
        <f>VLOOKUP(MAX($B$8:$B208),'Часть 0'!$H$3:$I$24,2,0)</f>
        <v>4</v>
      </c>
      <c r="BA208" s="93">
        <f>VLOOKUP(MAX($B$8:$B208),'Часть 0'!$H$3:$J$24,3,0)</f>
        <v>3</v>
      </c>
    </row>
    <row r="209" spans="2:53" x14ac:dyDescent="0.2">
      <c r="E209" s="95">
        <v>5</v>
      </c>
      <c r="F209" s="96" t="s">
        <v>156</v>
      </c>
      <c r="G209" s="97" t="s">
        <v>209</v>
      </c>
      <c r="AZ209" s="92">
        <f>VLOOKUP(MAX($B$8:$B209),'Часть 0'!$H$3:$I$24,2,0)</f>
        <v>4</v>
      </c>
      <c r="BA209" s="93">
        <f>VLOOKUP(MAX($B$8:$B209),'Часть 0'!$H$3:$J$24,3,0)</f>
        <v>3</v>
      </c>
    </row>
    <row r="210" spans="2:53" ht="5.0999999999999996" customHeight="1" thickBot="1" x14ac:dyDescent="0.25">
      <c r="AZ210" s="92">
        <f>VLOOKUP(MAX($B$8:$B210),'Часть 0'!$H$3:$I$24,2,0)</f>
        <v>4</v>
      </c>
      <c r="BA210" s="93">
        <f>VLOOKUP(MAX($B$8:$B210),'Часть 0'!$H$3:$J$24,3,0)</f>
        <v>3</v>
      </c>
    </row>
    <row r="211" spans="2:53" ht="12" thickBot="1" x14ac:dyDescent="0.25">
      <c r="C211" s="93">
        <v>19</v>
      </c>
      <c r="D211" s="87" t="s">
        <v>220</v>
      </c>
      <c r="E211" s="87"/>
      <c r="F211" s="87"/>
      <c r="G211" s="87"/>
      <c r="H211" s="87"/>
      <c r="I211" s="109">
        <v>3</v>
      </c>
      <c r="AZ211" s="92">
        <f>VLOOKUP(MAX($B$8:$B211),'Часть 0'!$H$3:$I$24,2,0)</f>
        <v>4</v>
      </c>
      <c r="BA211" s="93">
        <f>VLOOKUP(MAX($B$8:$B211),'Часть 0'!$H$3:$J$24,3,0)</f>
        <v>3</v>
      </c>
    </row>
    <row r="212" spans="2:53" x14ac:dyDescent="0.2">
      <c r="G212" s="84"/>
      <c r="AZ212" s="92">
        <f>VLOOKUP(MAX($B$8:$B212),'Часть 0'!$H$3:$I$24,2,0)</f>
        <v>4</v>
      </c>
      <c r="BA212" s="93">
        <f>VLOOKUP(MAX($B$8:$B212),'Часть 0'!$H$3:$J$24,3,0)</f>
        <v>3</v>
      </c>
    </row>
    <row r="213" spans="2:53" s="87" customFormat="1" x14ac:dyDescent="0.2">
      <c r="B213" s="87">
        <v>20</v>
      </c>
      <c r="C213" s="87" t="s">
        <v>90</v>
      </c>
      <c r="D213" s="87" t="s">
        <v>197</v>
      </c>
      <c r="E213" s="88"/>
      <c r="F213" s="89"/>
      <c r="G213" s="90"/>
      <c r="I213" s="91"/>
      <c r="AZ213" s="92">
        <f>VLOOKUP(MAX($B$8:$B213),'Часть 0'!$H$3:$I$24,2,0)</f>
        <v>2</v>
      </c>
      <c r="BA213" s="93">
        <f>VLOOKUP(MAX($B$8:$B213),'Часть 0'!$H$3:$J$24,3,0)</f>
        <v>2</v>
      </c>
    </row>
    <row r="214" spans="2:53" ht="5.0999999999999996" customHeight="1" x14ac:dyDescent="0.2">
      <c r="AZ214" s="92">
        <f>VLOOKUP(MAX($B$8:$B214),'Часть 0'!$H$3:$I$24,2,0)</f>
        <v>2</v>
      </c>
      <c r="BA214" s="93">
        <f>VLOOKUP(MAX($B$8:$B214),'Часть 0'!$H$3:$J$24,3,0)</f>
        <v>2</v>
      </c>
    </row>
    <row r="215" spans="2:53" x14ac:dyDescent="0.2">
      <c r="E215" s="95">
        <v>1</v>
      </c>
      <c r="F215" s="96" t="s">
        <v>156</v>
      </c>
      <c r="G215" s="104">
        <v>8</v>
      </c>
      <c r="AZ215" s="92">
        <f>VLOOKUP(MAX($B$8:$B215),'Часть 0'!$H$3:$I$24,2,0)</f>
        <v>2</v>
      </c>
      <c r="BA215" s="93">
        <f>VLOOKUP(MAX($B$8:$B215),'Часть 0'!$H$3:$J$24,3,0)</f>
        <v>2</v>
      </c>
    </row>
    <row r="216" spans="2:53" x14ac:dyDescent="0.2">
      <c r="E216" s="95">
        <v>2</v>
      </c>
      <c r="F216" s="96" t="s">
        <v>156</v>
      </c>
      <c r="G216" s="104">
        <v>9</v>
      </c>
      <c r="AZ216" s="92">
        <f>VLOOKUP(MAX($B$8:$B216),'Часть 0'!$H$3:$I$24,2,0)</f>
        <v>2</v>
      </c>
      <c r="BA216" s="93">
        <f>VLOOKUP(MAX($B$8:$B216),'Часть 0'!$H$3:$J$24,3,0)</f>
        <v>2</v>
      </c>
    </row>
    <row r="217" spans="2:53" x14ac:dyDescent="0.2">
      <c r="E217" s="95">
        <v>3</v>
      </c>
      <c r="F217" s="96" t="s">
        <v>156</v>
      </c>
      <c r="G217" s="104">
        <v>10</v>
      </c>
      <c r="AZ217" s="92">
        <f>VLOOKUP(MAX($B$8:$B217),'Часть 0'!$H$3:$I$24,2,0)</f>
        <v>2</v>
      </c>
      <c r="BA217" s="93">
        <f>VLOOKUP(MAX($B$8:$B217),'Часть 0'!$H$3:$J$24,3,0)</f>
        <v>2</v>
      </c>
    </row>
    <row r="218" spans="2:53" x14ac:dyDescent="0.2">
      <c r="E218" s="95">
        <v>4</v>
      </c>
      <c r="F218" s="96" t="s">
        <v>156</v>
      </c>
      <c r="G218" s="104">
        <v>12</v>
      </c>
      <c r="AZ218" s="92">
        <f>VLOOKUP(MAX($B$8:$B218),'Часть 0'!$H$3:$I$24,2,0)</f>
        <v>2</v>
      </c>
      <c r="BA218" s="93">
        <f>VLOOKUP(MAX($B$8:$B218),'Часть 0'!$H$3:$J$24,3,0)</f>
        <v>2</v>
      </c>
    </row>
    <row r="219" spans="2:53" x14ac:dyDescent="0.2">
      <c r="E219" s="95">
        <v>5</v>
      </c>
      <c r="F219" s="96" t="s">
        <v>156</v>
      </c>
      <c r="G219" s="104">
        <v>15</v>
      </c>
      <c r="AZ219" s="92">
        <f>VLOOKUP(MAX($B$8:$B219),'Часть 0'!$H$3:$I$24,2,0)</f>
        <v>2</v>
      </c>
      <c r="BA219" s="93">
        <f>VLOOKUP(MAX($B$8:$B219),'Часть 0'!$H$3:$J$24,3,0)</f>
        <v>2</v>
      </c>
    </row>
    <row r="220" spans="2:53" ht="5.0999999999999996" customHeight="1" thickBot="1" x14ac:dyDescent="0.25">
      <c r="AZ220" s="92">
        <f>VLOOKUP(MAX($B$8:$B220),'Часть 0'!$H$3:$I$24,2,0)</f>
        <v>2</v>
      </c>
      <c r="BA220" s="93">
        <f>VLOOKUP(MAX($B$8:$B220),'Часть 0'!$H$3:$J$24,3,0)</f>
        <v>2</v>
      </c>
    </row>
    <row r="221" spans="2:53" ht="12" thickBot="1" x14ac:dyDescent="0.25">
      <c r="C221" s="93">
        <v>20</v>
      </c>
      <c r="D221" s="87" t="s">
        <v>220</v>
      </c>
      <c r="E221" s="87"/>
      <c r="F221" s="87"/>
      <c r="G221" s="87"/>
      <c r="H221" s="87"/>
      <c r="I221" s="109">
        <v>2</v>
      </c>
      <c r="AZ221" s="92">
        <f>VLOOKUP(MAX($B$8:$B221),'Часть 0'!$H$3:$I$24,2,0)</f>
        <v>2</v>
      </c>
      <c r="BA221" s="93">
        <f>VLOOKUP(MAX($B$8:$B221),'Часть 0'!$H$3:$J$24,3,0)</f>
        <v>2</v>
      </c>
    </row>
    <row r="222" spans="2:53" x14ac:dyDescent="0.2">
      <c r="G222" s="84"/>
      <c r="AZ222" s="92">
        <f>VLOOKUP(MAX($B$8:$B222),'Часть 0'!$H$3:$I$24,2,0)</f>
        <v>2</v>
      </c>
      <c r="BA222" s="93">
        <f>VLOOKUP(MAX($B$8:$B222),'Часть 0'!$H$3:$J$24,3,0)</f>
        <v>2</v>
      </c>
    </row>
    <row r="223" spans="2:53" x14ac:dyDescent="0.2">
      <c r="B223" s="87">
        <v>21</v>
      </c>
      <c r="C223" s="87" t="s">
        <v>90</v>
      </c>
      <c r="D223" s="87" t="s">
        <v>214</v>
      </c>
      <c r="AZ223" s="92">
        <f>VLOOKUP(MAX($B$8:$B223),'Часть 0'!$H$3:$I$24,2,0)</f>
        <v>4</v>
      </c>
      <c r="BA223" s="93">
        <f>VLOOKUP(MAX($B$8:$B223),'Часть 0'!$H$3:$J$24,3,0)</f>
        <v>4</v>
      </c>
    </row>
    <row r="224" spans="2:53" ht="5.0999999999999996" customHeight="1" x14ac:dyDescent="0.2">
      <c r="AZ224" s="92">
        <f>VLOOKUP(MAX($B$8:$B224),'Часть 0'!$H$3:$I$24,2,0)</f>
        <v>4</v>
      </c>
      <c r="BA224" s="93">
        <f>VLOOKUP(MAX($B$8:$B224),'Часть 0'!$H$3:$J$24,3,0)</f>
        <v>4</v>
      </c>
    </row>
    <row r="225" spans="2:53" x14ac:dyDescent="0.2">
      <c r="E225" s="95">
        <v>1</v>
      </c>
      <c r="F225" s="96" t="s">
        <v>156</v>
      </c>
      <c r="G225" s="104" t="s">
        <v>212</v>
      </c>
      <c r="AZ225" s="92">
        <f>VLOOKUP(MAX($B$8:$B225),'Часть 0'!$H$3:$I$24,2,0)</f>
        <v>4</v>
      </c>
      <c r="BA225" s="93">
        <f>VLOOKUP(MAX($B$8:$B225),'Часть 0'!$H$3:$J$24,3,0)</f>
        <v>4</v>
      </c>
    </row>
    <row r="226" spans="2:53" x14ac:dyDescent="0.2">
      <c r="E226" s="95">
        <v>2</v>
      </c>
      <c r="F226" s="96" t="s">
        <v>156</v>
      </c>
      <c r="G226" s="104" t="s">
        <v>211</v>
      </c>
      <c r="AZ226" s="92">
        <f>VLOOKUP(MAX($B$8:$B226),'Часть 0'!$H$3:$I$24,2,0)</f>
        <v>4</v>
      </c>
      <c r="BA226" s="93">
        <f>VLOOKUP(MAX($B$8:$B226),'Часть 0'!$H$3:$J$24,3,0)</f>
        <v>4</v>
      </c>
    </row>
    <row r="227" spans="2:53" x14ac:dyDescent="0.2">
      <c r="E227" s="95">
        <v>3</v>
      </c>
      <c r="F227" s="96" t="s">
        <v>156</v>
      </c>
      <c r="G227" s="104" t="s">
        <v>210</v>
      </c>
      <c r="AZ227" s="92">
        <f>VLOOKUP(MAX($B$8:$B227),'Часть 0'!$H$3:$I$24,2,0)</f>
        <v>4</v>
      </c>
      <c r="BA227" s="93">
        <f>VLOOKUP(MAX($B$8:$B227),'Часть 0'!$H$3:$J$24,3,0)</f>
        <v>4</v>
      </c>
    </row>
    <row r="228" spans="2:53" x14ac:dyDescent="0.2">
      <c r="E228" s="95">
        <v>4</v>
      </c>
      <c r="F228" s="96" t="s">
        <v>156</v>
      </c>
      <c r="G228" s="104" t="s">
        <v>199</v>
      </c>
      <c r="AZ228" s="92">
        <f>VLOOKUP(MAX($B$8:$B228),'Часть 0'!$H$3:$I$24,2,0)</f>
        <v>4</v>
      </c>
      <c r="BA228" s="93">
        <f>VLOOKUP(MAX($B$8:$B228),'Часть 0'!$H$3:$J$24,3,0)</f>
        <v>4</v>
      </c>
    </row>
    <row r="229" spans="2:53" x14ac:dyDescent="0.2">
      <c r="E229" s="95">
        <v>5</v>
      </c>
      <c r="F229" s="96" t="s">
        <v>156</v>
      </c>
      <c r="G229" s="104" t="s">
        <v>213</v>
      </c>
      <c r="AZ229" s="92">
        <f>VLOOKUP(MAX($B$8:$B229),'Часть 0'!$H$3:$I$24,2,0)</f>
        <v>4</v>
      </c>
      <c r="BA229" s="93">
        <f>VLOOKUP(MAX($B$8:$B229),'Часть 0'!$H$3:$J$24,3,0)</f>
        <v>4</v>
      </c>
    </row>
    <row r="230" spans="2:53" ht="5.0999999999999996" customHeight="1" thickBot="1" x14ac:dyDescent="0.25">
      <c r="AZ230" s="92">
        <f>VLOOKUP(MAX($B$8:$B230),'Часть 0'!$H$3:$I$24,2,0)</f>
        <v>4</v>
      </c>
      <c r="BA230" s="93">
        <f>VLOOKUP(MAX($B$8:$B230),'Часть 0'!$H$3:$J$24,3,0)</f>
        <v>4</v>
      </c>
    </row>
    <row r="231" spans="2:53" ht="12" thickBot="1" x14ac:dyDescent="0.25">
      <c r="C231" s="93">
        <v>21</v>
      </c>
      <c r="D231" s="87" t="s">
        <v>220</v>
      </c>
      <c r="E231" s="87"/>
      <c r="F231" s="87"/>
      <c r="G231" s="87"/>
      <c r="H231" s="87"/>
      <c r="I231" s="109">
        <v>4</v>
      </c>
      <c r="AZ231" s="92">
        <f>VLOOKUP(MAX($B$8:$B231),'Часть 0'!$H$3:$I$24,2,0)</f>
        <v>4</v>
      </c>
      <c r="BA231" s="93">
        <f>VLOOKUP(MAX($B$8:$B231),'Часть 0'!$H$3:$J$24,3,0)</f>
        <v>4</v>
      </c>
    </row>
    <row r="232" spans="2:53" x14ac:dyDescent="0.2">
      <c r="G232" s="84"/>
      <c r="AZ232" s="92">
        <f>VLOOKUP(MAX($B$8:$B232),'Часть 0'!$H$3:$I$24,2,0)</f>
        <v>4</v>
      </c>
      <c r="BA232" s="93">
        <f>VLOOKUP(MAX($B$8:$B232),'Часть 0'!$H$3:$J$24,3,0)</f>
        <v>4</v>
      </c>
    </row>
    <row r="233" spans="2:53" x14ac:dyDescent="0.2">
      <c r="B233" s="87">
        <v>22</v>
      </c>
      <c r="C233" s="87" t="s">
        <v>90</v>
      </c>
      <c r="D233" s="87" t="s">
        <v>215</v>
      </c>
      <c r="AZ233" s="92">
        <f>VLOOKUP(MAX($B$8:$B233),'Часть 0'!$H$3:$I$24,2,0)</f>
        <v>4</v>
      </c>
      <c r="BA233" s="93">
        <f>VLOOKUP(MAX($B$8:$B233),'Часть 0'!$H$3:$J$24,3,0)</f>
        <v>4</v>
      </c>
    </row>
    <row r="234" spans="2:53" x14ac:dyDescent="0.2">
      <c r="D234" s="87" t="s">
        <v>216</v>
      </c>
      <c r="AZ234" s="92">
        <f>VLOOKUP(MAX($B$8:$B234),'Часть 0'!$H$3:$I$24,2,0)</f>
        <v>4</v>
      </c>
      <c r="BA234" s="93">
        <f>VLOOKUP(MAX($B$8:$B234),'Часть 0'!$H$3:$J$24,3,0)</f>
        <v>4</v>
      </c>
    </row>
    <row r="235" spans="2:53" x14ac:dyDescent="0.2">
      <c r="D235" s="87" t="s">
        <v>217</v>
      </c>
      <c r="AZ235" s="92">
        <f>VLOOKUP(MAX($B$8:$B235),'Часть 0'!$H$3:$I$24,2,0)</f>
        <v>4</v>
      </c>
      <c r="BA235" s="93">
        <f>VLOOKUP(MAX($B$8:$B235),'Часть 0'!$H$3:$J$24,3,0)</f>
        <v>4</v>
      </c>
    </row>
    <row r="236" spans="2:53" ht="5.0999999999999996" customHeight="1" x14ac:dyDescent="0.2">
      <c r="AZ236" s="92">
        <f>VLOOKUP(MAX($B$8:$B236),'Часть 0'!$H$3:$I$24,2,0)</f>
        <v>4</v>
      </c>
      <c r="BA236" s="93">
        <f>VLOOKUP(MAX($B$8:$B236),'Часть 0'!$H$3:$J$24,3,0)</f>
        <v>4</v>
      </c>
    </row>
    <row r="237" spans="2:53" x14ac:dyDescent="0.2">
      <c r="E237" s="95">
        <v>1</v>
      </c>
      <c r="F237" s="96" t="s">
        <v>156</v>
      </c>
      <c r="G237" s="105">
        <v>0.1</v>
      </c>
      <c r="AZ237" s="92">
        <f>VLOOKUP(MAX($B$8:$B237),'Часть 0'!$H$3:$I$24,2,0)</f>
        <v>4</v>
      </c>
      <c r="BA237" s="93">
        <f>VLOOKUP(MAX($B$8:$B237),'Часть 0'!$H$3:$J$24,3,0)</f>
        <v>4</v>
      </c>
    </row>
    <row r="238" spans="2:53" x14ac:dyDescent="0.2">
      <c r="E238" s="95">
        <v>2</v>
      </c>
      <c r="F238" s="96" t="s">
        <v>156</v>
      </c>
      <c r="G238" s="105">
        <v>0.25</v>
      </c>
      <c r="AZ238" s="92">
        <f>VLOOKUP(MAX($B$8:$B238),'Часть 0'!$H$3:$I$24,2,0)</f>
        <v>4</v>
      </c>
      <c r="BA238" s="93">
        <f>VLOOKUP(MAX($B$8:$B238),'Часть 0'!$H$3:$J$24,3,0)</f>
        <v>4</v>
      </c>
    </row>
    <row r="239" spans="2:53" x14ac:dyDescent="0.2">
      <c r="E239" s="95">
        <v>3</v>
      </c>
      <c r="F239" s="96" t="s">
        <v>156</v>
      </c>
      <c r="G239" s="106" t="s">
        <v>218</v>
      </c>
      <c r="AZ239" s="92">
        <f>VLOOKUP(MAX($B$8:$B239),'Часть 0'!$H$3:$I$24,2,0)</f>
        <v>4</v>
      </c>
      <c r="BA239" s="93">
        <f>VLOOKUP(MAX($B$8:$B239),'Часть 0'!$H$3:$J$24,3,0)</f>
        <v>4</v>
      </c>
    </row>
    <row r="240" spans="2:53" x14ac:dyDescent="0.2">
      <c r="E240" s="95">
        <v>4</v>
      </c>
      <c r="F240" s="96" t="s">
        <v>156</v>
      </c>
      <c r="G240" s="105">
        <v>0.5</v>
      </c>
      <c r="AZ240" s="92">
        <f>VLOOKUP(MAX($B$8:$B240),'Часть 0'!$H$3:$I$24,2,0)</f>
        <v>4</v>
      </c>
      <c r="BA240" s="93">
        <f>VLOOKUP(MAX($B$8:$B240),'Часть 0'!$H$3:$J$24,3,0)</f>
        <v>4</v>
      </c>
    </row>
    <row r="241" spans="3:53" x14ac:dyDescent="0.2">
      <c r="E241" s="95">
        <v>5</v>
      </c>
      <c r="F241" s="96" t="s">
        <v>156</v>
      </c>
      <c r="G241" s="106" t="s">
        <v>219</v>
      </c>
      <c r="AZ241" s="92">
        <f>VLOOKUP(MAX($B$8:$B241),'Часть 0'!$H$3:$I$24,2,0)</f>
        <v>4</v>
      </c>
      <c r="BA241" s="93">
        <f>VLOOKUP(MAX($B$8:$B241),'Часть 0'!$H$3:$J$24,3,0)</f>
        <v>4</v>
      </c>
    </row>
    <row r="242" spans="3:53" ht="5.0999999999999996" customHeight="1" thickBot="1" x14ac:dyDescent="0.25">
      <c r="AZ242" s="92">
        <f>VLOOKUP(MAX($B$8:$B242),'Часть 0'!$H$3:$I$24,2,0)</f>
        <v>4</v>
      </c>
      <c r="BA242" s="93">
        <f>VLOOKUP(MAX($B$8:$B242),'Часть 0'!$H$3:$J$24,3,0)</f>
        <v>4</v>
      </c>
    </row>
    <row r="243" spans="3:53" ht="12" thickBot="1" x14ac:dyDescent="0.25">
      <c r="C243" s="93">
        <v>22</v>
      </c>
      <c r="D243" s="87" t="s">
        <v>220</v>
      </c>
      <c r="E243" s="87"/>
      <c r="F243" s="87"/>
      <c r="G243" s="87"/>
      <c r="H243" s="87"/>
      <c r="I243" s="109">
        <v>4</v>
      </c>
      <c r="AZ243" s="92">
        <f>VLOOKUP(MAX($B$8:$B243),'Часть 0'!$H$3:$I$24,2,0)</f>
        <v>4</v>
      </c>
      <c r="BA243" s="93">
        <f>VLOOKUP(MAX($B$8:$B243),'Часть 0'!$H$3:$J$24,3,0)</f>
        <v>4</v>
      </c>
    </row>
    <row r="244" spans="3:53" x14ac:dyDescent="0.2">
      <c r="G244" s="84"/>
      <c r="AZ244" s="92">
        <f>VLOOKUP(MAX($B$8:$B244),'Часть 0'!$H$3:$I$24,2,0)</f>
        <v>4</v>
      </c>
      <c r="BA244" s="93">
        <f>VLOOKUP(MAX($B$8:$B244),'Часть 0'!$H$3:$J$24,3,0)</f>
        <v>4</v>
      </c>
    </row>
    <row r="245" spans="3:53" x14ac:dyDescent="0.2">
      <c r="AZ245" s="92">
        <f>VLOOKUP(MAX($B$8:$B245),'Часть 0'!$H$3:$I$24,2,0)</f>
        <v>4</v>
      </c>
      <c r="BA245" s="93">
        <f>VLOOKUP(MAX($B$8:$B245),'Часть 0'!$H$3:$J$24,3,0)</f>
        <v>4</v>
      </c>
    </row>
    <row r="246" spans="3:53" x14ac:dyDescent="0.2">
      <c r="AZ246" s="92">
        <f>VLOOKUP(MAX($B$8:$B246),'Часть 0'!$H$3:$I$24,2,0)</f>
        <v>4</v>
      </c>
      <c r="BA246" s="93">
        <f>VLOOKUP(MAX($B$8:$B246),'Часть 0'!$H$3:$J$24,3,0)</f>
        <v>4</v>
      </c>
    </row>
    <row r="247" spans="3:53" x14ac:dyDescent="0.2">
      <c r="AZ247" s="92">
        <f>VLOOKUP(MAX($B$8:$B247),'Часть 0'!$H$3:$I$24,2,0)</f>
        <v>4</v>
      </c>
      <c r="BA247" s="93">
        <f>VLOOKUP(MAX($B$8:$B247),'Часть 0'!$H$3:$J$24,3,0)</f>
        <v>4</v>
      </c>
    </row>
    <row r="248" spans="3:53" x14ac:dyDescent="0.2">
      <c r="AZ248" s="92">
        <f>VLOOKUP(MAX($B$8:$B248),'Часть 0'!$H$3:$I$24,2,0)</f>
        <v>4</v>
      </c>
      <c r="BA248" s="93">
        <f>VLOOKUP(MAX($B$8:$B248),'Часть 0'!$H$3:$J$24,3,0)</f>
        <v>4</v>
      </c>
    </row>
    <row r="249" spans="3:53" x14ac:dyDescent="0.2">
      <c r="AZ249" s="92">
        <f>VLOOKUP(MAX($B$8:$B249),'Часть 0'!$H$3:$I$24,2,0)</f>
        <v>4</v>
      </c>
      <c r="BA249" s="93">
        <f>VLOOKUP(MAX($B$8:$B249),'Часть 0'!$H$3:$J$24,3,0)</f>
        <v>4</v>
      </c>
    </row>
    <row r="250" spans="3:53" x14ac:dyDescent="0.2">
      <c r="AZ250" s="92">
        <f>VLOOKUP(MAX($B$8:$B250),'Часть 0'!$H$3:$I$24,2,0)</f>
        <v>4</v>
      </c>
      <c r="BA250" s="93">
        <f>VLOOKUP(MAX($B$8:$B250),'Часть 0'!$H$3:$J$24,3,0)</f>
        <v>4</v>
      </c>
    </row>
    <row r="251" spans="3:53" x14ac:dyDescent="0.2">
      <c r="AZ251" s="92">
        <f>VLOOKUP(MAX($B$8:$B251),'Часть 0'!$H$3:$I$24,2,0)</f>
        <v>4</v>
      </c>
      <c r="BA251" s="93">
        <f>VLOOKUP(MAX($B$8:$B251),'Часть 0'!$H$3:$J$24,3,0)</f>
        <v>4</v>
      </c>
    </row>
    <row r="252" spans="3:53" x14ac:dyDescent="0.2">
      <c r="AZ252" s="92">
        <f>VLOOKUP(MAX($B$8:$B252),'Часть 0'!$H$3:$I$24,2,0)</f>
        <v>4</v>
      </c>
      <c r="BA252" s="93">
        <f>VLOOKUP(MAX($B$8:$B252),'Часть 0'!$H$3:$J$24,3,0)</f>
        <v>4</v>
      </c>
    </row>
    <row r="253" spans="3:53" x14ac:dyDescent="0.2">
      <c r="AZ253" s="92">
        <f>VLOOKUP(MAX($B$8:$B253),'Часть 0'!$H$3:$I$24,2,0)</f>
        <v>4</v>
      </c>
      <c r="BA253" s="93">
        <f>VLOOKUP(MAX($B$8:$B253),'Часть 0'!$H$3:$J$24,3,0)</f>
        <v>4</v>
      </c>
    </row>
    <row r="254" spans="3:53" x14ac:dyDescent="0.2">
      <c r="AZ254" s="92">
        <f>VLOOKUP(MAX($B$8:$B254),'Часть 0'!$H$3:$I$24,2,0)</f>
        <v>4</v>
      </c>
      <c r="BA254" s="93">
        <f>VLOOKUP(MAX($B$8:$B254),'Часть 0'!$H$3:$J$24,3,0)</f>
        <v>4</v>
      </c>
    </row>
    <row r="255" spans="3:53" x14ac:dyDescent="0.2">
      <c r="AZ255" s="92">
        <f>VLOOKUP(MAX($B$8:$B255),'Часть 0'!$H$3:$I$24,2,0)</f>
        <v>4</v>
      </c>
      <c r="BA255" s="93">
        <f>VLOOKUP(MAX($B$8:$B255),'Часть 0'!$H$3:$J$24,3,0)</f>
        <v>4</v>
      </c>
    </row>
    <row r="256" spans="3:53" x14ac:dyDescent="0.2">
      <c r="AZ256" s="92">
        <f>VLOOKUP(MAX($B$8:$B256),'Часть 0'!$H$3:$I$24,2,0)</f>
        <v>4</v>
      </c>
      <c r="BA256" s="93">
        <f>VLOOKUP(MAX($B$8:$B256),'Часть 0'!$H$3:$J$24,3,0)</f>
        <v>4</v>
      </c>
    </row>
    <row r="257" spans="52:53" x14ac:dyDescent="0.2">
      <c r="AZ257" s="92">
        <f>VLOOKUP(MAX($B$8:$B257),'Часть 0'!$H$3:$I$24,2,0)</f>
        <v>4</v>
      </c>
      <c r="BA257" s="93">
        <f>VLOOKUP(MAX($B$8:$B257),'Часть 0'!$H$3:$J$24,3,0)</f>
        <v>4</v>
      </c>
    </row>
    <row r="258" spans="52:53" x14ac:dyDescent="0.2">
      <c r="AZ258" s="92">
        <f>VLOOKUP(MAX($B$8:$B258),'Часть 0'!$H$3:$I$24,2,0)</f>
        <v>4</v>
      </c>
      <c r="BA258" s="93">
        <f>VLOOKUP(MAX($B$8:$B258),'Часть 0'!$H$3:$J$24,3,0)</f>
        <v>4</v>
      </c>
    </row>
    <row r="259" spans="52:53" x14ac:dyDescent="0.2">
      <c r="AZ259" s="92">
        <f>VLOOKUP(MAX($B$8:$B259),'Часть 0'!$H$3:$I$24,2,0)</f>
        <v>4</v>
      </c>
      <c r="BA259" s="93">
        <f>VLOOKUP(MAX($B$8:$B259),'Часть 0'!$H$3:$J$24,3,0)</f>
        <v>4</v>
      </c>
    </row>
    <row r="260" spans="52:53" x14ac:dyDescent="0.2">
      <c r="AZ260" s="92">
        <f>VLOOKUP(MAX($B$8:$B260),'Часть 0'!$H$3:$I$24,2,0)</f>
        <v>4</v>
      </c>
      <c r="BA260" s="93">
        <f>VLOOKUP(MAX($B$8:$B260),'Часть 0'!$H$3:$J$24,3,0)</f>
        <v>4</v>
      </c>
    </row>
    <row r="261" spans="52:53" x14ac:dyDescent="0.2">
      <c r="AZ261" s="92">
        <f>VLOOKUP(MAX($B$8:$B261),'Часть 0'!$H$3:$I$24,2,0)</f>
        <v>4</v>
      </c>
      <c r="BA261" s="93">
        <f>VLOOKUP(MAX($B$8:$B261),'Часть 0'!$H$3:$J$24,3,0)</f>
        <v>4</v>
      </c>
    </row>
    <row r="262" spans="52:53" x14ac:dyDescent="0.2">
      <c r="AZ262" s="92">
        <f>VLOOKUP(MAX($B$8:$B262),'Часть 0'!$H$3:$I$24,2,0)</f>
        <v>4</v>
      </c>
      <c r="BA262" s="93">
        <f>VLOOKUP(MAX($B$8:$B262),'Часть 0'!$H$3:$J$24,3,0)</f>
        <v>4</v>
      </c>
    </row>
    <row r="263" spans="52:53" x14ac:dyDescent="0.2">
      <c r="AZ263" s="92">
        <f>VLOOKUP(MAX($B$8:$B263),'Часть 0'!$H$3:$I$24,2,0)</f>
        <v>4</v>
      </c>
      <c r="BA263" s="93">
        <f>VLOOKUP(MAX($B$8:$B263),'Часть 0'!$H$3:$J$24,3,0)</f>
        <v>4</v>
      </c>
    </row>
    <row r="264" spans="52:53" x14ac:dyDescent="0.2">
      <c r="AZ264" s="92">
        <f>VLOOKUP(MAX($B$8:$B264),'Часть 0'!$H$3:$I$24,2,0)</f>
        <v>4</v>
      </c>
      <c r="BA264" s="93">
        <f>VLOOKUP(MAX($B$8:$B264),'Часть 0'!$H$3:$J$24,3,0)</f>
        <v>4</v>
      </c>
    </row>
    <row r="265" spans="52:53" x14ac:dyDescent="0.2">
      <c r="AZ265" s="92">
        <f>VLOOKUP(MAX($B$8:$B265),'Часть 0'!$H$3:$I$24,2,0)</f>
        <v>4</v>
      </c>
      <c r="BA265" s="93">
        <f>VLOOKUP(MAX($B$8:$B265),'Часть 0'!$H$3:$J$24,3,0)</f>
        <v>4</v>
      </c>
    </row>
    <row r="266" spans="52:53" x14ac:dyDescent="0.2">
      <c r="AZ266" s="92">
        <f>VLOOKUP(MAX($B$8:$B266),'Часть 0'!$H$3:$I$24,2,0)</f>
        <v>4</v>
      </c>
      <c r="BA266" s="93">
        <f>VLOOKUP(MAX($B$8:$B266),'Часть 0'!$H$3:$J$24,3,0)</f>
        <v>4</v>
      </c>
    </row>
    <row r="267" spans="52:53" x14ac:dyDescent="0.2">
      <c r="AZ267" s="92">
        <f>VLOOKUP(MAX($B$8:$B267),'Часть 0'!$H$3:$I$24,2,0)</f>
        <v>4</v>
      </c>
      <c r="BA267" s="93">
        <f>VLOOKUP(MAX($B$8:$B267),'Часть 0'!$H$3:$J$24,3,0)</f>
        <v>4</v>
      </c>
    </row>
    <row r="268" spans="52:53" x14ac:dyDescent="0.2">
      <c r="AZ268" s="92">
        <f>VLOOKUP(MAX($B$8:$B268),'Часть 0'!$H$3:$I$24,2,0)</f>
        <v>4</v>
      </c>
      <c r="BA268" s="93">
        <f>VLOOKUP(MAX($B$8:$B268),'Часть 0'!$H$3:$J$24,3,0)</f>
        <v>4</v>
      </c>
    </row>
    <row r="269" spans="52:53" x14ac:dyDescent="0.2">
      <c r="AZ269" s="92">
        <f>VLOOKUP(MAX($B$8:$B269),'Часть 0'!$H$3:$I$24,2,0)</f>
        <v>4</v>
      </c>
      <c r="BA269" s="93">
        <f>VLOOKUP(MAX($B$8:$B269),'Часть 0'!$H$3:$J$24,3,0)</f>
        <v>4</v>
      </c>
    </row>
    <row r="270" spans="52:53" x14ac:dyDescent="0.2">
      <c r="AZ270" s="92">
        <f>VLOOKUP(MAX($B$8:$B270),'Часть 0'!$H$3:$I$24,2,0)</f>
        <v>4</v>
      </c>
      <c r="BA270" s="93">
        <f>VLOOKUP(MAX($B$8:$B270),'Часть 0'!$H$3:$J$24,3,0)</f>
        <v>4</v>
      </c>
    </row>
    <row r="271" spans="52:53" x14ac:dyDescent="0.2">
      <c r="AZ271" s="92">
        <f>VLOOKUP(MAX($B$8:$B271),'Часть 0'!$H$3:$I$24,2,0)</f>
        <v>4</v>
      </c>
      <c r="BA271" s="93">
        <f>VLOOKUP(MAX($B$8:$B271),'Часть 0'!$H$3:$J$24,3,0)</f>
        <v>4</v>
      </c>
    </row>
    <row r="272" spans="52:53" x14ac:dyDescent="0.2">
      <c r="AZ272" s="92">
        <f>VLOOKUP(MAX($B$8:$B272),'Часть 0'!$H$3:$I$24,2,0)</f>
        <v>4</v>
      </c>
      <c r="BA272" s="93">
        <f>VLOOKUP(MAX($B$8:$B272),'Часть 0'!$H$3:$J$24,3,0)</f>
        <v>4</v>
      </c>
    </row>
    <row r="273" spans="52:53" x14ac:dyDescent="0.2">
      <c r="AZ273" s="92">
        <f>VLOOKUP(MAX($B$8:$B273),'Часть 0'!$H$3:$I$24,2,0)</f>
        <v>4</v>
      </c>
      <c r="BA273" s="93">
        <f>VLOOKUP(MAX($B$8:$B273),'Часть 0'!$H$3:$J$24,3,0)</f>
        <v>4</v>
      </c>
    </row>
    <row r="274" spans="52:53" x14ac:dyDescent="0.2">
      <c r="AZ274" s="92">
        <f>VLOOKUP(MAX($B$8:$B274),'Часть 0'!$H$3:$I$24,2,0)</f>
        <v>4</v>
      </c>
      <c r="BA274" s="93">
        <f>VLOOKUP(MAX($B$8:$B274),'Часть 0'!$H$3:$J$24,3,0)</f>
        <v>4</v>
      </c>
    </row>
    <row r="275" spans="52:53" x14ac:dyDescent="0.2">
      <c r="AZ275" s="92">
        <f>VLOOKUP(MAX($B$8:$B275),'Часть 0'!$H$3:$I$24,2,0)</f>
        <v>4</v>
      </c>
      <c r="BA275" s="93">
        <f>VLOOKUP(MAX($B$8:$B275),'Часть 0'!$H$3:$J$24,3,0)</f>
        <v>4</v>
      </c>
    </row>
    <row r="276" spans="52:53" x14ac:dyDescent="0.2">
      <c r="AZ276" s="92">
        <f>VLOOKUP(MAX($B$8:$B276),'Часть 0'!$H$3:$I$24,2,0)</f>
        <v>4</v>
      </c>
      <c r="BA276" s="93">
        <f>VLOOKUP(MAX($B$8:$B276),'Часть 0'!$H$3:$J$24,3,0)</f>
        <v>4</v>
      </c>
    </row>
    <row r="277" spans="52:53" x14ac:dyDescent="0.2">
      <c r="AZ277" s="92">
        <f>VLOOKUP(MAX($B$8:$B277),'Часть 0'!$H$3:$I$24,2,0)</f>
        <v>4</v>
      </c>
      <c r="BA277" s="93">
        <f>VLOOKUP(MAX($B$8:$B277),'Часть 0'!$H$3:$J$24,3,0)</f>
        <v>4</v>
      </c>
    </row>
    <row r="278" spans="52:53" x14ac:dyDescent="0.2">
      <c r="AZ278" s="92">
        <f>VLOOKUP(MAX($B$8:$B278),'Часть 0'!$H$3:$I$24,2,0)</f>
        <v>4</v>
      </c>
      <c r="BA278" s="93">
        <f>VLOOKUP(MAX($B$8:$B278),'Часть 0'!$H$3:$J$24,3,0)</f>
        <v>4</v>
      </c>
    </row>
    <row r="279" spans="52:53" x14ac:dyDescent="0.2">
      <c r="AZ279" s="92">
        <f>VLOOKUP(MAX($B$8:$B279),'Часть 0'!$H$3:$I$24,2,0)</f>
        <v>4</v>
      </c>
      <c r="BA279" s="93">
        <f>VLOOKUP(MAX($B$8:$B279),'Часть 0'!$H$3:$J$24,3,0)</f>
        <v>4</v>
      </c>
    </row>
    <row r="280" spans="52:53" x14ac:dyDescent="0.2">
      <c r="AZ280" s="92">
        <f>VLOOKUP(MAX($B$8:$B280),'Часть 0'!$H$3:$I$24,2,0)</f>
        <v>4</v>
      </c>
      <c r="BA280" s="93">
        <f>VLOOKUP(MAX($B$8:$B280),'Часть 0'!$H$3:$J$24,3,0)</f>
        <v>4</v>
      </c>
    </row>
    <row r="281" spans="52:53" x14ac:dyDescent="0.2">
      <c r="AZ281" s="92">
        <f>VLOOKUP(MAX($B$8:$B281),'Часть 0'!$H$3:$I$24,2,0)</f>
        <v>4</v>
      </c>
      <c r="BA281" s="93">
        <f>VLOOKUP(MAX($B$8:$B281),'Часть 0'!$H$3:$J$24,3,0)</f>
        <v>4</v>
      </c>
    </row>
    <row r="282" spans="52:53" x14ac:dyDescent="0.2">
      <c r="AZ282" s="92">
        <f>VLOOKUP(MAX($B$8:$B282),'Часть 0'!$H$3:$I$24,2,0)</f>
        <v>4</v>
      </c>
      <c r="BA282" s="93">
        <f>VLOOKUP(MAX($B$8:$B282),'Часть 0'!$H$3:$J$24,3,0)</f>
        <v>4</v>
      </c>
    </row>
    <row r="283" spans="52:53" x14ac:dyDescent="0.2">
      <c r="AZ283" s="92">
        <f>VLOOKUP(MAX($B$8:$B283),'Часть 0'!$H$3:$I$24,2,0)</f>
        <v>4</v>
      </c>
      <c r="BA283" s="93">
        <f>VLOOKUP(MAX($B$8:$B283),'Часть 0'!$H$3:$J$24,3,0)</f>
        <v>4</v>
      </c>
    </row>
    <row r="284" spans="52:53" x14ac:dyDescent="0.2">
      <c r="AZ284" s="92">
        <f>VLOOKUP(MAX($B$8:$B284),'Часть 0'!$H$3:$I$24,2,0)</f>
        <v>4</v>
      </c>
      <c r="BA284" s="93">
        <f>VLOOKUP(MAX($B$8:$B284),'Часть 0'!$H$3:$J$24,3,0)</f>
        <v>4</v>
      </c>
    </row>
    <row r="285" spans="52:53" x14ac:dyDescent="0.2">
      <c r="AZ285" s="92">
        <f>VLOOKUP(MAX($B$8:$B285),'Часть 0'!$H$3:$I$24,2,0)</f>
        <v>4</v>
      </c>
      <c r="BA285" s="93">
        <f>VLOOKUP(MAX($B$8:$B285),'Часть 0'!$H$3:$J$24,3,0)</f>
        <v>4</v>
      </c>
    </row>
    <row r="286" spans="52:53" x14ac:dyDescent="0.2">
      <c r="AZ286" s="92">
        <f>VLOOKUP(MAX($B$8:$B286),'Часть 0'!$H$3:$I$24,2,0)</f>
        <v>4</v>
      </c>
      <c r="BA286" s="93">
        <f>VLOOKUP(MAX($B$8:$B286),'Часть 0'!$H$3:$J$24,3,0)</f>
        <v>4</v>
      </c>
    </row>
    <row r="287" spans="52:53" x14ac:dyDescent="0.2">
      <c r="AZ287" s="92">
        <f>VLOOKUP(MAX($B$8:$B287),'Часть 0'!$H$3:$I$24,2,0)</f>
        <v>4</v>
      </c>
      <c r="BA287" s="93">
        <f>VLOOKUP(MAX($B$8:$B287),'Часть 0'!$H$3:$J$24,3,0)</f>
        <v>4</v>
      </c>
    </row>
    <row r="288" spans="52:53" x14ac:dyDescent="0.2">
      <c r="AZ288" s="92">
        <f>VLOOKUP(MAX($B$8:$B288),'Часть 0'!$H$3:$I$24,2,0)</f>
        <v>4</v>
      </c>
      <c r="BA288" s="93">
        <f>VLOOKUP(MAX($B$8:$B288),'Часть 0'!$H$3:$J$24,3,0)</f>
        <v>4</v>
      </c>
    </row>
    <row r="289" spans="52:53" x14ac:dyDescent="0.2">
      <c r="AZ289" s="92">
        <f>VLOOKUP(MAX($B$8:$B289),'Часть 0'!$H$3:$I$24,2,0)</f>
        <v>4</v>
      </c>
      <c r="BA289" s="93">
        <f>VLOOKUP(MAX($B$8:$B289),'Часть 0'!$H$3:$J$24,3,0)</f>
        <v>4</v>
      </c>
    </row>
    <row r="290" spans="52:53" x14ac:dyDescent="0.2">
      <c r="AZ290" s="92">
        <f>VLOOKUP(MAX($B$8:$B290),'Часть 0'!$H$3:$I$24,2,0)</f>
        <v>4</v>
      </c>
      <c r="BA290" s="93">
        <f>VLOOKUP(MAX($B$8:$B290),'Часть 0'!$H$3:$J$24,3,0)</f>
        <v>4</v>
      </c>
    </row>
    <row r="291" spans="52:53" x14ac:dyDescent="0.2">
      <c r="AZ291" s="92">
        <f>VLOOKUP(MAX($B$8:$B291),'Часть 0'!$H$3:$I$24,2,0)</f>
        <v>4</v>
      </c>
      <c r="BA291" s="93">
        <f>VLOOKUP(MAX($B$8:$B291),'Часть 0'!$H$3:$J$24,3,0)</f>
        <v>4</v>
      </c>
    </row>
    <row r="292" spans="52:53" x14ac:dyDescent="0.2">
      <c r="AZ292" s="92">
        <f>VLOOKUP(MAX($B$8:$B292),'Часть 0'!$H$3:$I$24,2,0)</f>
        <v>4</v>
      </c>
      <c r="BA292" s="93">
        <f>VLOOKUP(MAX($B$8:$B292),'Часть 0'!$H$3:$J$24,3,0)</f>
        <v>4</v>
      </c>
    </row>
    <row r="293" spans="52:53" x14ac:dyDescent="0.2">
      <c r="AZ293" s="92">
        <f>VLOOKUP(MAX($B$8:$B293),'Часть 0'!$H$3:$I$24,2,0)</f>
        <v>4</v>
      </c>
      <c r="BA293" s="93">
        <f>VLOOKUP(MAX($B$8:$B293),'Часть 0'!$H$3:$J$24,3,0)</f>
        <v>4</v>
      </c>
    </row>
    <row r="294" spans="52:53" x14ac:dyDescent="0.2">
      <c r="AZ294" s="92">
        <f>VLOOKUP(MAX($B$8:$B294),'Часть 0'!$H$3:$I$24,2,0)</f>
        <v>4</v>
      </c>
      <c r="BA294" s="93">
        <f>VLOOKUP(MAX($B$8:$B294),'Часть 0'!$H$3:$J$24,3,0)</f>
        <v>4</v>
      </c>
    </row>
    <row r="295" spans="52:53" x14ac:dyDescent="0.2">
      <c r="AZ295" s="92">
        <f>VLOOKUP(MAX($B$8:$B295),'Часть 0'!$H$3:$I$24,2,0)</f>
        <v>4</v>
      </c>
      <c r="BA295" s="93">
        <f>VLOOKUP(MAX($B$8:$B295),'Часть 0'!$H$3:$J$24,3,0)</f>
        <v>4</v>
      </c>
    </row>
    <row r="296" spans="52:53" x14ac:dyDescent="0.2">
      <c r="AZ296" s="92">
        <f>VLOOKUP(MAX($B$8:$B296),'Часть 0'!$H$3:$I$24,2,0)</f>
        <v>4</v>
      </c>
      <c r="BA296" s="93">
        <f>VLOOKUP(MAX($B$8:$B296),'Часть 0'!$H$3:$J$24,3,0)</f>
        <v>4</v>
      </c>
    </row>
    <row r="297" spans="52:53" x14ac:dyDescent="0.2">
      <c r="AZ297" s="92">
        <f>VLOOKUP(MAX($B$8:$B297),'Часть 0'!$H$3:$I$24,2,0)</f>
        <v>4</v>
      </c>
      <c r="BA297" s="93">
        <f>VLOOKUP(MAX($B$8:$B297),'Часть 0'!$H$3:$J$24,3,0)</f>
        <v>4</v>
      </c>
    </row>
    <row r="298" spans="52:53" x14ac:dyDescent="0.2">
      <c r="AZ298" s="92">
        <f>VLOOKUP(MAX($B$8:$B298),'Часть 0'!$H$3:$I$24,2,0)</f>
        <v>4</v>
      </c>
      <c r="BA298" s="93">
        <f>VLOOKUP(MAX($B$8:$B298),'Часть 0'!$H$3:$J$24,3,0)</f>
        <v>4</v>
      </c>
    </row>
    <row r="299" spans="52:53" x14ac:dyDescent="0.2">
      <c r="AZ299" s="92">
        <f>VLOOKUP(MAX($B$8:$B299),'Часть 0'!$H$3:$I$24,2,0)</f>
        <v>4</v>
      </c>
      <c r="BA299" s="93">
        <f>VLOOKUP(MAX($B$8:$B299),'Часть 0'!$H$3:$J$24,3,0)</f>
        <v>4</v>
      </c>
    </row>
    <row r="300" spans="52:53" x14ac:dyDescent="0.2">
      <c r="AZ300" s="92">
        <f>VLOOKUP(MAX($B$8:$B300),'Часть 0'!$H$3:$I$24,2,0)</f>
        <v>4</v>
      </c>
      <c r="BA300" s="93">
        <f>VLOOKUP(MAX($B$8:$B300),'Часть 0'!$H$3:$J$24,3,0)</f>
        <v>4</v>
      </c>
    </row>
    <row r="301" spans="52:53" x14ac:dyDescent="0.2">
      <c r="AZ301" s="92">
        <f>VLOOKUP(MAX($B$8:$B301),'Часть 0'!$H$3:$I$24,2,0)</f>
        <v>4</v>
      </c>
      <c r="BA301" s="93">
        <f>VLOOKUP(MAX($B$8:$B301),'Часть 0'!$H$3:$J$24,3,0)</f>
        <v>4</v>
      </c>
    </row>
    <row r="302" spans="52:53" x14ac:dyDescent="0.2">
      <c r="AZ302" s="92">
        <f>VLOOKUP(MAX($B$8:$B302),'Часть 0'!$H$3:$I$24,2,0)</f>
        <v>4</v>
      </c>
      <c r="BA302" s="93">
        <f>VLOOKUP(MAX($B$8:$B302),'Часть 0'!$H$3:$J$24,3,0)</f>
        <v>4</v>
      </c>
    </row>
    <row r="303" spans="52:53" x14ac:dyDescent="0.2">
      <c r="AZ303" s="92">
        <f>VLOOKUP(MAX($B$8:$B303),'Часть 0'!$H$3:$I$24,2,0)</f>
        <v>4</v>
      </c>
      <c r="BA303" s="93">
        <f>VLOOKUP(MAX($B$8:$B303),'Часть 0'!$H$3:$J$24,3,0)</f>
        <v>4</v>
      </c>
    </row>
    <row r="304" spans="52:53" x14ac:dyDescent="0.2">
      <c r="AZ304" s="92">
        <f>VLOOKUP(MAX($B$8:$B304),'Часть 0'!$H$3:$I$24,2,0)</f>
        <v>4</v>
      </c>
      <c r="BA304" s="93">
        <f>VLOOKUP(MAX($B$8:$B304),'Часть 0'!$H$3:$J$24,3,0)</f>
        <v>4</v>
      </c>
    </row>
    <row r="305" spans="52:53" x14ac:dyDescent="0.2">
      <c r="AZ305" s="92">
        <f>VLOOKUP(MAX($B$8:$B305),'Часть 0'!$H$3:$I$24,2,0)</f>
        <v>4</v>
      </c>
      <c r="BA305" s="93">
        <f>VLOOKUP(MAX($B$8:$B305),'Часть 0'!$H$3:$J$24,3,0)</f>
        <v>4</v>
      </c>
    </row>
    <row r="306" spans="52:53" x14ac:dyDescent="0.2">
      <c r="AZ306" s="92">
        <f>VLOOKUP(MAX($B$8:$B306),'Часть 0'!$H$3:$I$24,2,0)</f>
        <v>4</v>
      </c>
      <c r="BA306" s="93">
        <f>VLOOKUP(MAX($B$8:$B306),'Часть 0'!$H$3:$J$24,3,0)</f>
        <v>4</v>
      </c>
    </row>
    <row r="307" spans="52:53" x14ac:dyDescent="0.2">
      <c r="AZ307" s="92">
        <f>VLOOKUP(MAX($B$8:$B307),'Часть 0'!$H$3:$I$24,2,0)</f>
        <v>4</v>
      </c>
      <c r="BA307" s="93">
        <f>VLOOKUP(MAX($B$8:$B307),'Часть 0'!$H$3:$J$24,3,0)</f>
        <v>4</v>
      </c>
    </row>
    <row r="308" spans="52:53" x14ac:dyDescent="0.2">
      <c r="AZ308" s="92">
        <f>VLOOKUP(MAX($B$8:$B308),'Часть 0'!$H$3:$I$24,2,0)</f>
        <v>4</v>
      </c>
      <c r="BA308" s="93">
        <f>VLOOKUP(MAX($B$8:$B308),'Часть 0'!$H$3:$J$24,3,0)</f>
        <v>4</v>
      </c>
    </row>
    <row r="309" spans="52:53" x14ac:dyDescent="0.2">
      <c r="AZ309" s="92">
        <f>VLOOKUP(MAX($B$8:$B309),'Часть 0'!$H$3:$I$24,2,0)</f>
        <v>4</v>
      </c>
      <c r="BA309" s="93">
        <f>VLOOKUP(MAX($B$8:$B309),'Часть 0'!$H$3:$J$24,3,0)</f>
        <v>4</v>
      </c>
    </row>
    <row r="310" spans="52:53" x14ac:dyDescent="0.2">
      <c r="AZ310" s="92">
        <f>VLOOKUP(MAX($B$8:$B310),'Часть 0'!$H$3:$I$24,2,0)</f>
        <v>4</v>
      </c>
      <c r="BA310" s="93">
        <f>VLOOKUP(MAX($B$8:$B310),'Часть 0'!$H$3:$J$24,3,0)</f>
        <v>4</v>
      </c>
    </row>
    <row r="311" spans="52:53" x14ac:dyDescent="0.2">
      <c r="AZ311" s="92">
        <f>VLOOKUP(MAX($B$8:$B311),'Часть 0'!$H$3:$I$24,2,0)</f>
        <v>4</v>
      </c>
      <c r="BA311" s="93">
        <f>VLOOKUP(MAX($B$8:$B311),'Часть 0'!$H$3:$J$24,3,0)</f>
        <v>4</v>
      </c>
    </row>
    <row r="312" spans="52:53" x14ac:dyDescent="0.2">
      <c r="AZ312" s="92">
        <f>VLOOKUP(MAX($B$8:$B312),'Часть 0'!$H$3:$I$24,2,0)</f>
        <v>4</v>
      </c>
      <c r="BA312" s="93">
        <f>VLOOKUP(MAX($B$8:$B312),'Часть 0'!$H$3:$J$24,3,0)</f>
        <v>4</v>
      </c>
    </row>
    <row r="313" spans="52:53" x14ac:dyDescent="0.2">
      <c r="AZ313" s="92">
        <f>VLOOKUP(MAX($B$8:$B313),'Часть 0'!$H$3:$I$24,2,0)</f>
        <v>4</v>
      </c>
      <c r="BA313" s="93">
        <f>VLOOKUP(MAX($B$8:$B313),'Часть 0'!$H$3:$J$24,3,0)</f>
        <v>4</v>
      </c>
    </row>
    <row r="314" spans="52:53" x14ac:dyDescent="0.2">
      <c r="AZ314" s="92">
        <f>VLOOKUP(MAX($B$8:$B314),'Часть 0'!$H$3:$I$24,2,0)</f>
        <v>4</v>
      </c>
      <c r="BA314" s="93">
        <f>VLOOKUP(MAX($B$8:$B314),'Часть 0'!$H$3:$J$24,3,0)</f>
        <v>4</v>
      </c>
    </row>
    <row r="315" spans="52:53" x14ac:dyDescent="0.2">
      <c r="AZ315" s="92">
        <f>VLOOKUP(MAX($B$8:$B315),'Часть 0'!$H$3:$I$24,2,0)</f>
        <v>4</v>
      </c>
      <c r="BA315" s="93">
        <f>VLOOKUP(MAX($B$8:$B315),'Часть 0'!$H$3:$J$24,3,0)</f>
        <v>4</v>
      </c>
    </row>
    <row r="316" spans="52:53" x14ac:dyDescent="0.2">
      <c r="AZ316" s="92">
        <f>VLOOKUP(MAX($B$8:$B316),'Часть 0'!$H$3:$I$24,2,0)</f>
        <v>4</v>
      </c>
      <c r="BA316" s="93">
        <f>VLOOKUP(MAX($B$8:$B316),'Часть 0'!$H$3:$J$24,3,0)</f>
        <v>4</v>
      </c>
    </row>
    <row r="317" spans="52:53" x14ac:dyDescent="0.2">
      <c r="AZ317" s="92">
        <f>VLOOKUP(MAX($B$8:$B317),'Часть 0'!$H$3:$I$24,2,0)</f>
        <v>4</v>
      </c>
      <c r="BA317" s="93">
        <f>VLOOKUP(MAX($B$8:$B317),'Часть 0'!$H$3:$J$24,3,0)</f>
        <v>4</v>
      </c>
    </row>
    <row r="318" spans="52:53" x14ac:dyDescent="0.2">
      <c r="AZ318" s="92">
        <f>VLOOKUP(MAX($B$8:$B318),'Часть 0'!$H$3:$I$24,2,0)</f>
        <v>4</v>
      </c>
      <c r="BA318" s="93">
        <f>VLOOKUP(MAX($B$8:$B318),'Часть 0'!$H$3:$J$24,3,0)</f>
        <v>4</v>
      </c>
    </row>
    <row r="319" spans="52:53" x14ac:dyDescent="0.2">
      <c r="AZ319" s="92">
        <f>VLOOKUP(MAX($B$8:$B319),'Часть 0'!$H$3:$I$24,2,0)</f>
        <v>4</v>
      </c>
      <c r="BA319" s="93">
        <f>VLOOKUP(MAX($B$8:$B319),'Часть 0'!$H$3:$J$24,3,0)</f>
        <v>4</v>
      </c>
    </row>
    <row r="320" spans="52:53" x14ac:dyDescent="0.2">
      <c r="AZ320" s="92">
        <f>VLOOKUP(MAX($B$8:$B320),'Часть 0'!$H$3:$I$24,2,0)</f>
        <v>4</v>
      </c>
      <c r="BA320" s="93">
        <f>VLOOKUP(MAX($B$8:$B320),'Часть 0'!$H$3:$J$24,3,0)</f>
        <v>4</v>
      </c>
    </row>
    <row r="321" spans="52:53" x14ac:dyDescent="0.2">
      <c r="AZ321" s="92">
        <f>VLOOKUP(MAX($B$8:$B321),'Часть 0'!$H$3:$I$24,2,0)</f>
        <v>4</v>
      </c>
      <c r="BA321" s="93">
        <f>VLOOKUP(MAX($B$8:$B321),'Часть 0'!$H$3:$J$24,3,0)</f>
        <v>4</v>
      </c>
    </row>
    <row r="322" spans="52:53" x14ac:dyDescent="0.2">
      <c r="AZ322" s="92">
        <f>VLOOKUP(MAX($B$8:$B322),'Часть 0'!$H$3:$I$24,2,0)</f>
        <v>4</v>
      </c>
      <c r="BA322" s="93">
        <f>VLOOKUP(MAX($B$8:$B322),'Часть 0'!$H$3:$J$24,3,0)</f>
        <v>4</v>
      </c>
    </row>
    <row r="323" spans="52:53" x14ac:dyDescent="0.2">
      <c r="AZ323" s="92">
        <f>VLOOKUP(MAX($B$8:$B323),'Часть 0'!$H$3:$I$24,2,0)</f>
        <v>4</v>
      </c>
      <c r="BA323" s="93">
        <f>VLOOKUP(MAX($B$8:$B323),'Часть 0'!$H$3:$J$24,3,0)</f>
        <v>4</v>
      </c>
    </row>
    <row r="324" spans="52:53" x14ac:dyDescent="0.2">
      <c r="AZ324" s="92">
        <f>VLOOKUP(MAX($B$8:$B324),'Часть 0'!$H$3:$I$24,2,0)</f>
        <v>4</v>
      </c>
      <c r="BA324" s="93">
        <f>VLOOKUP(MAX($B$8:$B324),'Часть 0'!$H$3:$J$24,3,0)</f>
        <v>4</v>
      </c>
    </row>
    <row r="1048576" spans="1:53" s="107" customFormat="1" ht="15" x14ac:dyDescent="0.25">
      <c r="A1048576" s="94"/>
      <c r="AZ1048576" s="108"/>
      <c r="BA1048576" s="108"/>
    </row>
  </sheetData>
  <sheetProtection algorithmName="SHA-512" hashValue="lb3gO33iZs5+ZpOXmAC2yxXN1nFM4oBlI8Y0e5RPDEWB8dIzIVTanSFCZ7PcquBKBK74QjO1dv+g0W4qkGeJUg==" saltValue="jnitKTx0B/OhIgMjCDY3XQ==" spinCount="100000" sheet="1" objects="1" scenarios="1" selectLockedCells="1"/>
  <conditionalFormatting sqref="E10">
    <cfRule type="cellIs" dxfId="371" priority="23" operator="equal">
      <formula>$BA8</formula>
    </cfRule>
  </conditionalFormatting>
  <conditionalFormatting sqref="E11:E16">
    <cfRule type="cellIs" dxfId="370" priority="22" operator="equal">
      <formula>$BA9</formula>
    </cfRule>
  </conditionalFormatting>
  <conditionalFormatting sqref="E23:E27">
    <cfRule type="cellIs" dxfId="369" priority="21" operator="equal">
      <formula>$BA21</formula>
    </cfRule>
  </conditionalFormatting>
  <conditionalFormatting sqref="E34:E38">
    <cfRule type="cellIs" dxfId="368" priority="20" operator="equal">
      <formula>$BA32</formula>
    </cfRule>
  </conditionalFormatting>
  <conditionalFormatting sqref="E45:E49">
    <cfRule type="cellIs" dxfId="367" priority="19" operator="equal">
      <formula>$BA43</formula>
    </cfRule>
  </conditionalFormatting>
  <conditionalFormatting sqref="E56:E60">
    <cfRule type="cellIs" dxfId="366" priority="18" operator="equal">
      <formula>$BA54</formula>
    </cfRule>
  </conditionalFormatting>
  <conditionalFormatting sqref="E66:E72">
    <cfRule type="cellIs" dxfId="365" priority="17" operator="equal">
      <formula>$BA64</formula>
    </cfRule>
  </conditionalFormatting>
  <conditionalFormatting sqref="E78:E81">
    <cfRule type="cellIs" dxfId="364" priority="16" operator="equal">
      <formula>$BA76</formula>
    </cfRule>
  </conditionalFormatting>
  <conditionalFormatting sqref="E87:E94">
    <cfRule type="cellIs" dxfId="363" priority="15" operator="equal">
      <formula>$BA85</formula>
    </cfRule>
  </conditionalFormatting>
  <conditionalFormatting sqref="E100:E104">
    <cfRule type="cellIs" dxfId="362" priority="14" operator="equal">
      <formula>$BA98</formula>
    </cfRule>
  </conditionalFormatting>
  <conditionalFormatting sqref="E110:E118">
    <cfRule type="cellIs" dxfId="361" priority="13" operator="equal">
      <formula>$BA108</formula>
    </cfRule>
  </conditionalFormatting>
  <conditionalFormatting sqref="E124:E131">
    <cfRule type="cellIs" dxfId="360" priority="12" operator="equal">
      <formula>$BA122</formula>
    </cfRule>
  </conditionalFormatting>
  <conditionalFormatting sqref="E137:E143">
    <cfRule type="cellIs" dxfId="359" priority="11" operator="equal">
      <formula>$BA135</formula>
    </cfRule>
  </conditionalFormatting>
  <conditionalFormatting sqref="E149:E151">
    <cfRule type="cellIs" dxfId="358" priority="10" operator="equal">
      <formula>$BA147</formula>
    </cfRule>
  </conditionalFormatting>
  <conditionalFormatting sqref="E157:E161">
    <cfRule type="cellIs" dxfId="357" priority="9" operator="equal">
      <formula>$BA155</formula>
    </cfRule>
  </conditionalFormatting>
  <conditionalFormatting sqref="E167:E171">
    <cfRule type="cellIs" dxfId="356" priority="8" operator="equal">
      <formula>$BA165</formula>
    </cfRule>
  </conditionalFormatting>
  <conditionalFormatting sqref="E177:E181">
    <cfRule type="cellIs" dxfId="355" priority="7" operator="equal">
      <formula>$BA175</formula>
    </cfRule>
  </conditionalFormatting>
  <conditionalFormatting sqref="E187:E190">
    <cfRule type="cellIs" dxfId="354" priority="6" operator="equal">
      <formula>$BA185</formula>
    </cfRule>
  </conditionalFormatting>
  <conditionalFormatting sqref="E196:E199">
    <cfRule type="cellIs" dxfId="353" priority="5" operator="equal">
      <formula>$BA194</formula>
    </cfRule>
  </conditionalFormatting>
  <conditionalFormatting sqref="E205:E209">
    <cfRule type="cellIs" dxfId="352" priority="4" operator="equal">
      <formula>$BA203</formula>
    </cfRule>
  </conditionalFormatting>
  <conditionalFormatting sqref="E215:E219">
    <cfRule type="cellIs" dxfId="351" priority="3" operator="equal">
      <formula>$BA213</formula>
    </cfRule>
  </conditionalFormatting>
  <conditionalFormatting sqref="E225:E229">
    <cfRule type="cellIs" dxfId="350" priority="2" operator="equal">
      <formula>$BA223</formula>
    </cfRule>
  </conditionalFormatting>
  <conditionalFormatting sqref="E237:E241">
    <cfRule type="cellIs" dxfId="349" priority="1" operator="equal">
      <formula>$BA235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/>
  <dimension ref="A1:BA1048576"/>
  <sheetViews>
    <sheetView zoomScaleNormal="100" workbookViewId="0">
      <pane xSplit="26" ySplit="6" topLeftCell="AA7" activePane="bottomRight" state="frozenSplit"/>
      <selection pane="topRight" activeCell="AA1" sqref="AA1"/>
      <selection pane="bottomLeft" activeCell="A7" sqref="A7"/>
      <selection pane="bottomRight" activeCell="I18" sqref="I18"/>
    </sheetView>
  </sheetViews>
  <sheetFormatPr defaultRowHeight="11.25" x14ac:dyDescent="0.2"/>
  <cols>
    <col min="1" max="1" width="4.7109375" style="2" customWidth="1"/>
    <col min="2" max="2" width="2.7109375" style="6" bestFit="1" customWidth="1"/>
    <col min="3" max="3" width="1.7109375" style="6" customWidth="1"/>
    <col min="4" max="4" width="1.7109375" style="2" customWidth="1"/>
    <col min="5" max="5" width="2.7109375" style="11" customWidth="1"/>
    <col min="6" max="6" width="1.7109375" style="9" customWidth="1"/>
    <col min="7" max="7" width="12.7109375" style="13" customWidth="1"/>
    <col min="8" max="8" width="1.7109375" style="2" customWidth="1"/>
    <col min="9" max="9" width="10.7109375" style="38" customWidth="1"/>
    <col min="10" max="11" width="10.7109375" style="2" customWidth="1"/>
    <col min="12" max="13" width="7.7109375" style="2" customWidth="1"/>
    <col min="14" max="14" width="28.7109375" style="2" customWidth="1"/>
    <col min="15" max="26" width="10.7109375" style="2" customWidth="1"/>
    <col min="27" max="51" width="9.140625" style="2"/>
    <col min="52" max="53" width="9.140625" style="42"/>
    <col min="54" max="16384" width="9.140625" style="2"/>
  </cols>
  <sheetData>
    <row r="1" spans="1:53" s="50" customFormat="1" ht="15" x14ac:dyDescent="0.25">
      <c r="A1" s="50" t="s">
        <v>259</v>
      </c>
      <c r="E1" s="51"/>
      <c r="F1" s="52"/>
      <c r="G1" s="53"/>
      <c r="I1" s="54"/>
      <c r="AZ1" s="56"/>
      <c r="BA1" s="56"/>
    </row>
    <row r="2" spans="1:53" s="27" customFormat="1" ht="15.75" x14ac:dyDescent="0.25">
      <c r="A2" s="26"/>
      <c r="B2" s="24"/>
      <c r="C2" s="24"/>
      <c r="E2" s="28"/>
      <c r="F2" s="29"/>
      <c r="G2" s="30"/>
      <c r="I2" s="35"/>
      <c r="AZ2" s="48"/>
      <c r="BA2" s="48"/>
    </row>
    <row r="3" spans="1:53" s="27" customFormat="1" x14ac:dyDescent="0.2">
      <c r="B3" s="24"/>
      <c r="C3" s="24"/>
      <c r="E3" s="25" t="s">
        <v>195</v>
      </c>
      <c r="G3" s="31">
        <v>45132.381232870372</v>
      </c>
      <c r="H3" s="28"/>
      <c r="I3" s="30"/>
      <c r="J3" s="28"/>
      <c r="K3" s="25" t="s">
        <v>185</v>
      </c>
      <c r="L3" s="29">
        <v>22</v>
      </c>
      <c r="AZ3" s="48"/>
      <c r="BA3" s="48"/>
    </row>
    <row r="4" spans="1:53" s="27" customFormat="1" x14ac:dyDescent="0.2">
      <c r="B4" s="24"/>
      <c r="C4" s="24"/>
      <c r="E4" s="25" t="s">
        <v>193</v>
      </c>
      <c r="G4" s="31">
        <v>45132.375629745373</v>
      </c>
      <c r="H4" s="28"/>
      <c r="I4" s="30"/>
      <c r="K4" s="25" t="s">
        <v>186</v>
      </c>
      <c r="L4" s="29">
        <v>22</v>
      </c>
      <c r="AZ4" s="48"/>
      <c r="BA4" s="48"/>
    </row>
    <row r="5" spans="1:53" s="27" customFormat="1" x14ac:dyDescent="0.2">
      <c r="B5" s="24"/>
      <c r="C5" s="24"/>
      <c r="E5" s="25" t="s">
        <v>194</v>
      </c>
      <c r="G5" s="31">
        <v>45132.381232870372</v>
      </c>
      <c r="H5" s="28"/>
      <c r="I5" s="30"/>
      <c r="K5" s="25" t="s">
        <v>187</v>
      </c>
      <c r="L5" s="49" t="s">
        <v>319</v>
      </c>
      <c r="AZ5" s="48"/>
      <c r="BA5" s="48"/>
    </row>
    <row r="6" spans="1:53" s="27" customFormat="1" x14ac:dyDescent="0.2">
      <c r="B6" s="24"/>
      <c r="C6" s="24"/>
      <c r="E6" s="28"/>
      <c r="F6" s="29"/>
      <c r="G6" s="30"/>
      <c r="I6" s="35"/>
      <c r="AZ6" s="48"/>
      <c r="BA6" s="48"/>
    </row>
    <row r="7" spans="1:53" s="5" customFormat="1" x14ac:dyDescent="0.2">
      <c r="B7" s="21"/>
      <c r="C7" s="21"/>
      <c r="E7" s="22"/>
      <c r="F7" s="23"/>
      <c r="G7" s="15"/>
      <c r="I7" s="36"/>
      <c r="AZ7" s="41"/>
      <c r="BA7" s="41"/>
    </row>
    <row r="8" spans="1:53" s="6" customFormat="1" x14ac:dyDescent="0.2">
      <c r="B8" s="6">
        <v>1</v>
      </c>
      <c r="C8" s="6" t="s">
        <v>90</v>
      </c>
      <c r="D8" s="6" t="s">
        <v>157</v>
      </c>
      <c r="E8" s="10"/>
      <c r="F8" s="8"/>
      <c r="G8" s="12"/>
      <c r="I8" s="37"/>
      <c r="AZ8" s="42">
        <f>IF(Тестирование!$M$5=1,VLOOKUP(MAX($B$8:$B8),'Часть 0'!$H$3:$I$24,2,0),"")</f>
        <v>7</v>
      </c>
      <c r="BA8" s="39">
        <f>VLOOKUP(MAX($B$8:$B8),'Часть 0'!$H$3:$J$24,3,0)</f>
        <v>7</v>
      </c>
    </row>
    <row r="9" spans="1:53" ht="5.0999999999999996" customHeight="1" x14ac:dyDescent="0.2">
      <c r="AZ9" s="42">
        <f>IF(Тестирование!$M$5=1,VLOOKUP(MAX($B$8:$B9),'Часть 0'!$H$3:$I$24,2,0),"")</f>
        <v>7</v>
      </c>
      <c r="BA9" s="39">
        <f>VLOOKUP(MAX($B$8:$B9),'Часть 0'!$H$3:$J$24,3,0)</f>
        <v>7</v>
      </c>
    </row>
    <row r="10" spans="1:53" x14ac:dyDescent="0.2">
      <c r="C10" s="7"/>
      <c r="E10" s="11">
        <v>1</v>
      </c>
      <c r="F10" s="9" t="s">
        <v>156</v>
      </c>
      <c r="G10" s="13">
        <v>0.04</v>
      </c>
      <c r="AZ10" s="42">
        <f>IF(Тестирование!$M$5=1,VLOOKUP(MAX($B$8:$B10),'Часть 0'!$H$3:$I$24,2,0),"")</f>
        <v>7</v>
      </c>
      <c r="BA10" s="39">
        <f>VLOOKUP(MAX($B$8:$B10),'Часть 0'!$H$3:$J$24,3,0)</f>
        <v>7</v>
      </c>
    </row>
    <row r="11" spans="1:53" x14ac:dyDescent="0.2">
      <c r="C11" s="7"/>
      <c r="E11" s="11">
        <v>2</v>
      </c>
      <c r="F11" s="9" t="s">
        <v>156</v>
      </c>
      <c r="G11" s="13">
        <v>0.25</v>
      </c>
      <c r="AZ11" s="42">
        <f>IF(Тестирование!$M$5=1,VLOOKUP(MAX($B$8:$B11),'Часть 0'!$H$3:$I$24,2,0),"")</f>
        <v>7</v>
      </c>
      <c r="BA11" s="39">
        <f>VLOOKUP(MAX($B$8:$B11),'Часть 0'!$H$3:$J$24,3,0)</f>
        <v>7</v>
      </c>
    </row>
    <row r="12" spans="1:53" x14ac:dyDescent="0.2">
      <c r="C12" s="7"/>
      <c r="E12" s="11">
        <v>3</v>
      </c>
      <c r="F12" s="9" t="s">
        <v>156</v>
      </c>
      <c r="G12" s="13">
        <v>0.4</v>
      </c>
      <c r="AZ12" s="42">
        <f>IF(Тестирование!$M$5=1,VLOOKUP(MAX($B$8:$B12),'Часть 0'!$H$3:$I$24,2,0),"")</f>
        <v>7</v>
      </c>
      <c r="BA12" s="39">
        <f>VLOOKUP(MAX($B$8:$B12),'Часть 0'!$H$3:$J$24,3,0)</f>
        <v>7</v>
      </c>
    </row>
    <row r="13" spans="1:53" x14ac:dyDescent="0.2">
      <c r="E13" s="11">
        <v>4</v>
      </c>
      <c r="F13" s="9" t="s">
        <v>156</v>
      </c>
      <c r="G13" s="13">
        <v>0.96</v>
      </c>
      <c r="AZ13" s="42">
        <f>IF(Тестирование!$M$5=1,VLOOKUP(MAX($B$8:$B13),'Часть 0'!$H$3:$I$24,2,0),"")</f>
        <v>7</v>
      </c>
      <c r="BA13" s="39">
        <f>VLOOKUP(MAX($B$8:$B13),'Часть 0'!$H$3:$J$24,3,0)</f>
        <v>7</v>
      </c>
    </row>
    <row r="14" spans="1:53" x14ac:dyDescent="0.2">
      <c r="E14" s="11">
        <v>5</v>
      </c>
      <c r="F14" s="9" t="s">
        <v>156</v>
      </c>
      <c r="G14" s="13">
        <v>4</v>
      </c>
      <c r="AZ14" s="42">
        <f>IF(Тестирование!$M$5=1,VLOOKUP(MAX($B$8:$B14),'Часть 0'!$H$3:$I$24,2,0),"")</f>
        <v>7</v>
      </c>
      <c r="BA14" s="39">
        <f>VLOOKUP(MAX($B$8:$B14),'Часть 0'!$H$3:$J$24,3,0)</f>
        <v>7</v>
      </c>
    </row>
    <row r="15" spans="1:53" x14ac:dyDescent="0.2">
      <c r="E15" s="11">
        <v>6</v>
      </c>
      <c r="F15" s="9" t="s">
        <v>156</v>
      </c>
      <c r="G15" s="13">
        <v>2.5</v>
      </c>
      <c r="AZ15" s="42">
        <f>IF(Тестирование!$M$5=1,VLOOKUP(MAX($B$8:$B15),'Часть 0'!$H$3:$I$24,2,0),"")</f>
        <v>7</v>
      </c>
      <c r="BA15" s="39">
        <f>VLOOKUP(MAX($B$8:$B15),'Часть 0'!$H$3:$J$24,3,0)</f>
        <v>7</v>
      </c>
    </row>
    <row r="16" spans="1:53" x14ac:dyDescent="0.2">
      <c r="E16" s="11">
        <v>7</v>
      </c>
      <c r="F16" s="9" t="s">
        <v>156</v>
      </c>
      <c r="G16" s="13">
        <v>25</v>
      </c>
      <c r="AZ16" s="42">
        <f>IF(Тестирование!$M$5=1,VLOOKUP(MAX($B$8:$B16),'Часть 0'!$H$3:$I$24,2,0),"")</f>
        <v>7</v>
      </c>
      <c r="BA16" s="39">
        <f>VLOOKUP(MAX($B$8:$B16),'Часть 0'!$H$3:$J$24,3,0)</f>
        <v>7</v>
      </c>
    </row>
    <row r="17" spans="2:53" ht="5.0999999999999996" customHeight="1" thickBot="1" x14ac:dyDescent="0.25">
      <c r="G17" s="14"/>
      <c r="H17" s="4"/>
      <c r="AZ17" s="42">
        <f>IF(Тестирование!$M$5=1,VLOOKUP(MAX($B$8:$B17),'Часть 0'!$H$3:$I$24,2,0),"")</f>
        <v>7</v>
      </c>
      <c r="BA17" s="39">
        <f>VLOOKUP(MAX($B$8:$B17),'Часть 0'!$H$3:$J$24,3,0)</f>
        <v>7</v>
      </c>
    </row>
    <row r="18" spans="2:53" ht="12" thickBot="1" x14ac:dyDescent="0.25">
      <c r="C18" s="61">
        <v>1</v>
      </c>
      <c r="D18" s="6" t="s">
        <v>220</v>
      </c>
      <c r="E18" s="6"/>
      <c r="F18" s="6"/>
      <c r="G18" s="6"/>
      <c r="H18" s="6"/>
      <c r="I18" s="124">
        <v>7</v>
      </c>
      <c r="AZ18" s="42">
        <f>IF(Тестирование!$M$5=1,VLOOKUP(MAX($B$8:$B18),'Часть 0'!$H$3:$I$24,2,0),"")</f>
        <v>7</v>
      </c>
      <c r="BA18" s="39">
        <f>VLOOKUP(MAX($B$8:$B18),'Часть 0'!$H$3:$J$24,3,0)</f>
        <v>7</v>
      </c>
    </row>
    <row r="19" spans="2:53" x14ac:dyDescent="0.2">
      <c r="G19" s="15"/>
      <c r="H19" s="5"/>
      <c r="AZ19" s="42">
        <f>IF(Тестирование!$M$5=1,VLOOKUP(MAX($B$8:$B19),'Часть 0'!$H$3:$I$24,2,0),"")</f>
        <v>7</v>
      </c>
      <c r="BA19" s="39">
        <f>VLOOKUP(MAX($B$8:$B19),'Часть 0'!$H$3:$J$24,3,0)</f>
        <v>7</v>
      </c>
    </row>
    <row r="20" spans="2:53" s="6" customFormat="1" x14ac:dyDescent="0.2">
      <c r="B20" s="6">
        <v>2</v>
      </c>
      <c r="C20" s="6" t="s">
        <v>90</v>
      </c>
      <c r="D20" s="6" t="s">
        <v>158</v>
      </c>
      <c r="E20" s="10"/>
      <c r="F20" s="8"/>
      <c r="G20" s="12"/>
      <c r="I20" s="37"/>
      <c r="AZ20" s="42">
        <f>IF(Тестирование!$M$5=1,VLOOKUP(MAX($B$8:$B20),'Часть 0'!$H$3:$I$24,2,0),"")</f>
        <v>2</v>
      </c>
      <c r="BA20" s="39">
        <f>VLOOKUP(MAX($B$8:$B20),'Часть 0'!$H$3:$J$24,3,0)</f>
        <v>2</v>
      </c>
    </row>
    <row r="21" spans="2:53" ht="5.0999999999999996" customHeight="1" x14ac:dyDescent="0.2">
      <c r="AZ21" s="42">
        <f>IF(Тестирование!$M$5=1,VLOOKUP(MAX($B$8:$B21),'Часть 0'!$H$3:$I$24,2,0),"")</f>
        <v>2</v>
      </c>
      <c r="BA21" s="39">
        <f>VLOOKUP(MAX($B$8:$B21),'Часть 0'!$H$3:$J$24,3,0)</f>
        <v>2</v>
      </c>
    </row>
    <row r="22" spans="2:53" x14ac:dyDescent="0.2">
      <c r="C22" s="7"/>
      <c r="AZ22" s="42">
        <f>IF(Тестирование!$M$5=1,VLOOKUP(MAX($B$8:$B22),'Часть 0'!$H$3:$I$24,2,0),"")</f>
        <v>2</v>
      </c>
      <c r="BA22" s="39">
        <f>VLOOKUP(MAX($B$8:$B22),'Часть 0'!$H$3:$J$24,3,0)</f>
        <v>2</v>
      </c>
    </row>
    <row r="23" spans="2:53" x14ac:dyDescent="0.2">
      <c r="C23" s="7"/>
      <c r="E23" s="11">
        <v>1</v>
      </c>
      <c r="F23" s="9" t="s">
        <v>156</v>
      </c>
      <c r="G23" s="13" t="s">
        <v>123</v>
      </c>
      <c r="AZ23" s="42">
        <f>IF(Тестирование!$M$5=1,VLOOKUP(MAX($B$8:$B23),'Часть 0'!$H$3:$I$24,2,0),"")</f>
        <v>2</v>
      </c>
      <c r="BA23" s="39">
        <f>VLOOKUP(MAX($B$8:$B23),'Часть 0'!$H$3:$J$24,3,0)</f>
        <v>2</v>
      </c>
    </row>
    <row r="24" spans="2:53" x14ac:dyDescent="0.2">
      <c r="C24" s="7"/>
      <c r="E24" s="11">
        <v>2</v>
      </c>
      <c r="F24" s="9" t="s">
        <v>156</v>
      </c>
      <c r="G24" s="13" t="s">
        <v>124</v>
      </c>
      <c r="AZ24" s="42">
        <f>IF(Тестирование!$M$5=1,VLOOKUP(MAX($B$8:$B24),'Часть 0'!$H$3:$I$24,2,0),"")</f>
        <v>2</v>
      </c>
      <c r="BA24" s="39">
        <f>VLOOKUP(MAX($B$8:$B24),'Часть 0'!$H$3:$J$24,3,0)</f>
        <v>2</v>
      </c>
    </row>
    <row r="25" spans="2:53" x14ac:dyDescent="0.2">
      <c r="E25" s="11">
        <v>3</v>
      </c>
      <c r="F25" s="9" t="s">
        <v>156</v>
      </c>
      <c r="G25" s="13" t="s">
        <v>125</v>
      </c>
      <c r="AZ25" s="42">
        <f>IF(Тестирование!$M$5=1,VLOOKUP(MAX($B$8:$B25),'Часть 0'!$H$3:$I$24,2,0),"")</f>
        <v>2</v>
      </c>
      <c r="BA25" s="39">
        <f>VLOOKUP(MAX($B$8:$B25),'Часть 0'!$H$3:$J$24,3,0)</f>
        <v>2</v>
      </c>
    </row>
    <row r="26" spans="2:53" x14ac:dyDescent="0.2">
      <c r="E26" s="11">
        <v>4</v>
      </c>
      <c r="F26" s="9" t="s">
        <v>156</v>
      </c>
      <c r="G26" s="13" t="s">
        <v>126</v>
      </c>
      <c r="AZ26" s="42">
        <f>IF(Тестирование!$M$5=1,VLOOKUP(MAX($B$8:$B26),'Часть 0'!$H$3:$I$24,2,0),"")</f>
        <v>2</v>
      </c>
      <c r="BA26" s="39">
        <f>VLOOKUP(MAX($B$8:$B26),'Часть 0'!$H$3:$J$24,3,0)</f>
        <v>2</v>
      </c>
    </row>
    <row r="27" spans="2:53" x14ac:dyDescent="0.2">
      <c r="E27" s="11">
        <v>5</v>
      </c>
      <c r="F27" s="9" t="s">
        <v>156</v>
      </c>
      <c r="G27" s="13" t="s">
        <v>127</v>
      </c>
      <c r="AZ27" s="42">
        <f>IF(Тестирование!$M$5=1,VLOOKUP(MAX($B$8:$B27),'Часть 0'!$H$3:$I$24,2,0),"")</f>
        <v>2</v>
      </c>
      <c r="BA27" s="39">
        <f>VLOOKUP(MAX($B$8:$B27),'Часть 0'!$H$3:$J$24,3,0)</f>
        <v>2</v>
      </c>
    </row>
    <row r="28" spans="2:53" ht="5.0999999999999996" customHeight="1" thickBot="1" x14ac:dyDescent="0.25">
      <c r="G28" s="14"/>
      <c r="H28" s="4"/>
      <c r="AZ28" s="42">
        <f>IF(Тестирование!$M$5=1,VLOOKUP(MAX($B$8:$B28),'Часть 0'!$H$3:$I$24,2,0),"")</f>
        <v>2</v>
      </c>
      <c r="BA28" s="39">
        <f>VLOOKUP(MAX($B$8:$B28),'Часть 0'!$H$3:$J$24,3,0)</f>
        <v>2</v>
      </c>
    </row>
    <row r="29" spans="2:53" ht="12" thickBot="1" x14ac:dyDescent="0.25">
      <c r="C29" s="61">
        <v>2</v>
      </c>
      <c r="D29" s="6" t="s">
        <v>220</v>
      </c>
      <c r="E29" s="6"/>
      <c r="F29" s="6"/>
      <c r="G29" s="6"/>
      <c r="H29" s="6"/>
      <c r="I29" s="124">
        <v>2</v>
      </c>
      <c r="AZ29" s="42">
        <f>IF(Тестирование!$M$5=1,VLOOKUP(MAX($B$8:$B29),'Часть 0'!$H$3:$I$24,2,0),"")</f>
        <v>2</v>
      </c>
      <c r="BA29" s="39">
        <f>VLOOKUP(MAX($B$8:$B29),'Часть 0'!$H$3:$J$24,3,0)</f>
        <v>2</v>
      </c>
    </row>
    <row r="30" spans="2:53" x14ac:dyDescent="0.2">
      <c r="G30" s="15"/>
      <c r="H30" s="5"/>
      <c r="AZ30" s="42">
        <f>IF(Тестирование!$M$5=1,VLOOKUP(MAX($B$8:$B30),'Часть 0'!$H$3:$I$24,2,0),"")</f>
        <v>2</v>
      </c>
      <c r="BA30" s="39">
        <f>VLOOKUP(MAX($B$8:$B30),'Часть 0'!$H$3:$J$24,3,0)</f>
        <v>2</v>
      </c>
    </row>
    <row r="31" spans="2:53" s="6" customFormat="1" x14ac:dyDescent="0.2">
      <c r="B31" s="6">
        <v>3</v>
      </c>
      <c r="C31" s="6" t="s">
        <v>90</v>
      </c>
      <c r="D31" s="6" t="s">
        <v>159</v>
      </c>
      <c r="E31" s="10"/>
      <c r="F31" s="8"/>
      <c r="G31" s="12"/>
      <c r="I31" s="37"/>
      <c r="AZ31" s="42">
        <f>IF(Тестирование!$M$5=1,VLOOKUP(MAX($B$8:$B31),'Часть 0'!$H$3:$I$24,2,0),"")</f>
        <v>5</v>
      </c>
      <c r="BA31" s="39">
        <f>VLOOKUP(MAX($B$8:$B31),'Часть 0'!$H$3:$J$24,3,0)</f>
        <v>3</v>
      </c>
    </row>
    <row r="32" spans="2:53" ht="5.0999999999999996" customHeight="1" x14ac:dyDescent="0.2">
      <c r="AZ32" s="42">
        <f>IF(Тестирование!$M$5=1,VLOOKUP(MAX($B$8:$B32),'Часть 0'!$H$3:$I$24,2,0),"")</f>
        <v>5</v>
      </c>
      <c r="BA32" s="39">
        <f>VLOOKUP(MAX($B$8:$B32),'Часть 0'!$H$3:$J$24,3,0)</f>
        <v>3</v>
      </c>
    </row>
    <row r="33" spans="2:53" x14ac:dyDescent="0.2">
      <c r="C33" s="7"/>
      <c r="AZ33" s="42">
        <f>IF(Тестирование!$M$5=1,VLOOKUP(MAX($B$8:$B33),'Часть 0'!$H$3:$I$24,2,0),"")</f>
        <v>5</v>
      </c>
      <c r="BA33" s="39">
        <f>VLOOKUP(MAX($B$8:$B33),'Часть 0'!$H$3:$J$24,3,0)</f>
        <v>3</v>
      </c>
    </row>
    <row r="34" spans="2:53" x14ac:dyDescent="0.2">
      <c r="C34" s="7"/>
      <c r="E34" s="11">
        <v>1</v>
      </c>
      <c r="F34" s="9" t="s">
        <v>156</v>
      </c>
      <c r="G34" s="13" t="s">
        <v>123</v>
      </c>
      <c r="AZ34" s="42">
        <f>IF(Тестирование!$M$5=1,VLOOKUP(MAX($B$8:$B34),'Часть 0'!$H$3:$I$24,2,0),"")</f>
        <v>5</v>
      </c>
      <c r="BA34" s="39">
        <f>VLOOKUP(MAX($B$8:$B34),'Часть 0'!$H$3:$J$24,3,0)</f>
        <v>3</v>
      </c>
    </row>
    <row r="35" spans="2:53" x14ac:dyDescent="0.2">
      <c r="C35" s="7"/>
      <c r="E35" s="11">
        <v>2</v>
      </c>
      <c r="F35" s="9" t="s">
        <v>156</v>
      </c>
      <c r="G35" s="13" t="s">
        <v>124</v>
      </c>
      <c r="AZ35" s="42">
        <f>IF(Тестирование!$M$5=1,VLOOKUP(MAX($B$8:$B35),'Часть 0'!$H$3:$I$24,2,0),"")</f>
        <v>5</v>
      </c>
      <c r="BA35" s="39">
        <f>VLOOKUP(MAX($B$8:$B35),'Часть 0'!$H$3:$J$24,3,0)</f>
        <v>3</v>
      </c>
    </row>
    <row r="36" spans="2:53" x14ac:dyDescent="0.2">
      <c r="E36" s="11">
        <v>3</v>
      </c>
      <c r="F36" s="9" t="s">
        <v>156</v>
      </c>
      <c r="G36" s="13" t="s">
        <v>128</v>
      </c>
      <c r="AZ36" s="42">
        <f>IF(Тестирование!$M$5=1,VLOOKUP(MAX($B$8:$B36),'Часть 0'!$H$3:$I$24,2,0),"")</f>
        <v>5</v>
      </c>
      <c r="BA36" s="39">
        <f>VLOOKUP(MAX($B$8:$B36),'Часть 0'!$H$3:$J$24,3,0)</f>
        <v>3</v>
      </c>
    </row>
    <row r="37" spans="2:53" x14ac:dyDescent="0.2">
      <c r="E37" s="11">
        <v>4</v>
      </c>
      <c r="F37" s="9" t="s">
        <v>156</v>
      </c>
      <c r="G37" s="13" t="s">
        <v>126</v>
      </c>
      <c r="AZ37" s="42">
        <f>IF(Тестирование!$M$5=1,VLOOKUP(MAX($B$8:$B37),'Часть 0'!$H$3:$I$24,2,0),"")</f>
        <v>5</v>
      </c>
      <c r="BA37" s="39">
        <f>VLOOKUP(MAX($B$8:$B37),'Часть 0'!$H$3:$J$24,3,0)</f>
        <v>3</v>
      </c>
    </row>
    <row r="38" spans="2:53" x14ac:dyDescent="0.2">
      <c r="E38" s="11">
        <v>5</v>
      </c>
      <c r="F38" s="9" t="s">
        <v>156</v>
      </c>
      <c r="G38" s="13" t="s">
        <v>127</v>
      </c>
      <c r="AZ38" s="42">
        <f>IF(Тестирование!$M$5=1,VLOOKUP(MAX($B$8:$B38),'Часть 0'!$H$3:$I$24,2,0),"")</f>
        <v>5</v>
      </c>
      <c r="BA38" s="39">
        <f>VLOOKUP(MAX($B$8:$B38),'Часть 0'!$H$3:$J$24,3,0)</f>
        <v>3</v>
      </c>
    </row>
    <row r="39" spans="2:53" ht="5.0999999999999996" customHeight="1" thickBot="1" x14ac:dyDescent="0.25">
      <c r="G39" s="14"/>
      <c r="H39" s="4"/>
      <c r="AZ39" s="42">
        <f>IF(Тестирование!$M$5=1,VLOOKUP(MAX($B$8:$B39),'Часть 0'!$H$3:$I$24,2,0),"")</f>
        <v>5</v>
      </c>
      <c r="BA39" s="39">
        <f>VLOOKUP(MAX($B$8:$B39),'Часть 0'!$H$3:$J$24,3,0)</f>
        <v>3</v>
      </c>
    </row>
    <row r="40" spans="2:53" ht="12" thickBot="1" x14ac:dyDescent="0.25">
      <c r="C40" s="61">
        <v>3</v>
      </c>
      <c r="D40" s="6" t="s">
        <v>220</v>
      </c>
      <c r="E40" s="6"/>
      <c r="F40" s="6"/>
      <c r="G40" s="6"/>
      <c r="H40" s="6"/>
      <c r="I40" s="124">
        <v>3</v>
      </c>
      <c r="AZ40" s="42">
        <f>IF(Тестирование!$M$5=1,VLOOKUP(MAX($B$8:$B40),'Часть 0'!$H$3:$I$24,2,0),"")</f>
        <v>5</v>
      </c>
      <c r="BA40" s="39">
        <f>VLOOKUP(MAX($B$8:$B40),'Часть 0'!$H$3:$J$24,3,0)</f>
        <v>3</v>
      </c>
    </row>
    <row r="41" spans="2:53" x14ac:dyDescent="0.2">
      <c r="G41" s="15"/>
      <c r="H41" s="5"/>
      <c r="AZ41" s="42">
        <f>IF(Тестирование!$M$5=1,VLOOKUP(MAX($B$8:$B41),'Часть 0'!$H$3:$I$24,2,0),"")</f>
        <v>5</v>
      </c>
      <c r="BA41" s="39">
        <f>VLOOKUP(MAX($B$8:$B41),'Часть 0'!$H$3:$J$24,3,0)</f>
        <v>3</v>
      </c>
    </row>
    <row r="42" spans="2:53" s="6" customFormat="1" x14ac:dyDescent="0.2">
      <c r="B42" s="6">
        <v>4</v>
      </c>
      <c r="C42" s="6" t="s">
        <v>90</v>
      </c>
      <c r="D42" s="6" t="s">
        <v>160</v>
      </c>
      <c r="E42" s="10"/>
      <c r="F42" s="8"/>
      <c r="G42" s="12"/>
      <c r="I42" s="37"/>
      <c r="AZ42" s="42">
        <f>IF(Тестирование!$M$5=1,VLOOKUP(MAX($B$8:$B42),'Часть 0'!$H$3:$I$24,2,0),"")</f>
        <v>1</v>
      </c>
      <c r="BA42" s="39">
        <f>VLOOKUP(MAX($B$8:$B42),'Часть 0'!$H$3:$J$24,3,0)</f>
        <v>1</v>
      </c>
    </row>
    <row r="43" spans="2:53" ht="5.0999999999999996" customHeight="1" x14ac:dyDescent="0.2">
      <c r="AZ43" s="42">
        <f>IF(Тестирование!$M$5=1,VLOOKUP(MAX($B$8:$B43),'Часть 0'!$H$3:$I$24,2,0),"")</f>
        <v>1</v>
      </c>
      <c r="BA43" s="39">
        <f>VLOOKUP(MAX($B$8:$B43),'Часть 0'!$H$3:$J$24,3,0)</f>
        <v>1</v>
      </c>
    </row>
    <row r="44" spans="2:53" x14ac:dyDescent="0.2">
      <c r="C44" s="7"/>
      <c r="AZ44" s="42">
        <f>IF(Тестирование!$M$5=1,VLOOKUP(MAX($B$8:$B44),'Часть 0'!$H$3:$I$24,2,0),"")</f>
        <v>1</v>
      </c>
      <c r="BA44" s="39">
        <f>VLOOKUP(MAX($B$8:$B44),'Часть 0'!$H$3:$J$24,3,0)</f>
        <v>1</v>
      </c>
    </row>
    <row r="45" spans="2:53" x14ac:dyDescent="0.2">
      <c r="C45" s="7"/>
      <c r="E45" s="11">
        <v>1</v>
      </c>
      <c r="F45" s="9" t="s">
        <v>156</v>
      </c>
      <c r="G45" s="13" t="s">
        <v>122</v>
      </c>
      <c r="AZ45" s="42">
        <f>IF(Тестирование!$M$5=1,VLOOKUP(MAX($B$8:$B45),'Часть 0'!$H$3:$I$24,2,0),"")</f>
        <v>1</v>
      </c>
      <c r="BA45" s="39">
        <f>VLOOKUP(MAX($B$8:$B45),'Часть 0'!$H$3:$J$24,3,0)</f>
        <v>1</v>
      </c>
    </row>
    <row r="46" spans="2:53" x14ac:dyDescent="0.2">
      <c r="C46" s="7"/>
      <c r="E46" s="11">
        <v>2</v>
      </c>
      <c r="F46" s="9" t="s">
        <v>156</v>
      </c>
      <c r="G46" s="13" t="s">
        <v>121</v>
      </c>
      <c r="AZ46" s="42">
        <f>IF(Тестирование!$M$5=1,VLOOKUP(MAX($B$8:$B46),'Часть 0'!$H$3:$I$24,2,0),"")</f>
        <v>1</v>
      </c>
      <c r="BA46" s="39">
        <f>VLOOKUP(MAX($B$8:$B46),'Часть 0'!$H$3:$J$24,3,0)</f>
        <v>1</v>
      </c>
    </row>
    <row r="47" spans="2:53" x14ac:dyDescent="0.2">
      <c r="E47" s="11">
        <v>3</v>
      </c>
      <c r="F47" s="9" t="s">
        <v>156</v>
      </c>
      <c r="G47" s="13" t="s">
        <v>129</v>
      </c>
      <c r="AZ47" s="42">
        <f>IF(Тестирование!$M$5=1,VLOOKUP(MAX($B$8:$B47),'Часть 0'!$H$3:$I$24,2,0),"")</f>
        <v>1</v>
      </c>
      <c r="BA47" s="39">
        <f>VLOOKUP(MAX($B$8:$B47),'Часть 0'!$H$3:$J$24,3,0)</f>
        <v>1</v>
      </c>
    </row>
    <row r="48" spans="2:53" x14ac:dyDescent="0.2">
      <c r="E48" s="11">
        <v>4</v>
      </c>
      <c r="F48" s="9" t="s">
        <v>156</v>
      </c>
      <c r="G48" s="13" t="s">
        <v>130</v>
      </c>
      <c r="AZ48" s="42">
        <f>IF(Тестирование!$M$5=1,VLOOKUP(MAX($B$8:$B48),'Часть 0'!$H$3:$I$24,2,0),"")</f>
        <v>1</v>
      </c>
      <c r="BA48" s="39">
        <f>VLOOKUP(MAX($B$8:$B48),'Часть 0'!$H$3:$J$24,3,0)</f>
        <v>1</v>
      </c>
    </row>
    <row r="49" spans="2:53" x14ac:dyDescent="0.2">
      <c r="E49" s="11">
        <v>5</v>
      </c>
      <c r="F49" s="9" t="s">
        <v>156</v>
      </c>
      <c r="G49" s="13" t="s">
        <v>131</v>
      </c>
      <c r="AZ49" s="42">
        <f>IF(Тестирование!$M$5=1,VLOOKUP(MAX($B$8:$B49),'Часть 0'!$H$3:$I$24,2,0),"")</f>
        <v>1</v>
      </c>
      <c r="BA49" s="39">
        <f>VLOOKUP(MAX($B$8:$B49),'Часть 0'!$H$3:$J$24,3,0)</f>
        <v>1</v>
      </c>
    </row>
    <row r="50" spans="2:53" ht="5.0999999999999996" customHeight="1" thickBot="1" x14ac:dyDescent="0.25">
      <c r="G50" s="14"/>
      <c r="H50" s="4"/>
      <c r="AZ50" s="42">
        <f>IF(Тестирование!$M$5=1,VLOOKUP(MAX($B$8:$B50),'Часть 0'!$H$3:$I$24,2,0),"")</f>
        <v>1</v>
      </c>
      <c r="BA50" s="39">
        <f>VLOOKUP(MAX($B$8:$B50),'Часть 0'!$H$3:$J$24,3,0)</f>
        <v>1</v>
      </c>
    </row>
    <row r="51" spans="2:53" ht="12" thickBot="1" x14ac:dyDescent="0.25">
      <c r="C51" s="61">
        <v>4</v>
      </c>
      <c r="D51" s="6" t="s">
        <v>220</v>
      </c>
      <c r="E51" s="6"/>
      <c r="F51" s="6"/>
      <c r="G51" s="6"/>
      <c r="H51" s="6"/>
      <c r="I51" s="124">
        <v>1</v>
      </c>
      <c r="AZ51" s="42">
        <f>IF(Тестирование!$M$5=1,VLOOKUP(MAX($B$8:$B51),'Часть 0'!$H$3:$I$24,2,0),"")</f>
        <v>1</v>
      </c>
      <c r="BA51" s="39">
        <f>VLOOKUP(MAX($B$8:$B51),'Часть 0'!$H$3:$J$24,3,0)</f>
        <v>1</v>
      </c>
    </row>
    <row r="52" spans="2:53" x14ac:dyDescent="0.2">
      <c r="G52" s="15"/>
      <c r="H52" s="5"/>
      <c r="AZ52" s="42">
        <f>IF(Тестирование!$M$5=1,VLOOKUP(MAX($B$8:$B52),'Часть 0'!$H$3:$I$24,2,0),"")</f>
        <v>1</v>
      </c>
      <c r="BA52" s="39">
        <f>VLOOKUP(MAX($B$8:$B52),'Часть 0'!$H$3:$J$24,3,0)</f>
        <v>1</v>
      </c>
    </row>
    <row r="53" spans="2:53" s="6" customFormat="1" x14ac:dyDescent="0.2">
      <c r="B53" s="6">
        <v>5</v>
      </c>
      <c r="C53" s="6" t="s">
        <v>90</v>
      </c>
      <c r="D53" s="6" t="s">
        <v>161</v>
      </c>
      <c r="E53" s="10"/>
      <c r="F53" s="8"/>
      <c r="G53" s="12"/>
      <c r="I53" s="37"/>
      <c r="AZ53" s="42">
        <f>IF(Тестирование!$M$5=1,VLOOKUP(MAX($B$8:$B53),'Часть 0'!$H$3:$I$24,2,0),"")</f>
        <v>5</v>
      </c>
      <c r="BA53" s="39">
        <f>VLOOKUP(MAX($B$8:$B53),'Часть 0'!$H$3:$J$24,3,0)</f>
        <v>5</v>
      </c>
    </row>
    <row r="54" spans="2:53" ht="5.0999999999999996" customHeight="1" x14ac:dyDescent="0.2">
      <c r="AZ54" s="42">
        <f>IF(Тестирование!$M$5=1,VLOOKUP(MAX($B$8:$B54),'Часть 0'!$H$3:$I$24,2,0),"")</f>
        <v>5</v>
      </c>
      <c r="BA54" s="39">
        <f>VLOOKUP(MAX($B$8:$B54),'Часть 0'!$H$3:$J$24,3,0)</f>
        <v>5</v>
      </c>
    </row>
    <row r="55" spans="2:53" x14ac:dyDescent="0.2">
      <c r="C55" s="7"/>
      <c r="AZ55" s="42">
        <f>IF(Тестирование!$M$5=1,VLOOKUP(MAX($B$8:$B55),'Часть 0'!$H$3:$I$24,2,0),"")</f>
        <v>5</v>
      </c>
      <c r="BA55" s="39">
        <f>VLOOKUP(MAX($B$8:$B55),'Часть 0'!$H$3:$J$24,3,0)</f>
        <v>5</v>
      </c>
    </row>
    <row r="56" spans="2:53" x14ac:dyDescent="0.2">
      <c r="C56" s="7"/>
      <c r="E56" s="11">
        <v>1</v>
      </c>
      <c r="F56" s="9" t="s">
        <v>156</v>
      </c>
      <c r="G56" s="13" t="s">
        <v>132</v>
      </c>
      <c r="AZ56" s="42">
        <f>IF(Тестирование!$M$5=1,VLOOKUP(MAX($B$8:$B56),'Часть 0'!$H$3:$I$24,2,0),"")</f>
        <v>5</v>
      </c>
      <c r="BA56" s="39">
        <f>VLOOKUP(MAX($B$8:$B56),'Часть 0'!$H$3:$J$24,3,0)</f>
        <v>5</v>
      </c>
    </row>
    <row r="57" spans="2:53" x14ac:dyDescent="0.2">
      <c r="C57" s="7"/>
      <c r="E57" s="11">
        <v>2</v>
      </c>
      <c r="F57" s="9" t="s">
        <v>156</v>
      </c>
      <c r="G57" s="13" t="s">
        <v>133</v>
      </c>
      <c r="AZ57" s="42">
        <f>IF(Тестирование!$M$5=1,VLOOKUP(MAX($B$8:$B57),'Часть 0'!$H$3:$I$24,2,0),"")</f>
        <v>5</v>
      </c>
      <c r="BA57" s="39">
        <f>VLOOKUP(MAX($B$8:$B57),'Часть 0'!$H$3:$J$24,3,0)</f>
        <v>5</v>
      </c>
    </row>
    <row r="58" spans="2:53" x14ac:dyDescent="0.2">
      <c r="E58" s="11">
        <v>3</v>
      </c>
      <c r="F58" s="9" t="s">
        <v>156</v>
      </c>
      <c r="G58" s="13" t="s">
        <v>134</v>
      </c>
      <c r="AZ58" s="42">
        <f>IF(Тестирование!$M$5=1,VLOOKUP(MAX($B$8:$B58),'Часть 0'!$H$3:$I$24,2,0),"")</f>
        <v>5</v>
      </c>
      <c r="BA58" s="39">
        <f>VLOOKUP(MAX($B$8:$B58),'Часть 0'!$H$3:$J$24,3,0)</f>
        <v>5</v>
      </c>
    </row>
    <row r="59" spans="2:53" x14ac:dyDescent="0.2">
      <c r="E59" s="11">
        <v>4</v>
      </c>
      <c r="F59" s="9" t="s">
        <v>156</v>
      </c>
      <c r="G59" s="13" t="s">
        <v>135</v>
      </c>
      <c r="AZ59" s="42">
        <f>IF(Тестирование!$M$5=1,VLOOKUP(MAX($B$8:$B59),'Часть 0'!$H$3:$I$24,2,0),"")</f>
        <v>5</v>
      </c>
      <c r="BA59" s="39">
        <f>VLOOKUP(MAX($B$8:$B59),'Часть 0'!$H$3:$J$24,3,0)</f>
        <v>5</v>
      </c>
    </row>
    <row r="60" spans="2:53" x14ac:dyDescent="0.2">
      <c r="E60" s="11">
        <v>5</v>
      </c>
      <c r="F60" s="9" t="s">
        <v>156</v>
      </c>
      <c r="G60" s="13" t="s">
        <v>136</v>
      </c>
      <c r="AZ60" s="42">
        <f>IF(Тестирование!$M$5=1,VLOOKUP(MAX($B$8:$B60),'Часть 0'!$H$3:$I$24,2,0),"")</f>
        <v>5</v>
      </c>
      <c r="BA60" s="39">
        <f>VLOOKUP(MAX($B$8:$B60),'Часть 0'!$H$3:$J$24,3,0)</f>
        <v>5</v>
      </c>
    </row>
    <row r="61" spans="2:53" ht="5.0999999999999996" customHeight="1" thickBot="1" x14ac:dyDescent="0.25">
      <c r="G61" s="14"/>
      <c r="H61" s="4"/>
      <c r="AZ61" s="42">
        <f>IF(Тестирование!$M$5=1,VLOOKUP(MAX($B$8:$B61),'Часть 0'!$H$3:$I$24,2,0),"")</f>
        <v>5</v>
      </c>
      <c r="BA61" s="39">
        <f>VLOOKUP(MAX($B$8:$B61),'Часть 0'!$H$3:$J$24,3,0)</f>
        <v>5</v>
      </c>
    </row>
    <row r="62" spans="2:53" ht="12" thickBot="1" x14ac:dyDescent="0.25">
      <c r="C62" s="61">
        <v>5</v>
      </c>
      <c r="D62" s="6" t="s">
        <v>220</v>
      </c>
      <c r="E62" s="6"/>
      <c r="F62" s="6"/>
      <c r="G62" s="6"/>
      <c r="H62" s="6"/>
      <c r="I62" s="124">
        <v>5</v>
      </c>
      <c r="AZ62" s="42">
        <f>IF(Тестирование!$M$5=1,VLOOKUP(MAX($B$8:$B62),'Часть 0'!$H$3:$I$24,2,0),"")</f>
        <v>5</v>
      </c>
      <c r="BA62" s="39">
        <f>VLOOKUP(MAX($B$8:$B62),'Часть 0'!$H$3:$J$24,3,0)</f>
        <v>5</v>
      </c>
    </row>
    <row r="63" spans="2:53" x14ac:dyDescent="0.2">
      <c r="G63" s="15"/>
      <c r="H63" s="5"/>
      <c r="AZ63" s="42">
        <f>IF(Тестирование!$M$5=1,VLOOKUP(MAX($B$8:$B63),'Часть 0'!$H$3:$I$24,2,0),"")</f>
        <v>5</v>
      </c>
      <c r="BA63" s="39">
        <f>VLOOKUP(MAX($B$8:$B63),'Часть 0'!$H$3:$J$24,3,0)</f>
        <v>5</v>
      </c>
    </row>
    <row r="64" spans="2:53" s="6" customFormat="1" x14ac:dyDescent="0.2">
      <c r="B64" s="6">
        <v>6</v>
      </c>
      <c r="C64" s="6" t="s">
        <v>90</v>
      </c>
      <c r="D64" s="6" t="s">
        <v>162</v>
      </c>
      <c r="E64" s="10"/>
      <c r="F64" s="8"/>
      <c r="G64" s="12"/>
      <c r="I64" s="37"/>
      <c r="AZ64" s="42">
        <f>IF(Тестирование!$M$5=1,VLOOKUP(MAX($B$8:$B64),'Часть 0'!$H$3:$I$24,2,0),"")</f>
        <v>6</v>
      </c>
      <c r="BA64" s="39">
        <f>VLOOKUP(MAX($B$8:$B64),'Часть 0'!$H$3:$J$24,3,0)</f>
        <v>6</v>
      </c>
    </row>
    <row r="65" spans="2:53" ht="5.0999999999999996" customHeight="1" x14ac:dyDescent="0.2">
      <c r="AZ65" s="42">
        <f>IF(Тестирование!$M$5=1,VLOOKUP(MAX($B$8:$B65),'Часть 0'!$H$3:$I$24,2,0),"")</f>
        <v>6</v>
      </c>
      <c r="BA65" s="39">
        <f>VLOOKUP(MAX($B$8:$B65),'Часть 0'!$H$3:$J$24,3,0)</f>
        <v>6</v>
      </c>
    </row>
    <row r="66" spans="2:53" x14ac:dyDescent="0.2">
      <c r="C66" s="7"/>
      <c r="E66" s="11">
        <v>1</v>
      </c>
      <c r="F66" s="9" t="s">
        <v>156</v>
      </c>
      <c r="G66" s="13" t="s">
        <v>171</v>
      </c>
      <c r="AZ66" s="42">
        <f>IF(Тестирование!$M$5=1,VLOOKUP(MAX($B$8:$B66),'Часть 0'!$H$3:$I$24,2,0),"")</f>
        <v>6</v>
      </c>
      <c r="BA66" s="39">
        <f>VLOOKUP(MAX($B$8:$B66),'Часть 0'!$H$3:$J$24,3,0)</f>
        <v>6</v>
      </c>
    </row>
    <row r="67" spans="2:53" x14ac:dyDescent="0.2">
      <c r="C67" s="7"/>
      <c r="E67" s="11">
        <v>2</v>
      </c>
      <c r="F67" s="9" t="s">
        <v>156</v>
      </c>
      <c r="G67" s="13" t="s">
        <v>172</v>
      </c>
      <c r="AZ67" s="42">
        <f>IF(Тестирование!$M$5=1,VLOOKUP(MAX($B$8:$B67),'Часть 0'!$H$3:$I$24,2,0),"")</f>
        <v>6</v>
      </c>
      <c r="BA67" s="39">
        <f>VLOOKUP(MAX($B$8:$B67),'Часть 0'!$H$3:$J$24,3,0)</f>
        <v>6</v>
      </c>
    </row>
    <row r="68" spans="2:53" x14ac:dyDescent="0.2">
      <c r="E68" s="11">
        <v>3</v>
      </c>
      <c r="F68" s="9" t="s">
        <v>156</v>
      </c>
      <c r="G68" s="13" t="s">
        <v>173</v>
      </c>
      <c r="AZ68" s="42">
        <f>IF(Тестирование!$M$5=1,VLOOKUP(MAX($B$8:$B68),'Часть 0'!$H$3:$I$24,2,0),"")</f>
        <v>6</v>
      </c>
      <c r="BA68" s="39">
        <f>VLOOKUP(MAX($B$8:$B68),'Часть 0'!$H$3:$J$24,3,0)</f>
        <v>6</v>
      </c>
    </row>
    <row r="69" spans="2:53" x14ac:dyDescent="0.2">
      <c r="E69" s="11">
        <v>4</v>
      </c>
      <c r="F69" s="9" t="s">
        <v>156</v>
      </c>
      <c r="G69" s="13" t="s">
        <v>174</v>
      </c>
      <c r="AZ69" s="42">
        <f>IF(Тестирование!$M$5=1,VLOOKUP(MAX($B$8:$B69),'Часть 0'!$H$3:$I$24,2,0),"")</f>
        <v>6</v>
      </c>
      <c r="BA69" s="39">
        <f>VLOOKUP(MAX($B$8:$B69),'Часть 0'!$H$3:$J$24,3,0)</f>
        <v>6</v>
      </c>
    </row>
    <row r="70" spans="2:53" x14ac:dyDescent="0.2">
      <c r="E70" s="11">
        <v>5</v>
      </c>
      <c r="F70" s="9" t="s">
        <v>156</v>
      </c>
      <c r="G70" s="13" t="s">
        <v>175</v>
      </c>
      <c r="AZ70" s="42">
        <f>IF(Тестирование!$M$5=1,VLOOKUP(MAX($B$8:$B70),'Часть 0'!$H$3:$I$24,2,0),"")</f>
        <v>6</v>
      </c>
      <c r="BA70" s="39">
        <f>VLOOKUP(MAX($B$8:$B70),'Часть 0'!$H$3:$J$24,3,0)</f>
        <v>6</v>
      </c>
    </row>
    <row r="71" spans="2:53" x14ac:dyDescent="0.2">
      <c r="E71" s="11">
        <v>6</v>
      </c>
      <c r="F71" s="9" t="s">
        <v>156</v>
      </c>
      <c r="G71" s="13" t="s">
        <v>176</v>
      </c>
      <c r="AZ71" s="42">
        <f>IF(Тестирование!$M$5=1,VLOOKUP(MAX($B$8:$B71),'Часть 0'!$H$3:$I$24,2,0),"")</f>
        <v>6</v>
      </c>
      <c r="BA71" s="39">
        <f>VLOOKUP(MAX($B$8:$B71),'Часть 0'!$H$3:$J$24,3,0)</f>
        <v>6</v>
      </c>
    </row>
    <row r="72" spans="2:53" x14ac:dyDescent="0.2">
      <c r="E72" s="11">
        <v>7</v>
      </c>
      <c r="F72" s="9" t="s">
        <v>156</v>
      </c>
      <c r="G72" s="13" t="s">
        <v>177</v>
      </c>
      <c r="AZ72" s="42">
        <f>IF(Тестирование!$M$5=1,VLOOKUP(MAX($B$8:$B72),'Часть 0'!$H$3:$I$24,2,0),"")</f>
        <v>6</v>
      </c>
      <c r="BA72" s="39">
        <f>VLOOKUP(MAX($B$8:$B72),'Часть 0'!$H$3:$J$24,3,0)</f>
        <v>6</v>
      </c>
    </row>
    <row r="73" spans="2:53" ht="5.0999999999999996" customHeight="1" thickBot="1" x14ac:dyDescent="0.25">
      <c r="G73" s="14"/>
      <c r="H73" s="4"/>
      <c r="AZ73" s="42">
        <f>IF(Тестирование!$M$5=1,VLOOKUP(MAX($B$8:$B73),'Часть 0'!$H$3:$I$24,2,0),"")</f>
        <v>6</v>
      </c>
      <c r="BA73" s="39">
        <f>VLOOKUP(MAX($B$8:$B73),'Часть 0'!$H$3:$J$24,3,0)</f>
        <v>6</v>
      </c>
    </row>
    <row r="74" spans="2:53" ht="12" thickBot="1" x14ac:dyDescent="0.25">
      <c r="C74" s="61">
        <v>6</v>
      </c>
      <c r="D74" s="6" t="s">
        <v>220</v>
      </c>
      <c r="E74" s="6"/>
      <c r="F74" s="6"/>
      <c r="G74" s="6"/>
      <c r="H74" s="6"/>
      <c r="I74" s="124">
        <v>6</v>
      </c>
      <c r="AZ74" s="42">
        <f>IF(Тестирование!$M$5=1,VLOOKUP(MAX($B$8:$B74),'Часть 0'!$H$3:$I$24,2,0),"")</f>
        <v>6</v>
      </c>
      <c r="BA74" s="39">
        <f>VLOOKUP(MAX($B$8:$B74),'Часть 0'!$H$3:$J$24,3,0)</f>
        <v>6</v>
      </c>
    </row>
    <row r="75" spans="2:53" x14ac:dyDescent="0.2">
      <c r="G75" s="15"/>
      <c r="H75" s="5"/>
      <c r="AZ75" s="42">
        <f>IF(Тестирование!$M$5=1,VLOOKUP(MAX($B$8:$B75),'Часть 0'!$H$3:$I$24,2,0),"")</f>
        <v>6</v>
      </c>
      <c r="BA75" s="39">
        <f>VLOOKUP(MAX($B$8:$B75),'Часть 0'!$H$3:$J$24,3,0)</f>
        <v>6</v>
      </c>
    </row>
    <row r="76" spans="2:53" s="6" customFormat="1" x14ac:dyDescent="0.2">
      <c r="B76" s="6">
        <v>7</v>
      </c>
      <c r="C76" s="6" t="s">
        <v>90</v>
      </c>
      <c r="D76" s="6" t="s">
        <v>163</v>
      </c>
      <c r="E76" s="10"/>
      <c r="F76" s="8"/>
      <c r="G76" s="12"/>
      <c r="I76" s="37"/>
      <c r="AZ76" s="42">
        <f>IF(Тестирование!$M$5=1,VLOOKUP(MAX($B$8:$B76),'Часть 0'!$H$3:$I$24,2,0),"")</f>
        <v>4</v>
      </c>
      <c r="BA76" s="39">
        <f>VLOOKUP(MAX($B$8:$B76),'Часть 0'!$H$3:$J$24,3,0)</f>
        <v>4</v>
      </c>
    </row>
    <row r="77" spans="2:53" ht="5.0999999999999996" customHeight="1" x14ac:dyDescent="0.2">
      <c r="AZ77" s="42">
        <f>IF(Тестирование!$M$5=1,VLOOKUP(MAX($B$8:$B77),'Часть 0'!$H$3:$I$24,2,0),"")</f>
        <v>4</v>
      </c>
      <c r="BA77" s="39">
        <f>VLOOKUP(MAX($B$8:$B77),'Часть 0'!$H$3:$J$24,3,0)</f>
        <v>4</v>
      </c>
    </row>
    <row r="78" spans="2:53" x14ac:dyDescent="0.2">
      <c r="C78" s="7"/>
      <c r="E78" s="11">
        <v>1</v>
      </c>
      <c r="F78" s="9" t="s">
        <v>156</v>
      </c>
      <c r="G78" s="13" t="s">
        <v>137</v>
      </c>
      <c r="AZ78" s="42">
        <f>IF(Тестирование!$M$5=1,VLOOKUP(MAX($B$8:$B78),'Часть 0'!$H$3:$I$24,2,0),"")</f>
        <v>4</v>
      </c>
      <c r="BA78" s="39">
        <f>VLOOKUP(MAX($B$8:$B78),'Часть 0'!$H$3:$J$24,3,0)</f>
        <v>4</v>
      </c>
    </row>
    <row r="79" spans="2:53" x14ac:dyDescent="0.2">
      <c r="E79" s="11">
        <v>2</v>
      </c>
      <c r="F79" s="9" t="s">
        <v>156</v>
      </c>
      <c r="G79" s="13" t="s">
        <v>138</v>
      </c>
      <c r="AZ79" s="42">
        <f>IF(Тестирование!$M$5=1,VLOOKUP(MAX($B$8:$B79),'Часть 0'!$H$3:$I$24,2,0),"")</f>
        <v>4</v>
      </c>
      <c r="BA79" s="39">
        <f>VLOOKUP(MAX($B$8:$B79),'Часть 0'!$H$3:$J$24,3,0)</f>
        <v>4</v>
      </c>
    </row>
    <row r="80" spans="2:53" x14ac:dyDescent="0.2">
      <c r="E80" s="11">
        <v>3</v>
      </c>
      <c r="F80" s="9" t="s">
        <v>156</v>
      </c>
      <c r="G80" s="13" t="s">
        <v>139</v>
      </c>
      <c r="AZ80" s="42">
        <f>IF(Тестирование!$M$5=1,VLOOKUP(MAX($B$8:$B80),'Часть 0'!$H$3:$I$24,2,0),"")</f>
        <v>4</v>
      </c>
      <c r="BA80" s="39">
        <f>VLOOKUP(MAX($B$8:$B80),'Часть 0'!$H$3:$J$24,3,0)</f>
        <v>4</v>
      </c>
    </row>
    <row r="81" spans="2:53" x14ac:dyDescent="0.2">
      <c r="E81" s="11">
        <v>4</v>
      </c>
      <c r="F81" s="9" t="s">
        <v>156</v>
      </c>
      <c r="G81" s="13" t="s">
        <v>136</v>
      </c>
      <c r="AZ81" s="42">
        <f>IF(Тестирование!$M$5=1,VLOOKUP(MAX($B$8:$B81),'Часть 0'!$H$3:$I$24,2,0),"")</f>
        <v>4</v>
      </c>
      <c r="BA81" s="39">
        <f>VLOOKUP(MAX($B$8:$B81),'Часть 0'!$H$3:$J$24,3,0)</f>
        <v>4</v>
      </c>
    </row>
    <row r="82" spans="2:53" ht="5.0999999999999996" customHeight="1" thickBot="1" x14ac:dyDescent="0.25">
      <c r="G82" s="14"/>
      <c r="H82" s="4"/>
      <c r="AZ82" s="42">
        <f>IF(Тестирование!$M$5=1,VLOOKUP(MAX($B$8:$B82),'Часть 0'!$H$3:$I$24,2,0),"")</f>
        <v>4</v>
      </c>
      <c r="BA82" s="39">
        <f>VLOOKUP(MAX($B$8:$B82),'Часть 0'!$H$3:$J$24,3,0)</f>
        <v>4</v>
      </c>
    </row>
    <row r="83" spans="2:53" ht="12" thickBot="1" x14ac:dyDescent="0.25">
      <c r="C83" s="61">
        <v>7</v>
      </c>
      <c r="D83" s="6" t="s">
        <v>220</v>
      </c>
      <c r="E83" s="6"/>
      <c r="F83" s="6"/>
      <c r="G83" s="6"/>
      <c r="H83" s="6"/>
      <c r="I83" s="124">
        <v>4</v>
      </c>
      <c r="AZ83" s="42">
        <f>IF(Тестирование!$M$5=1,VLOOKUP(MAX($B$8:$B83),'Часть 0'!$H$3:$I$24,2,0),"")</f>
        <v>4</v>
      </c>
      <c r="BA83" s="39">
        <f>VLOOKUP(MAX($B$8:$B83),'Часть 0'!$H$3:$J$24,3,0)</f>
        <v>4</v>
      </c>
    </row>
    <row r="84" spans="2:53" x14ac:dyDescent="0.2">
      <c r="G84" s="15"/>
      <c r="H84" s="5"/>
      <c r="AZ84" s="42">
        <f>IF(Тестирование!$M$5=1,VLOOKUP(MAX($B$8:$B84),'Часть 0'!$H$3:$I$24,2,0),"")</f>
        <v>4</v>
      </c>
      <c r="BA84" s="39">
        <f>VLOOKUP(MAX($B$8:$B84),'Часть 0'!$H$3:$J$24,3,0)</f>
        <v>4</v>
      </c>
    </row>
    <row r="85" spans="2:53" s="6" customFormat="1" x14ac:dyDescent="0.2">
      <c r="B85" s="6">
        <v>8</v>
      </c>
      <c r="C85" s="6" t="s">
        <v>90</v>
      </c>
      <c r="D85" s="6" t="s">
        <v>164</v>
      </c>
      <c r="E85" s="10"/>
      <c r="F85" s="8"/>
      <c r="G85" s="12"/>
      <c r="I85" s="37"/>
      <c r="AZ85" s="42">
        <f>IF(Тестирование!$M$5=1,VLOOKUP(MAX($B$8:$B85),'Часть 0'!$H$3:$I$24,2,0),"")</f>
        <v>4</v>
      </c>
      <c r="BA85" s="39">
        <f>VLOOKUP(MAX($B$8:$B85),'Часть 0'!$H$3:$J$24,3,0)</f>
        <v>4</v>
      </c>
    </row>
    <row r="86" spans="2:53" ht="5.0999999999999996" customHeight="1" x14ac:dyDescent="0.2">
      <c r="AZ86" s="42">
        <f>IF(Тестирование!$M$5=1,VLOOKUP(MAX($B$8:$B86),'Часть 0'!$H$3:$I$24,2,0),"")</f>
        <v>4</v>
      </c>
      <c r="BA86" s="39">
        <f>VLOOKUP(MAX($B$8:$B86),'Часть 0'!$H$3:$J$24,3,0)</f>
        <v>4</v>
      </c>
    </row>
    <row r="87" spans="2:53" x14ac:dyDescent="0.2">
      <c r="E87" s="11">
        <v>1</v>
      </c>
      <c r="F87" s="9" t="s">
        <v>156</v>
      </c>
      <c r="G87" s="13">
        <v>0</v>
      </c>
      <c r="AZ87" s="42">
        <f>IF(Тестирование!$M$5=1,VLOOKUP(MAX($B$8:$B87),'Часть 0'!$H$3:$I$24,2,0),"")</f>
        <v>4</v>
      </c>
      <c r="BA87" s="39">
        <f>VLOOKUP(MAX($B$8:$B87),'Часть 0'!$H$3:$J$24,3,0)</f>
        <v>4</v>
      </c>
    </row>
    <row r="88" spans="2:53" x14ac:dyDescent="0.2">
      <c r="E88" s="11">
        <v>2</v>
      </c>
      <c r="F88" s="9" t="s">
        <v>156</v>
      </c>
      <c r="G88" s="13">
        <v>1</v>
      </c>
      <c r="AZ88" s="42">
        <f>IF(Тестирование!$M$5=1,VLOOKUP(MAX($B$8:$B88),'Часть 0'!$H$3:$I$24,2,0),"")</f>
        <v>4</v>
      </c>
      <c r="BA88" s="39">
        <f>VLOOKUP(MAX($B$8:$B88),'Часть 0'!$H$3:$J$24,3,0)</f>
        <v>4</v>
      </c>
    </row>
    <row r="89" spans="2:53" x14ac:dyDescent="0.2">
      <c r="E89" s="11">
        <v>3</v>
      </c>
      <c r="F89" s="9" t="s">
        <v>156</v>
      </c>
      <c r="G89" s="13">
        <v>2</v>
      </c>
      <c r="AZ89" s="42">
        <f>IF(Тестирование!$M$5=1,VLOOKUP(MAX($B$8:$B89),'Часть 0'!$H$3:$I$24,2,0),"")</f>
        <v>4</v>
      </c>
      <c r="BA89" s="39">
        <f>VLOOKUP(MAX($B$8:$B89),'Часть 0'!$H$3:$J$24,3,0)</f>
        <v>4</v>
      </c>
    </row>
    <row r="90" spans="2:53" x14ac:dyDescent="0.2">
      <c r="E90" s="11">
        <v>4</v>
      </c>
      <c r="F90" s="9" t="s">
        <v>156</v>
      </c>
      <c r="G90" s="13">
        <v>3</v>
      </c>
      <c r="AZ90" s="42">
        <f>IF(Тестирование!$M$5=1,VLOOKUP(MAX($B$8:$B90),'Часть 0'!$H$3:$I$24,2,0),"")</f>
        <v>4</v>
      </c>
      <c r="BA90" s="39">
        <f>VLOOKUP(MAX($B$8:$B90),'Часть 0'!$H$3:$J$24,3,0)</f>
        <v>4</v>
      </c>
    </row>
    <row r="91" spans="2:53" x14ac:dyDescent="0.2">
      <c r="E91" s="11">
        <v>5</v>
      </c>
      <c r="F91" s="9" t="s">
        <v>156</v>
      </c>
      <c r="G91" s="13">
        <v>4</v>
      </c>
      <c r="AZ91" s="42">
        <f>IF(Тестирование!$M$5=1,VLOOKUP(MAX($B$8:$B91),'Часть 0'!$H$3:$I$24,2,0),"")</f>
        <v>4</v>
      </c>
      <c r="BA91" s="39">
        <f>VLOOKUP(MAX($B$8:$B91),'Часть 0'!$H$3:$J$24,3,0)</f>
        <v>4</v>
      </c>
    </row>
    <row r="92" spans="2:53" x14ac:dyDescent="0.2">
      <c r="E92" s="11">
        <v>6</v>
      </c>
      <c r="F92" s="9" t="s">
        <v>156</v>
      </c>
      <c r="G92" s="13">
        <v>5</v>
      </c>
      <c r="AZ92" s="42">
        <f>IF(Тестирование!$M$5=1,VLOOKUP(MAX($B$8:$B92),'Часть 0'!$H$3:$I$24,2,0),"")</f>
        <v>4</v>
      </c>
      <c r="BA92" s="39">
        <f>VLOOKUP(MAX($B$8:$B92),'Часть 0'!$H$3:$J$24,3,0)</f>
        <v>4</v>
      </c>
    </row>
    <row r="93" spans="2:53" x14ac:dyDescent="0.2">
      <c r="E93" s="11">
        <v>7</v>
      </c>
      <c r="F93" s="9" t="s">
        <v>156</v>
      </c>
      <c r="G93" s="13">
        <v>6</v>
      </c>
      <c r="AZ93" s="42">
        <f>IF(Тестирование!$M$5=1,VLOOKUP(MAX($B$8:$B93),'Часть 0'!$H$3:$I$24,2,0),"")</f>
        <v>4</v>
      </c>
      <c r="BA93" s="39">
        <f>VLOOKUP(MAX($B$8:$B93),'Часть 0'!$H$3:$J$24,3,0)</f>
        <v>4</v>
      </c>
    </row>
    <row r="94" spans="2:53" x14ac:dyDescent="0.2">
      <c r="E94" s="11">
        <v>8</v>
      </c>
      <c r="F94" s="9" t="s">
        <v>156</v>
      </c>
      <c r="G94" s="13">
        <v>7</v>
      </c>
      <c r="AZ94" s="42">
        <f>IF(Тестирование!$M$5=1,VLOOKUP(MAX($B$8:$B94),'Часть 0'!$H$3:$I$24,2,0),"")</f>
        <v>4</v>
      </c>
      <c r="BA94" s="39">
        <f>VLOOKUP(MAX($B$8:$B94),'Часть 0'!$H$3:$J$24,3,0)</f>
        <v>4</v>
      </c>
    </row>
    <row r="95" spans="2:53" ht="5.0999999999999996" customHeight="1" thickBot="1" x14ac:dyDescent="0.25">
      <c r="G95" s="14"/>
      <c r="H95" s="4"/>
      <c r="AZ95" s="42">
        <f>IF(Тестирование!$M$5=1,VLOOKUP(MAX($B$8:$B95),'Часть 0'!$H$3:$I$24,2,0),"")</f>
        <v>4</v>
      </c>
      <c r="BA95" s="39">
        <f>VLOOKUP(MAX($B$8:$B95),'Часть 0'!$H$3:$J$24,3,0)</f>
        <v>4</v>
      </c>
    </row>
    <row r="96" spans="2:53" ht="12" thickBot="1" x14ac:dyDescent="0.25">
      <c r="C96" s="61">
        <v>8</v>
      </c>
      <c r="D96" s="6" t="s">
        <v>220</v>
      </c>
      <c r="E96" s="6"/>
      <c r="F96" s="6"/>
      <c r="G96" s="6"/>
      <c r="H96" s="6"/>
      <c r="I96" s="124">
        <v>4</v>
      </c>
      <c r="AZ96" s="42">
        <f>IF(Тестирование!$M$5=1,VLOOKUP(MAX($B$8:$B96),'Часть 0'!$H$3:$I$24,2,0),"")</f>
        <v>4</v>
      </c>
      <c r="BA96" s="39">
        <f>VLOOKUP(MAX($B$8:$B96),'Часть 0'!$H$3:$J$24,3,0)</f>
        <v>4</v>
      </c>
    </row>
    <row r="97" spans="2:53" x14ac:dyDescent="0.2">
      <c r="G97" s="15"/>
      <c r="H97" s="5"/>
      <c r="AZ97" s="42">
        <f>IF(Тестирование!$M$5=1,VLOOKUP(MAX($B$8:$B97),'Часть 0'!$H$3:$I$24,2,0),"")</f>
        <v>4</v>
      </c>
      <c r="BA97" s="39">
        <f>VLOOKUP(MAX($B$8:$B97),'Часть 0'!$H$3:$J$24,3,0)</f>
        <v>4</v>
      </c>
    </row>
    <row r="98" spans="2:53" s="6" customFormat="1" x14ac:dyDescent="0.2">
      <c r="B98" s="6">
        <v>9</v>
      </c>
      <c r="C98" s="6" t="s">
        <v>90</v>
      </c>
      <c r="D98" s="6" t="s">
        <v>178</v>
      </c>
      <c r="E98" s="10"/>
      <c r="F98" s="8"/>
      <c r="G98" s="12"/>
      <c r="I98" s="37"/>
      <c r="AZ98" s="42">
        <f>IF(Тестирование!$M$5=1,VLOOKUP(MAX($B$8:$B98),'Часть 0'!$H$3:$I$24,2,0),"")</f>
        <v>3</v>
      </c>
      <c r="BA98" s="39">
        <f>VLOOKUP(MAX($B$8:$B98),'Часть 0'!$H$3:$J$24,3,0)</f>
        <v>3</v>
      </c>
    </row>
    <row r="99" spans="2:53" ht="5.0999999999999996" customHeight="1" x14ac:dyDescent="0.2">
      <c r="AZ99" s="42">
        <f>IF(Тестирование!$M$5=1,VLOOKUP(MAX($B$8:$B99),'Часть 0'!$H$3:$I$24,2,0),"")</f>
        <v>3</v>
      </c>
      <c r="BA99" s="39">
        <f>VLOOKUP(MAX($B$8:$B99),'Часть 0'!$H$3:$J$24,3,0)</f>
        <v>3</v>
      </c>
    </row>
    <row r="100" spans="2:53" x14ac:dyDescent="0.2">
      <c r="E100" s="11">
        <v>1</v>
      </c>
      <c r="F100" s="9" t="s">
        <v>156</v>
      </c>
      <c r="G100" s="13" t="s">
        <v>140</v>
      </c>
      <c r="AZ100" s="42">
        <f>IF(Тестирование!$M$5=1,VLOOKUP(MAX($B$8:$B100),'Часть 0'!$H$3:$I$24,2,0),"")</f>
        <v>3</v>
      </c>
      <c r="BA100" s="39">
        <f>VLOOKUP(MAX($B$8:$B100),'Часть 0'!$H$3:$J$24,3,0)</f>
        <v>3</v>
      </c>
    </row>
    <row r="101" spans="2:53" x14ac:dyDescent="0.2">
      <c r="E101" s="11">
        <v>2</v>
      </c>
      <c r="F101" s="9" t="s">
        <v>156</v>
      </c>
      <c r="G101" s="13" t="s">
        <v>141</v>
      </c>
      <c r="AZ101" s="42">
        <f>IF(Тестирование!$M$5=1,VLOOKUP(MAX($B$8:$B101),'Часть 0'!$H$3:$I$24,2,0),"")</f>
        <v>3</v>
      </c>
      <c r="BA101" s="39">
        <f>VLOOKUP(MAX($B$8:$B101),'Часть 0'!$H$3:$J$24,3,0)</f>
        <v>3</v>
      </c>
    </row>
    <row r="102" spans="2:53" x14ac:dyDescent="0.2">
      <c r="E102" s="11">
        <v>3</v>
      </c>
      <c r="F102" s="9" t="s">
        <v>156</v>
      </c>
      <c r="G102" s="13" t="s">
        <v>142</v>
      </c>
      <c r="AZ102" s="42">
        <f>IF(Тестирование!$M$5=1,VLOOKUP(MAX($B$8:$B102),'Часть 0'!$H$3:$I$24,2,0),"")</f>
        <v>3</v>
      </c>
      <c r="BA102" s="39">
        <f>VLOOKUP(MAX($B$8:$B102),'Часть 0'!$H$3:$J$24,3,0)</f>
        <v>3</v>
      </c>
    </row>
    <row r="103" spans="2:53" x14ac:dyDescent="0.2">
      <c r="E103" s="11">
        <v>4</v>
      </c>
      <c r="F103" s="9" t="s">
        <v>156</v>
      </c>
      <c r="G103" s="13" t="s">
        <v>143</v>
      </c>
      <c r="AZ103" s="42">
        <f>IF(Тестирование!$M$5=1,VLOOKUP(MAX($B$8:$B103),'Часть 0'!$H$3:$I$24,2,0),"")</f>
        <v>3</v>
      </c>
      <c r="BA103" s="39">
        <f>VLOOKUP(MAX($B$8:$B103),'Часть 0'!$H$3:$J$24,3,0)</f>
        <v>3</v>
      </c>
    </row>
    <row r="104" spans="2:53" x14ac:dyDescent="0.2">
      <c r="E104" s="11">
        <v>5</v>
      </c>
      <c r="F104" s="9" t="s">
        <v>156</v>
      </c>
      <c r="G104" s="13" t="s">
        <v>136</v>
      </c>
      <c r="AZ104" s="42">
        <f>IF(Тестирование!$M$5=1,VLOOKUP(MAX($B$8:$B104),'Часть 0'!$H$3:$I$24,2,0),"")</f>
        <v>3</v>
      </c>
      <c r="BA104" s="39">
        <f>VLOOKUP(MAX($B$8:$B104),'Часть 0'!$H$3:$J$24,3,0)</f>
        <v>3</v>
      </c>
    </row>
    <row r="105" spans="2:53" ht="5.0999999999999996" customHeight="1" thickBot="1" x14ac:dyDescent="0.25">
      <c r="G105" s="14"/>
      <c r="H105" s="4"/>
      <c r="AZ105" s="42">
        <f>IF(Тестирование!$M$5=1,VLOOKUP(MAX($B$8:$B105),'Часть 0'!$H$3:$I$24,2,0),"")</f>
        <v>3</v>
      </c>
      <c r="BA105" s="39">
        <f>VLOOKUP(MAX($B$8:$B105),'Часть 0'!$H$3:$J$24,3,0)</f>
        <v>3</v>
      </c>
    </row>
    <row r="106" spans="2:53" ht="12" thickBot="1" x14ac:dyDescent="0.25">
      <c r="C106" s="61">
        <v>9</v>
      </c>
      <c r="D106" s="6" t="s">
        <v>220</v>
      </c>
      <c r="E106" s="6"/>
      <c r="F106" s="6"/>
      <c r="G106" s="6"/>
      <c r="H106" s="6"/>
      <c r="I106" s="124">
        <v>3</v>
      </c>
      <c r="AZ106" s="42">
        <f>IF(Тестирование!$M$5=1,VLOOKUP(MAX($B$8:$B106),'Часть 0'!$H$3:$I$24,2,0),"")</f>
        <v>3</v>
      </c>
      <c r="BA106" s="39">
        <f>VLOOKUP(MAX($B$8:$B106),'Часть 0'!$H$3:$J$24,3,0)</f>
        <v>3</v>
      </c>
    </row>
    <row r="107" spans="2:53" x14ac:dyDescent="0.2">
      <c r="G107" s="15"/>
      <c r="H107" s="5"/>
      <c r="AZ107" s="42">
        <f>IF(Тестирование!$M$5=1,VLOOKUP(MAX($B$8:$B107),'Часть 0'!$H$3:$I$24,2,0),"")</f>
        <v>3</v>
      </c>
      <c r="BA107" s="39">
        <f>VLOOKUP(MAX($B$8:$B107),'Часть 0'!$H$3:$J$24,3,0)</f>
        <v>3</v>
      </c>
    </row>
    <row r="108" spans="2:53" s="6" customFormat="1" x14ac:dyDescent="0.2">
      <c r="B108" s="6">
        <v>10</v>
      </c>
      <c r="C108" s="6" t="s">
        <v>90</v>
      </c>
      <c r="D108" s="6" t="s">
        <v>165</v>
      </c>
      <c r="E108" s="10"/>
      <c r="F108" s="8"/>
      <c r="G108" s="12"/>
      <c r="I108" s="37"/>
      <c r="AZ108" s="42">
        <f>IF(Тестирование!$M$5=1,VLOOKUP(MAX($B$8:$B108),'Часть 0'!$H$3:$I$24,2,0),"")</f>
        <v>3</v>
      </c>
      <c r="BA108" s="39">
        <f>VLOOKUP(MAX($B$8:$B108),'Часть 0'!$H$3:$J$24,3,0)</f>
        <v>3</v>
      </c>
    </row>
    <row r="109" spans="2:53" ht="5.0999999999999996" customHeight="1" x14ac:dyDescent="0.2">
      <c r="AZ109" s="42">
        <f>IF(Тестирование!$M$5=1,VLOOKUP(MAX($B$8:$B109),'Часть 0'!$H$3:$I$24,2,0),"")</f>
        <v>3</v>
      </c>
      <c r="BA109" s="39">
        <f>VLOOKUP(MAX($B$8:$B109),'Часть 0'!$H$3:$J$24,3,0)</f>
        <v>3</v>
      </c>
    </row>
    <row r="110" spans="2:53" x14ac:dyDescent="0.2">
      <c r="E110" s="11">
        <v>1</v>
      </c>
      <c r="F110" s="9" t="s">
        <v>156</v>
      </c>
      <c r="G110" s="16">
        <v>0</v>
      </c>
      <c r="AZ110" s="42">
        <f>IF(Тестирование!$M$5=1,VLOOKUP(MAX($B$8:$B110),'Часть 0'!$H$3:$I$24,2,0),"")</f>
        <v>3</v>
      </c>
      <c r="BA110" s="39">
        <f>VLOOKUP(MAX($B$8:$B110),'Часть 0'!$H$3:$J$24,3,0)</f>
        <v>3</v>
      </c>
    </row>
    <row r="111" spans="2:53" x14ac:dyDescent="0.2">
      <c r="E111" s="11">
        <v>2</v>
      </c>
      <c r="F111" s="9" t="s">
        <v>156</v>
      </c>
      <c r="G111" s="16">
        <v>0.9</v>
      </c>
      <c r="AZ111" s="42">
        <f>IF(Тестирование!$M$5=1,VLOOKUP(MAX($B$8:$B111),'Часть 0'!$H$3:$I$24,2,0),"")</f>
        <v>3</v>
      </c>
      <c r="BA111" s="39">
        <f>VLOOKUP(MAX($B$8:$B111),'Часть 0'!$H$3:$J$24,3,0)</f>
        <v>3</v>
      </c>
    </row>
    <row r="112" spans="2:53" x14ac:dyDescent="0.2">
      <c r="E112" s="11">
        <v>3</v>
      </c>
      <c r="F112" s="9" t="s">
        <v>156</v>
      </c>
      <c r="G112" s="16">
        <v>0.99</v>
      </c>
      <c r="AZ112" s="42">
        <f>IF(Тестирование!$M$5=1,VLOOKUP(MAX($B$8:$B112),'Часть 0'!$H$3:$I$24,2,0),"")</f>
        <v>3</v>
      </c>
      <c r="BA112" s="39">
        <f>VLOOKUP(MAX($B$8:$B112),'Часть 0'!$H$3:$J$24,3,0)</f>
        <v>3</v>
      </c>
    </row>
    <row r="113" spans="2:53" x14ac:dyDescent="0.2">
      <c r="E113" s="11">
        <v>4</v>
      </c>
      <c r="F113" s="9" t="s">
        <v>156</v>
      </c>
      <c r="G113" s="16">
        <v>1</v>
      </c>
      <c r="AZ113" s="42">
        <f>IF(Тестирование!$M$5=1,VLOOKUP(MAX($B$8:$B113),'Часть 0'!$H$3:$I$24,2,0),"")</f>
        <v>3</v>
      </c>
      <c r="BA113" s="39">
        <f>VLOOKUP(MAX($B$8:$B113),'Часть 0'!$H$3:$J$24,3,0)</f>
        <v>3</v>
      </c>
    </row>
    <row r="114" spans="2:53" x14ac:dyDescent="0.2">
      <c r="E114" s="11">
        <v>5</v>
      </c>
      <c r="F114" s="9" t="s">
        <v>156</v>
      </c>
      <c r="G114" s="16">
        <v>1.01</v>
      </c>
      <c r="AZ114" s="42">
        <f>IF(Тестирование!$M$5=1,VLOOKUP(MAX($B$8:$B114),'Часть 0'!$H$3:$I$24,2,0),"")</f>
        <v>3</v>
      </c>
      <c r="BA114" s="39">
        <f>VLOOKUP(MAX($B$8:$B114),'Часть 0'!$H$3:$J$24,3,0)</f>
        <v>3</v>
      </c>
    </row>
    <row r="115" spans="2:53" x14ac:dyDescent="0.2">
      <c r="E115" s="11">
        <v>6</v>
      </c>
      <c r="F115" s="9" t="s">
        <v>156</v>
      </c>
      <c r="G115" s="16">
        <v>1.0900000000000001</v>
      </c>
      <c r="AZ115" s="42">
        <f>IF(Тестирование!$M$5=1,VLOOKUP(MAX($B$8:$B115),'Часть 0'!$H$3:$I$24,2,0),"")</f>
        <v>3</v>
      </c>
      <c r="BA115" s="39">
        <f>VLOOKUP(MAX($B$8:$B115),'Часть 0'!$H$3:$J$24,3,0)</f>
        <v>3</v>
      </c>
    </row>
    <row r="116" spans="2:53" x14ac:dyDescent="0.2">
      <c r="E116" s="11">
        <v>7</v>
      </c>
      <c r="F116" s="9" t="s">
        <v>156</v>
      </c>
      <c r="G116" s="16">
        <v>1.1000000000000001</v>
      </c>
      <c r="AZ116" s="42">
        <f>IF(Тестирование!$M$5=1,VLOOKUP(MAX($B$8:$B116),'Часть 0'!$H$3:$I$24,2,0),"")</f>
        <v>3</v>
      </c>
      <c r="BA116" s="39">
        <f>VLOOKUP(MAX($B$8:$B116),'Часть 0'!$H$3:$J$24,3,0)</f>
        <v>3</v>
      </c>
    </row>
    <row r="117" spans="2:53" x14ac:dyDescent="0.2">
      <c r="E117" s="11">
        <v>8</v>
      </c>
      <c r="F117" s="9" t="s">
        <v>156</v>
      </c>
      <c r="G117" s="16">
        <v>1.1100000000000001</v>
      </c>
      <c r="AZ117" s="42">
        <f>IF(Тестирование!$M$5=1,VLOOKUP(MAX($B$8:$B117),'Часть 0'!$H$3:$I$24,2,0),"")</f>
        <v>3</v>
      </c>
      <c r="BA117" s="39">
        <f>VLOOKUP(MAX($B$8:$B117),'Часть 0'!$H$3:$J$24,3,0)</f>
        <v>3</v>
      </c>
    </row>
    <row r="118" spans="2:53" x14ac:dyDescent="0.2">
      <c r="E118" s="11">
        <v>9</v>
      </c>
      <c r="F118" s="9" t="s">
        <v>156</v>
      </c>
      <c r="G118" s="13" t="s">
        <v>136</v>
      </c>
      <c r="AZ118" s="42">
        <f>IF(Тестирование!$M$5=1,VLOOKUP(MAX($B$8:$B118),'Часть 0'!$H$3:$I$24,2,0),"")</f>
        <v>3</v>
      </c>
      <c r="BA118" s="39">
        <f>VLOOKUP(MAX($B$8:$B118),'Часть 0'!$H$3:$J$24,3,0)</f>
        <v>3</v>
      </c>
    </row>
    <row r="119" spans="2:53" ht="5.0999999999999996" customHeight="1" thickBot="1" x14ac:dyDescent="0.25">
      <c r="G119" s="14"/>
      <c r="H119" s="4"/>
      <c r="AZ119" s="42">
        <f>IF(Тестирование!$M$5=1,VLOOKUP(MAX($B$8:$B119),'Часть 0'!$H$3:$I$24,2,0),"")</f>
        <v>3</v>
      </c>
      <c r="BA119" s="39">
        <f>VLOOKUP(MAX($B$8:$B119),'Часть 0'!$H$3:$J$24,3,0)</f>
        <v>3</v>
      </c>
    </row>
    <row r="120" spans="2:53" ht="12" thickBot="1" x14ac:dyDescent="0.25">
      <c r="C120" s="61">
        <v>10</v>
      </c>
      <c r="D120" s="6" t="s">
        <v>220</v>
      </c>
      <c r="E120" s="6"/>
      <c r="F120" s="6"/>
      <c r="G120" s="6"/>
      <c r="H120" s="6"/>
      <c r="I120" s="124">
        <v>3</v>
      </c>
      <c r="AZ120" s="42">
        <f>IF(Тестирование!$M$5=1,VLOOKUP(MAX($B$8:$B120),'Часть 0'!$H$3:$I$24,2,0),"")</f>
        <v>3</v>
      </c>
      <c r="BA120" s="39">
        <f>VLOOKUP(MAX($B$8:$B120),'Часть 0'!$H$3:$J$24,3,0)</f>
        <v>3</v>
      </c>
    </row>
    <row r="121" spans="2:53" x14ac:dyDescent="0.2">
      <c r="G121" s="15"/>
      <c r="H121" s="5"/>
      <c r="AZ121" s="42">
        <f>IF(Тестирование!$M$5=1,VLOOKUP(MAX($B$8:$B121),'Часть 0'!$H$3:$I$24,2,0),"")</f>
        <v>3</v>
      </c>
      <c r="BA121" s="39">
        <f>VLOOKUP(MAX($B$8:$B121),'Часть 0'!$H$3:$J$24,3,0)</f>
        <v>3</v>
      </c>
    </row>
    <row r="122" spans="2:53" s="6" customFormat="1" x14ac:dyDescent="0.2">
      <c r="B122" s="6">
        <v>11</v>
      </c>
      <c r="C122" s="6" t="s">
        <v>90</v>
      </c>
      <c r="D122" s="6" t="s">
        <v>166</v>
      </c>
      <c r="E122" s="10"/>
      <c r="F122" s="8"/>
      <c r="G122" s="12"/>
      <c r="I122" s="37"/>
      <c r="AZ122" s="42">
        <f>IF(Тестирование!$M$5=1,VLOOKUP(MAX($B$8:$B122),'Часть 0'!$H$3:$I$24,2,0),"")</f>
        <v>7</v>
      </c>
      <c r="BA122" s="39">
        <f>VLOOKUP(MAX($B$8:$B122),'Часть 0'!$H$3:$J$24,3,0)</f>
        <v>7</v>
      </c>
    </row>
    <row r="123" spans="2:53" ht="5.0999999999999996" customHeight="1" x14ac:dyDescent="0.2">
      <c r="AZ123" s="42">
        <f>IF(Тестирование!$M$5=1,VLOOKUP(MAX($B$8:$B123),'Часть 0'!$H$3:$I$24,2,0),"")</f>
        <v>7</v>
      </c>
      <c r="BA123" s="39">
        <f>VLOOKUP(MAX($B$8:$B123),'Часть 0'!$H$3:$J$24,3,0)</f>
        <v>7</v>
      </c>
    </row>
    <row r="124" spans="2:53" x14ac:dyDescent="0.2">
      <c r="E124" s="11">
        <v>1</v>
      </c>
      <c r="F124" s="9" t="s">
        <v>156</v>
      </c>
      <c r="G124" s="13">
        <v>1</v>
      </c>
      <c r="AZ124" s="42">
        <f>IF(Тестирование!$M$5=1,VLOOKUP(MAX($B$8:$B124),'Часть 0'!$H$3:$I$24,2,0),"")</f>
        <v>7</v>
      </c>
      <c r="BA124" s="39">
        <f>VLOOKUP(MAX($B$8:$B124),'Часть 0'!$H$3:$J$24,3,0)</f>
        <v>7</v>
      </c>
    </row>
    <row r="125" spans="2:53" x14ac:dyDescent="0.2">
      <c r="E125" s="11">
        <v>2</v>
      </c>
      <c r="F125" s="9" t="s">
        <v>156</v>
      </c>
      <c r="G125" s="13">
        <v>4</v>
      </c>
      <c r="AZ125" s="42">
        <f>IF(Тестирование!$M$5=1,VLOOKUP(MAX($B$8:$B125),'Часть 0'!$H$3:$I$24,2,0),"")</f>
        <v>7</v>
      </c>
      <c r="BA125" s="39">
        <f>VLOOKUP(MAX($B$8:$B125),'Часть 0'!$H$3:$J$24,3,0)</f>
        <v>7</v>
      </c>
    </row>
    <row r="126" spans="2:53" x14ac:dyDescent="0.2">
      <c r="E126" s="11">
        <v>3</v>
      </c>
      <c r="F126" s="9" t="s">
        <v>156</v>
      </c>
      <c r="G126" s="13">
        <v>5</v>
      </c>
      <c r="AZ126" s="42">
        <f>IF(Тестирование!$M$5=1,VLOOKUP(MAX($B$8:$B126),'Часть 0'!$H$3:$I$24,2,0),"")</f>
        <v>7</v>
      </c>
      <c r="BA126" s="39">
        <f>VLOOKUP(MAX($B$8:$B126),'Часть 0'!$H$3:$J$24,3,0)</f>
        <v>7</v>
      </c>
    </row>
    <row r="127" spans="2:53" x14ac:dyDescent="0.2">
      <c r="E127" s="11">
        <v>4</v>
      </c>
      <c r="F127" s="9" t="s">
        <v>156</v>
      </c>
      <c r="G127" s="13">
        <v>6</v>
      </c>
      <c r="AZ127" s="42">
        <f>IF(Тестирование!$M$5=1,VLOOKUP(MAX($B$8:$B127),'Часть 0'!$H$3:$I$24,2,0),"")</f>
        <v>7</v>
      </c>
      <c r="BA127" s="39">
        <f>VLOOKUP(MAX($B$8:$B127),'Часть 0'!$H$3:$J$24,3,0)</f>
        <v>7</v>
      </c>
    </row>
    <row r="128" spans="2:53" x14ac:dyDescent="0.2">
      <c r="E128" s="11">
        <v>5</v>
      </c>
      <c r="F128" s="9" t="s">
        <v>156</v>
      </c>
      <c r="G128" s="13">
        <v>10</v>
      </c>
      <c r="AZ128" s="42">
        <f>IF(Тестирование!$M$5=1,VLOOKUP(MAX($B$8:$B128),'Часть 0'!$H$3:$I$24,2,0),"")</f>
        <v>7</v>
      </c>
      <c r="BA128" s="39">
        <f>VLOOKUP(MAX($B$8:$B128),'Часть 0'!$H$3:$J$24,3,0)</f>
        <v>7</v>
      </c>
    </row>
    <row r="129" spans="2:53" x14ac:dyDescent="0.2">
      <c r="E129" s="11">
        <v>6</v>
      </c>
      <c r="F129" s="9" t="s">
        <v>156</v>
      </c>
      <c r="G129" s="13">
        <v>14</v>
      </c>
      <c r="AZ129" s="42">
        <f>IF(Тестирование!$M$5=1,VLOOKUP(MAX($B$8:$B129),'Часть 0'!$H$3:$I$24,2,0),"")</f>
        <v>7</v>
      </c>
      <c r="BA129" s="39">
        <f>VLOOKUP(MAX($B$8:$B129),'Часть 0'!$H$3:$J$24,3,0)</f>
        <v>7</v>
      </c>
    </row>
    <row r="130" spans="2:53" x14ac:dyDescent="0.2">
      <c r="E130" s="11">
        <v>7</v>
      </c>
      <c r="F130" s="9" t="s">
        <v>156</v>
      </c>
      <c r="G130" s="13">
        <v>15</v>
      </c>
      <c r="AZ130" s="42">
        <f>IF(Тестирование!$M$5=1,VLOOKUP(MAX($B$8:$B130),'Часть 0'!$H$3:$I$24,2,0),"")</f>
        <v>7</v>
      </c>
      <c r="BA130" s="39">
        <f>VLOOKUP(MAX($B$8:$B130),'Часть 0'!$H$3:$J$24,3,0)</f>
        <v>7</v>
      </c>
    </row>
    <row r="131" spans="2:53" x14ac:dyDescent="0.2">
      <c r="E131" s="11">
        <v>8</v>
      </c>
      <c r="F131" s="9" t="s">
        <v>156</v>
      </c>
      <c r="G131" s="13" t="s">
        <v>136</v>
      </c>
      <c r="AZ131" s="42">
        <f>IF(Тестирование!$M$5=1,VLOOKUP(MAX($B$8:$B131),'Часть 0'!$H$3:$I$24,2,0),"")</f>
        <v>7</v>
      </c>
      <c r="BA131" s="39">
        <f>VLOOKUP(MAX($B$8:$B131),'Часть 0'!$H$3:$J$24,3,0)</f>
        <v>7</v>
      </c>
    </row>
    <row r="132" spans="2:53" ht="5.0999999999999996" customHeight="1" thickBot="1" x14ac:dyDescent="0.25">
      <c r="G132" s="14"/>
      <c r="H132" s="4"/>
      <c r="AZ132" s="42">
        <f>IF(Тестирование!$M$5=1,VLOOKUP(MAX($B$8:$B132),'Часть 0'!$H$3:$I$24,2,0),"")</f>
        <v>7</v>
      </c>
      <c r="BA132" s="39">
        <f>VLOOKUP(MAX($B$8:$B132),'Часть 0'!$H$3:$J$24,3,0)</f>
        <v>7</v>
      </c>
    </row>
    <row r="133" spans="2:53" ht="12" thickBot="1" x14ac:dyDescent="0.25">
      <c r="C133" s="61">
        <v>11</v>
      </c>
      <c r="D133" s="6" t="s">
        <v>220</v>
      </c>
      <c r="E133" s="6"/>
      <c r="F133" s="6"/>
      <c r="G133" s="6"/>
      <c r="H133" s="6"/>
      <c r="I133" s="124">
        <v>7</v>
      </c>
      <c r="AZ133" s="42">
        <f>IF(Тестирование!$M$5=1,VLOOKUP(MAX($B$8:$B133),'Часть 0'!$H$3:$I$24,2,0),"")</f>
        <v>7</v>
      </c>
      <c r="BA133" s="39">
        <f>VLOOKUP(MAX($B$8:$B133),'Часть 0'!$H$3:$J$24,3,0)</f>
        <v>7</v>
      </c>
    </row>
    <row r="134" spans="2:53" x14ac:dyDescent="0.2">
      <c r="G134" s="15"/>
      <c r="H134" s="5"/>
      <c r="AZ134" s="42">
        <f>IF(Тестирование!$M$5=1,VLOOKUP(MAX($B$8:$B134),'Часть 0'!$H$3:$I$24,2,0),"")</f>
        <v>7</v>
      </c>
      <c r="BA134" s="39">
        <f>VLOOKUP(MAX($B$8:$B134),'Часть 0'!$H$3:$J$24,3,0)</f>
        <v>7</v>
      </c>
    </row>
    <row r="135" spans="2:53" s="6" customFormat="1" x14ac:dyDescent="0.2">
      <c r="B135" s="6">
        <v>12</v>
      </c>
      <c r="C135" s="6" t="s">
        <v>90</v>
      </c>
      <c r="D135" s="6" t="s">
        <v>179</v>
      </c>
      <c r="E135" s="10"/>
      <c r="F135" s="8"/>
      <c r="G135" s="12"/>
      <c r="I135" s="37"/>
      <c r="AZ135" s="42">
        <f>IF(Тестирование!$M$5=1,VLOOKUP(MAX($B$8:$B135),'Часть 0'!$H$3:$I$24,2,0),"")</f>
        <v>5</v>
      </c>
      <c r="BA135" s="39">
        <f>VLOOKUP(MAX($B$8:$B135),'Часть 0'!$H$3:$J$24,3,0)</f>
        <v>5</v>
      </c>
    </row>
    <row r="136" spans="2:53" ht="5.0999999999999996" customHeight="1" x14ac:dyDescent="0.2">
      <c r="AZ136" s="42">
        <f>IF(Тестирование!$M$5=1,VLOOKUP(MAX($B$8:$B136),'Часть 0'!$H$3:$I$24,2,0),"")</f>
        <v>5</v>
      </c>
      <c r="BA136" s="39">
        <f>VLOOKUP(MAX($B$8:$B136),'Часть 0'!$H$3:$J$24,3,0)</f>
        <v>5</v>
      </c>
    </row>
    <row r="137" spans="2:53" x14ac:dyDescent="0.2">
      <c r="E137" s="11">
        <v>1</v>
      </c>
      <c r="F137" s="9" t="s">
        <v>156</v>
      </c>
      <c r="G137" s="13">
        <v>5</v>
      </c>
      <c r="AZ137" s="42">
        <f>IF(Тестирование!$M$5=1,VLOOKUP(MAX($B$8:$B137),'Часть 0'!$H$3:$I$24,2,0),"")</f>
        <v>5</v>
      </c>
      <c r="BA137" s="39">
        <f>VLOOKUP(MAX($B$8:$B137),'Часть 0'!$H$3:$J$24,3,0)</f>
        <v>5</v>
      </c>
    </row>
    <row r="138" spans="2:53" x14ac:dyDescent="0.2">
      <c r="E138" s="11">
        <v>2</v>
      </c>
      <c r="F138" s="9" t="s">
        <v>156</v>
      </c>
      <c r="G138" s="13">
        <v>10</v>
      </c>
      <c r="AZ138" s="42">
        <f>IF(Тестирование!$M$5=1,VLOOKUP(MAX($B$8:$B138),'Часть 0'!$H$3:$I$24,2,0),"")</f>
        <v>5</v>
      </c>
      <c r="BA138" s="39">
        <f>VLOOKUP(MAX($B$8:$B138),'Часть 0'!$H$3:$J$24,3,0)</f>
        <v>5</v>
      </c>
    </row>
    <row r="139" spans="2:53" x14ac:dyDescent="0.2">
      <c r="E139" s="11">
        <v>3</v>
      </c>
      <c r="F139" s="9" t="s">
        <v>156</v>
      </c>
      <c r="G139" s="13">
        <v>15</v>
      </c>
      <c r="AZ139" s="42">
        <f>IF(Тестирование!$M$5=1,VLOOKUP(MAX($B$8:$B139),'Часть 0'!$H$3:$I$24,2,0),"")</f>
        <v>5</v>
      </c>
      <c r="BA139" s="39">
        <f>VLOOKUP(MAX($B$8:$B139),'Часть 0'!$H$3:$J$24,3,0)</f>
        <v>5</v>
      </c>
    </row>
    <row r="140" spans="2:53" x14ac:dyDescent="0.2">
      <c r="E140" s="11">
        <v>4</v>
      </c>
      <c r="F140" s="9" t="s">
        <v>156</v>
      </c>
      <c r="G140" s="13">
        <v>20</v>
      </c>
      <c r="AZ140" s="42">
        <f>IF(Тестирование!$M$5=1,VLOOKUP(MAX($B$8:$B140),'Часть 0'!$H$3:$I$24,2,0),"")</f>
        <v>5</v>
      </c>
      <c r="BA140" s="39">
        <f>VLOOKUP(MAX($B$8:$B140),'Часть 0'!$H$3:$J$24,3,0)</f>
        <v>5</v>
      </c>
    </row>
    <row r="141" spans="2:53" x14ac:dyDescent="0.2">
      <c r="E141" s="11">
        <v>5</v>
      </c>
      <c r="F141" s="9" t="s">
        <v>156</v>
      </c>
      <c r="G141" s="13">
        <v>25</v>
      </c>
      <c r="AZ141" s="42">
        <f>IF(Тестирование!$M$5=1,VLOOKUP(MAX($B$8:$B141),'Часть 0'!$H$3:$I$24,2,0),"")</f>
        <v>5</v>
      </c>
      <c r="BA141" s="39">
        <f>VLOOKUP(MAX($B$8:$B141),'Часть 0'!$H$3:$J$24,3,0)</f>
        <v>5</v>
      </c>
    </row>
    <row r="142" spans="2:53" x14ac:dyDescent="0.2">
      <c r="E142" s="11">
        <v>6</v>
      </c>
      <c r="F142" s="9" t="s">
        <v>156</v>
      </c>
      <c r="G142" s="13">
        <v>50</v>
      </c>
      <c r="AZ142" s="42">
        <f>IF(Тестирование!$M$5=1,VLOOKUP(MAX($B$8:$B142),'Часть 0'!$H$3:$I$24,2,0),"")</f>
        <v>5</v>
      </c>
      <c r="BA142" s="39">
        <f>VLOOKUP(MAX($B$8:$B142),'Часть 0'!$H$3:$J$24,3,0)</f>
        <v>5</v>
      </c>
    </row>
    <row r="143" spans="2:53" x14ac:dyDescent="0.2">
      <c r="E143" s="11">
        <v>7</v>
      </c>
      <c r="F143" s="9" t="s">
        <v>156</v>
      </c>
      <c r="G143" s="13" t="s">
        <v>136</v>
      </c>
      <c r="AZ143" s="42">
        <f>IF(Тестирование!$M$5=1,VLOOKUP(MAX($B$8:$B143),'Часть 0'!$H$3:$I$24,2,0),"")</f>
        <v>5</v>
      </c>
      <c r="BA143" s="39">
        <f>VLOOKUP(MAX($B$8:$B143),'Часть 0'!$H$3:$J$24,3,0)</f>
        <v>5</v>
      </c>
    </row>
    <row r="144" spans="2:53" ht="5.0999999999999996" customHeight="1" thickBot="1" x14ac:dyDescent="0.25">
      <c r="G144" s="14"/>
      <c r="H144" s="4"/>
      <c r="AZ144" s="42">
        <f>IF(Тестирование!$M$5=1,VLOOKUP(MAX($B$8:$B144),'Часть 0'!$H$3:$I$24,2,0),"")</f>
        <v>5</v>
      </c>
      <c r="BA144" s="39">
        <f>VLOOKUP(MAX($B$8:$B144),'Часть 0'!$H$3:$J$24,3,0)</f>
        <v>5</v>
      </c>
    </row>
    <row r="145" spans="2:53" ht="12" thickBot="1" x14ac:dyDescent="0.25">
      <c r="C145" s="61">
        <v>12</v>
      </c>
      <c r="D145" s="6" t="s">
        <v>220</v>
      </c>
      <c r="E145" s="6"/>
      <c r="F145" s="6"/>
      <c r="G145" s="6"/>
      <c r="H145" s="6"/>
      <c r="I145" s="124">
        <v>5</v>
      </c>
      <c r="AZ145" s="42">
        <f>IF(Тестирование!$M$5=1,VLOOKUP(MAX($B$8:$B145),'Часть 0'!$H$3:$I$24,2,0),"")</f>
        <v>5</v>
      </c>
      <c r="BA145" s="39">
        <f>VLOOKUP(MAX($B$8:$B145),'Часть 0'!$H$3:$J$24,3,0)</f>
        <v>5</v>
      </c>
    </row>
    <row r="146" spans="2:53" x14ac:dyDescent="0.2">
      <c r="G146" s="15"/>
      <c r="H146" s="5"/>
      <c r="AZ146" s="42">
        <f>IF(Тестирование!$M$5=1,VLOOKUP(MAX($B$8:$B146),'Часть 0'!$H$3:$I$24,2,0),"")</f>
        <v>5</v>
      </c>
      <c r="BA146" s="39">
        <f>VLOOKUP(MAX($B$8:$B146),'Часть 0'!$H$3:$J$24,3,0)</f>
        <v>5</v>
      </c>
    </row>
    <row r="147" spans="2:53" s="6" customFormat="1" x14ac:dyDescent="0.2">
      <c r="B147" s="6">
        <v>13</v>
      </c>
      <c r="C147" s="6" t="s">
        <v>90</v>
      </c>
      <c r="D147" s="6" t="s">
        <v>167</v>
      </c>
      <c r="E147" s="10"/>
      <c r="F147" s="8"/>
      <c r="G147" s="12"/>
      <c r="I147" s="37"/>
      <c r="AZ147" s="42">
        <f>IF(Тестирование!$M$5=1,VLOOKUP(MAX($B$8:$B147),'Часть 0'!$H$3:$I$24,2,0),"")</f>
        <v>2</v>
      </c>
      <c r="BA147" s="39">
        <f>VLOOKUP(MAX($B$8:$B147),'Часть 0'!$H$3:$J$24,3,0)</f>
        <v>2</v>
      </c>
    </row>
    <row r="148" spans="2:53" ht="5.0999999999999996" customHeight="1" x14ac:dyDescent="0.2">
      <c r="AZ148" s="42">
        <f>IF(Тестирование!$M$5=1,VLOOKUP(MAX($B$8:$B148),'Часть 0'!$H$3:$I$24,2,0),"")</f>
        <v>2</v>
      </c>
      <c r="BA148" s="39">
        <f>VLOOKUP(MAX($B$8:$B148),'Часть 0'!$H$3:$J$24,3,0)</f>
        <v>2</v>
      </c>
    </row>
    <row r="149" spans="2:53" x14ac:dyDescent="0.2">
      <c r="E149" s="11">
        <v>1</v>
      </c>
      <c r="F149" s="9" t="s">
        <v>156</v>
      </c>
      <c r="G149" s="13" t="s">
        <v>122</v>
      </c>
      <c r="AZ149" s="42">
        <f>IF(Тестирование!$M$5=1,VLOOKUP(MAX($B$8:$B149),'Часть 0'!$H$3:$I$24,2,0),"")</f>
        <v>2</v>
      </c>
      <c r="BA149" s="39">
        <f>VLOOKUP(MAX($B$8:$B149),'Часть 0'!$H$3:$J$24,3,0)</f>
        <v>2</v>
      </c>
    </row>
    <row r="150" spans="2:53" x14ac:dyDescent="0.2">
      <c r="E150" s="11">
        <v>2</v>
      </c>
      <c r="F150" s="9" t="s">
        <v>156</v>
      </c>
      <c r="G150" s="13" t="s">
        <v>121</v>
      </c>
      <c r="AZ150" s="42">
        <f>IF(Тестирование!$M$5=1,VLOOKUP(MAX($B$8:$B150),'Часть 0'!$H$3:$I$24,2,0),"")</f>
        <v>2</v>
      </c>
      <c r="BA150" s="39">
        <f>VLOOKUP(MAX($B$8:$B150),'Часть 0'!$H$3:$J$24,3,0)</f>
        <v>2</v>
      </c>
    </row>
    <row r="151" spans="2:53" x14ac:dyDescent="0.2">
      <c r="E151" s="11">
        <v>3</v>
      </c>
      <c r="F151" s="9" t="s">
        <v>156</v>
      </c>
      <c r="G151" s="13" t="s">
        <v>127</v>
      </c>
      <c r="AZ151" s="42">
        <f>IF(Тестирование!$M$5=1,VLOOKUP(MAX($B$8:$B151),'Часть 0'!$H$3:$I$24,2,0),"")</f>
        <v>2</v>
      </c>
      <c r="BA151" s="39">
        <f>VLOOKUP(MAX($B$8:$B151),'Часть 0'!$H$3:$J$24,3,0)</f>
        <v>2</v>
      </c>
    </row>
    <row r="152" spans="2:53" ht="5.0999999999999996" customHeight="1" thickBot="1" x14ac:dyDescent="0.25">
      <c r="G152" s="14"/>
      <c r="H152" s="4"/>
      <c r="AZ152" s="42">
        <f>IF(Тестирование!$M$5=1,VLOOKUP(MAX($B$8:$B152),'Часть 0'!$H$3:$I$24,2,0),"")</f>
        <v>2</v>
      </c>
      <c r="BA152" s="39">
        <f>VLOOKUP(MAX($B$8:$B152),'Часть 0'!$H$3:$J$24,3,0)</f>
        <v>2</v>
      </c>
    </row>
    <row r="153" spans="2:53" ht="12" thickBot="1" x14ac:dyDescent="0.25">
      <c r="C153" s="61">
        <v>13</v>
      </c>
      <c r="D153" s="6" t="s">
        <v>220</v>
      </c>
      <c r="E153" s="6"/>
      <c r="F153" s="6"/>
      <c r="G153" s="6"/>
      <c r="H153" s="6"/>
      <c r="I153" s="124">
        <v>2</v>
      </c>
      <c r="AZ153" s="42">
        <f>IF(Тестирование!$M$5=1,VLOOKUP(MAX($B$8:$B153),'Часть 0'!$H$3:$I$24,2,0),"")</f>
        <v>2</v>
      </c>
      <c r="BA153" s="39">
        <f>VLOOKUP(MAX($B$8:$B153),'Часть 0'!$H$3:$J$24,3,0)</f>
        <v>2</v>
      </c>
    </row>
    <row r="154" spans="2:53" x14ac:dyDescent="0.2">
      <c r="G154" s="15"/>
      <c r="H154" s="5"/>
      <c r="AZ154" s="42">
        <f>IF(Тестирование!$M$5=1,VLOOKUP(MAX($B$8:$B154),'Часть 0'!$H$3:$I$24,2,0),"")</f>
        <v>2</v>
      </c>
      <c r="BA154" s="39">
        <f>VLOOKUP(MAX($B$8:$B154),'Часть 0'!$H$3:$J$24,3,0)</f>
        <v>2</v>
      </c>
    </row>
    <row r="155" spans="2:53" s="6" customFormat="1" x14ac:dyDescent="0.2">
      <c r="B155" s="6">
        <v>14</v>
      </c>
      <c r="C155" s="6" t="s">
        <v>90</v>
      </c>
      <c r="D155" s="6" t="s">
        <v>168</v>
      </c>
      <c r="E155" s="10"/>
      <c r="F155" s="8"/>
      <c r="G155" s="12"/>
      <c r="I155" s="37"/>
      <c r="AZ155" s="42">
        <f>IF(Тестирование!$M$5=1,VLOOKUP(MAX($B$8:$B155),'Часть 0'!$H$3:$I$24,2,0),"")</f>
        <v>1</v>
      </c>
      <c r="BA155" s="39">
        <f>VLOOKUP(MAX($B$8:$B155),'Часть 0'!$H$3:$J$24,3,0)</f>
        <v>1</v>
      </c>
    </row>
    <row r="156" spans="2:53" ht="5.0999999999999996" customHeight="1" x14ac:dyDescent="0.2">
      <c r="AZ156" s="42">
        <f>IF(Тестирование!$M$5=1,VLOOKUP(MAX($B$8:$B156),'Часть 0'!$H$3:$I$24,2,0),"")</f>
        <v>1</v>
      </c>
      <c r="BA156" s="39">
        <f>VLOOKUP(MAX($B$8:$B156),'Часть 0'!$H$3:$J$24,3,0)</f>
        <v>1</v>
      </c>
    </row>
    <row r="157" spans="2:53" x14ac:dyDescent="0.2">
      <c r="E157" s="11">
        <v>1</v>
      </c>
      <c r="F157" s="9" t="s">
        <v>156</v>
      </c>
      <c r="G157" s="13" t="s">
        <v>144</v>
      </c>
      <c r="AZ157" s="42">
        <f>IF(Тестирование!$M$5=1,VLOOKUP(MAX($B$8:$B157),'Часть 0'!$H$3:$I$24,2,0),"")</f>
        <v>1</v>
      </c>
      <c r="BA157" s="39">
        <f>VLOOKUP(MAX($B$8:$B157),'Часть 0'!$H$3:$J$24,3,0)</f>
        <v>1</v>
      </c>
    </row>
    <row r="158" spans="2:53" x14ac:dyDescent="0.2">
      <c r="E158" s="11">
        <v>2</v>
      </c>
      <c r="F158" s="9" t="s">
        <v>156</v>
      </c>
      <c r="G158" s="13" t="s">
        <v>145</v>
      </c>
      <c r="AZ158" s="42">
        <f>IF(Тестирование!$M$5=1,VLOOKUP(MAX($B$8:$B158),'Часть 0'!$H$3:$I$24,2,0),"")</f>
        <v>1</v>
      </c>
      <c r="BA158" s="39">
        <f>VLOOKUP(MAX($B$8:$B158),'Часть 0'!$H$3:$J$24,3,0)</f>
        <v>1</v>
      </c>
    </row>
    <row r="159" spans="2:53" x14ac:dyDescent="0.2">
      <c r="E159" s="11">
        <v>3</v>
      </c>
      <c r="F159" s="9" t="s">
        <v>156</v>
      </c>
      <c r="G159" s="13" t="s">
        <v>146</v>
      </c>
      <c r="AZ159" s="42">
        <f>IF(Тестирование!$M$5=1,VLOOKUP(MAX($B$8:$B159),'Часть 0'!$H$3:$I$24,2,0),"")</f>
        <v>1</v>
      </c>
      <c r="BA159" s="39">
        <f>VLOOKUP(MAX($B$8:$B159),'Часть 0'!$H$3:$J$24,3,0)</f>
        <v>1</v>
      </c>
    </row>
    <row r="160" spans="2:53" x14ac:dyDescent="0.2">
      <c r="E160" s="11">
        <v>4</v>
      </c>
      <c r="F160" s="9" t="s">
        <v>156</v>
      </c>
      <c r="G160" s="13" t="s">
        <v>147</v>
      </c>
      <c r="AZ160" s="42">
        <f>IF(Тестирование!$M$5=1,VLOOKUP(MAX($B$8:$B160),'Часть 0'!$H$3:$I$24,2,0),"")</f>
        <v>1</v>
      </c>
      <c r="BA160" s="39">
        <f>VLOOKUP(MAX($B$8:$B160),'Часть 0'!$H$3:$J$24,3,0)</f>
        <v>1</v>
      </c>
    </row>
    <row r="161" spans="2:53" x14ac:dyDescent="0.2">
      <c r="E161" s="11">
        <v>5</v>
      </c>
      <c r="F161" s="9" t="s">
        <v>156</v>
      </c>
      <c r="G161" s="13" t="s">
        <v>136</v>
      </c>
      <c r="AZ161" s="42">
        <f>IF(Тестирование!$M$5=1,VLOOKUP(MAX($B$8:$B161),'Часть 0'!$H$3:$I$24,2,0),"")</f>
        <v>1</v>
      </c>
      <c r="BA161" s="39">
        <f>VLOOKUP(MAX($B$8:$B161),'Часть 0'!$H$3:$J$24,3,0)</f>
        <v>1</v>
      </c>
    </row>
    <row r="162" spans="2:53" ht="5.0999999999999996" customHeight="1" thickBot="1" x14ac:dyDescent="0.25">
      <c r="G162" s="14"/>
      <c r="H162" s="4"/>
      <c r="AZ162" s="42">
        <f>IF(Тестирование!$M$5=1,VLOOKUP(MAX($B$8:$B162),'Часть 0'!$H$3:$I$24,2,0),"")</f>
        <v>1</v>
      </c>
      <c r="BA162" s="39">
        <f>VLOOKUP(MAX($B$8:$B162),'Часть 0'!$H$3:$J$24,3,0)</f>
        <v>1</v>
      </c>
    </row>
    <row r="163" spans="2:53" ht="12" thickBot="1" x14ac:dyDescent="0.25">
      <c r="C163" s="61">
        <v>14</v>
      </c>
      <c r="D163" s="6" t="s">
        <v>220</v>
      </c>
      <c r="E163" s="6"/>
      <c r="F163" s="6"/>
      <c r="G163" s="6"/>
      <c r="H163" s="6"/>
      <c r="I163" s="124">
        <v>1</v>
      </c>
      <c r="AZ163" s="42">
        <f>IF(Тестирование!$M$5=1,VLOOKUP(MAX($B$8:$B163),'Часть 0'!$H$3:$I$24,2,0),"")</f>
        <v>1</v>
      </c>
      <c r="BA163" s="39">
        <f>VLOOKUP(MAX($B$8:$B163),'Часть 0'!$H$3:$J$24,3,0)</f>
        <v>1</v>
      </c>
    </row>
    <row r="164" spans="2:53" x14ac:dyDescent="0.2">
      <c r="G164" s="15"/>
      <c r="H164" s="5"/>
      <c r="AZ164" s="42">
        <f>IF(Тестирование!$M$5=1,VLOOKUP(MAX($B$8:$B164),'Часть 0'!$H$3:$I$24,2,0),"")</f>
        <v>1</v>
      </c>
      <c r="BA164" s="39">
        <f>VLOOKUP(MAX($B$8:$B164),'Часть 0'!$H$3:$J$24,3,0)</f>
        <v>1</v>
      </c>
    </row>
    <row r="165" spans="2:53" s="6" customFormat="1" x14ac:dyDescent="0.2">
      <c r="B165" s="6">
        <v>15</v>
      </c>
      <c r="C165" s="6" t="s">
        <v>90</v>
      </c>
      <c r="D165" s="6" t="s">
        <v>169</v>
      </c>
      <c r="E165" s="10"/>
      <c r="F165" s="8"/>
      <c r="G165" s="12"/>
      <c r="I165" s="37"/>
      <c r="AZ165" s="42">
        <f>IF(Тестирование!$M$5=1,VLOOKUP(MAX($B$8:$B165),'Часть 0'!$H$3:$I$24,2,0),"")</f>
        <v>3</v>
      </c>
      <c r="BA165" s="39">
        <f>VLOOKUP(MAX($B$8:$B165),'Часть 0'!$H$3:$J$24,3,0)</f>
        <v>3</v>
      </c>
    </row>
    <row r="166" spans="2:53" ht="5.0999999999999996" customHeight="1" x14ac:dyDescent="0.2">
      <c r="AZ166" s="42">
        <f>IF(Тестирование!$M$5=1,VLOOKUP(MAX($B$8:$B166),'Часть 0'!$H$3:$I$24,2,0),"")</f>
        <v>3</v>
      </c>
      <c r="BA166" s="39">
        <f>VLOOKUP(MAX($B$8:$B166),'Часть 0'!$H$3:$J$24,3,0)</f>
        <v>3</v>
      </c>
    </row>
    <row r="167" spans="2:53" x14ac:dyDescent="0.2">
      <c r="E167" s="11">
        <v>1</v>
      </c>
      <c r="F167" s="9" t="s">
        <v>156</v>
      </c>
      <c r="G167" s="13" t="s">
        <v>149</v>
      </c>
      <c r="AZ167" s="42">
        <f>IF(Тестирование!$M$5=1,VLOOKUP(MAX($B$8:$B167),'Часть 0'!$H$3:$I$24,2,0),"")</f>
        <v>3</v>
      </c>
      <c r="BA167" s="39">
        <f>VLOOKUP(MAX($B$8:$B167),'Часть 0'!$H$3:$J$24,3,0)</f>
        <v>3</v>
      </c>
    </row>
    <row r="168" spans="2:53" x14ac:dyDescent="0.2">
      <c r="E168" s="11">
        <v>2</v>
      </c>
      <c r="F168" s="9" t="s">
        <v>156</v>
      </c>
      <c r="G168" s="13" t="s">
        <v>150</v>
      </c>
      <c r="AZ168" s="42">
        <f>IF(Тестирование!$M$5=1,VLOOKUP(MAX($B$8:$B168),'Часть 0'!$H$3:$I$24,2,0),"")</f>
        <v>3</v>
      </c>
      <c r="BA168" s="39">
        <f>VLOOKUP(MAX($B$8:$B168),'Часть 0'!$H$3:$J$24,3,0)</f>
        <v>3</v>
      </c>
    </row>
    <row r="169" spans="2:53" x14ac:dyDescent="0.2">
      <c r="E169" s="11">
        <v>3</v>
      </c>
      <c r="F169" s="9" t="s">
        <v>156</v>
      </c>
      <c r="G169" s="13" t="s">
        <v>151</v>
      </c>
      <c r="AZ169" s="42">
        <f>IF(Тестирование!$M$5=1,VLOOKUP(MAX($B$8:$B169),'Часть 0'!$H$3:$I$24,2,0),"")</f>
        <v>3</v>
      </c>
      <c r="BA169" s="39">
        <f>VLOOKUP(MAX($B$8:$B169),'Часть 0'!$H$3:$J$24,3,0)</f>
        <v>3</v>
      </c>
    </row>
    <row r="170" spans="2:53" x14ac:dyDescent="0.2">
      <c r="E170" s="11">
        <v>4</v>
      </c>
      <c r="F170" s="9" t="s">
        <v>156</v>
      </c>
      <c r="G170" s="13" t="s">
        <v>152</v>
      </c>
      <c r="AZ170" s="42">
        <f>IF(Тестирование!$M$5=1,VLOOKUP(MAX($B$8:$B170),'Часть 0'!$H$3:$I$24,2,0),"")</f>
        <v>3</v>
      </c>
      <c r="BA170" s="39">
        <f>VLOOKUP(MAX($B$8:$B170),'Часть 0'!$H$3:$J$24,3,0)</f>
        <v>3</v>
      </c>
    </row>
    <row r="171" spans="2:53" x14ac:dyDescent="0.2">
      <c r="E171" s="11">
        <v>5</v>
      </c>
      <c r="F171" s="9" t="s">
        <v>156</v>
      </c>
      <c r="G171" s="13" t="s">
        <v>136</v>
      </c>
      <c r="AZ171" s="42">
        <f>IF(Тестирование!$M$5=1,VLOOKUP(MAX($B$8:$B171),'Часть 0'!$H$3:$I$24,2,0),"")</f>
        <v>3</v>
      </c>
      <c r="BA171" s="39">
        <f>VLOOKUP(MAX($B$8:$B171),'Часть 0'!$H$3:$J$24,3,0)</f>
        <v>3</v>
      </c>
    </row>
    <row r="172" spans="2:53" ht="5.0999999999999996" customHeight="1" thickBot="1" x14ac:dyDescent="0.25">
      <c r="G172" s="14"/>
      <c r="H172" s="4"/>
      <c r="AZ172" s="42">
        <f>IF(Тестирование!$M$5=1,VLOOKUP(MAX($B$8:$B172),'Часть 0'!$H$3:$I$24,2,0),"")</f>
        <v>3</v>
      </c>
      <c r="BA172" s="39">
        <f>VLOOKUP(MAX($B$8:$B172),'Часть 0'!$H$3:$J$24,3,0)</f>
        <v>3</v>
      </c>
    </row>
    <row r="173" spans="2:53" ht="12" thickBot="1" x14ac:dyDescent="0.25">
      <c r="C173" s="61">
        <v>15</v>
      </c>
      <c r="D173" s="6" t="s">
        <v>220</v>
      </c>
      <c r="E173" s="6"/>
      <c r="F173" s="6"/>
      <c r="G173" s="6"/>
      <c r="H173" s="6"/>
      <c r="I173" s="124">
        <v>3</v>
      </c>
      <c r="AZ173" s="42">
        <f>IF(Тестирование!$M$5=1,VLOOKUP(MAX($B$8:$B173),'Часть 0'!$H$3:$I$24,2,0),"")</f>
        <v>3</v>
      </c>
      <c r="BA173" s="39">
        <f>VLOOKUP(MAX($B$8:$B173),'Часть 0'!$H$3:$J$24,3,0)</f>
        <v>3</v>
      </c>
    </row>
    <row r="174" spans="2:53" x14ac:dyDescent="0.2">
      <c r="G174" s="15"/>
      <c r="H174" s="5"/>
      <c r="AZ174" s="42">
        <f>IF(Тестирование!$M$5=1,VLOOKUP(MAX($B$8:$B174),'Часть 0'!$H$3:$I$24,2,0),"")</f>
        <v>3</v>
      </c>
      <c r="BA174" s="39">
        <f>VLOOKUP(MAX($B$8:$B174),'Часть 0'!$H$3:$J$24,3,0)</f>
        <v>3</v>
      </c>
    </row>
    <row r="175" spans="2:53" s="6" customFormat="1" x14ac:dyDescent="0.2">
      <c r="B175" s="6">
        <v>16</v>
      </c>
      <c r="C175" s="6" t="s">
        <v>90</v>
      </c>
      <c r="D175" s="6" t="s">
        <v>170</v>
      </c>
      <c r="E175" s="10"/>
      <c r="F175" s="8"/>
      <c r="G175" s="12"/>
      <c r="I175" s="37"/>
      <c r="AZ175" s="42">
        <f>IF(Тестирование!$M$5=1,VLOOKUP(MAX($B$8:$B175),'Часть 0'!$H$3:$I$24,2,0),"")</f>
        <v>4</v>
      </c>
      <c r="BA175" s="39">
        <f>VLOOKUP(MAX($B$8:$B175),'Часть 0'!$H$3:$J$24,3,0)</f>
        <v>4</v>
      </c>
    </row>
    <row r="176" spans="2:53" ht="5.0999999999999996" customHeight="1" x14ac:dyDescent="0.2">
      <c r="AZ176" s="42">
        <f>IF(Тестирование!$M$5=1,VLOOKUP(MAX($B$8:$B176),'Часть 0'!$H$3:$I$24,2,0),"")</f>
        <v>4</v>
      </c>
      <c r="BA176" s="39">
        <f>VLOOKUP(MAX($B$8:$B176),'Часть 0'!$H$3:$J$24,3,0)</f>
        <v>4</v>
      </c>
    </row>
    <row r="177" spans="2:53" x14ac:dyDescent="0.2">
      <c r="E177" s="11">
        <v>1</v>
      </c>
      <c r="F177" s="9" t="s">
        <v>156</v>
      </c>
      <c r="G177" s="13" t="s">
        <v>153</v>
      </c>
      <c r="AZ177" s="42">
        <f>IF(Тестирование!$M$5=1,VLOOKUP(MAX($B$8:$B177),'Часть 0'!$H$3:$I$24,2,0),"")</f>
        <v>4</v>
      </c>
      <c r="BA177" s="39">
        <f>VLOOKUP(MAX($B$8:$B177),'Часть 0'!$H$3:$J$24,3,0)</f>
        <v>4</v>
      </c>
    </row>
    <row r="178" spans="2:53" x14ac:dyDescent="0.2">
      <c r="E178" s="11">
        <v>2</v>
      </c>
      <c r="F178" s="9" t="s">
        <v>156</v>
      </c>
      <c r="G178" s="13" t="s">
        <v>154</v>
      </c>
      <c r="AZ178" s="42">
        <f>IF(Тестирование!$M$5=1,VLOOKUP(MAX($B$8:$B178),'Часть 0'!$H$3:$I$24,2,0),"")</f>
        <v>4</v>
      </c>
      <c r="BA178" s="39">
        <f>VLOOKUP(MAX($B$8:$B178),'Часть 0'!$H$3:$J$24,3,0)</f>
        <v>4</v>
      </c>
    </row>
    <row r="179" spans="2:53" x14ac:dyDescent="0.2">
      <c r="E179" s="11">
        <v>3</v>
      </c>
      <c r="F179" s="9" t="s">
        <v>156</v>
      </c>
      <c r="G179" s="13" t="s">
        <v>155</v>
      </c>
      <c r="AZ179" s="42">
        <f>IF(Тестирование!$M$5=1,VLOOKUP(MAX($B$8:$B179),'Часть 0'!$H$3:$I$24,2,0),"")</f>
        <v>4</v>
      </c>
      <c r="BA179" s="39">
        <f>VLOOKUP(MAX($B$8:$B179),'Часть 0'!$H$3:$J$24,3,0)</f>
        <v>4</v>
      </c>
    </row>
    <row r="180" spans="2:53" x14ac:dyDescent="0.2">
      <c r="E180" s="11">
        <v>4</v>
      </c>
      <c r="F180" s="9" t="s">
        <v>156</v>
      </c>
      <c r="G180" s="13" t="s">
        <v>148</v>
      </c>
      <c r="AZ180" s="42">
        <f>IF(Тестирование!$M$5=1,VLOOKUP(MAX($B$8:$B180),'Часть 0'!$H$3:$I$24,2,0),"")</f>
        <v>4</v>
      </c>
      <c r="BA180" s="39">
        <f>VLOOKUP(MAX($B$8:$B180),'Часть 0'!$H$3:$J$24,3,0)</f>
        <v>4</v>
      </c>
    </row>
    <row r="181" spans="2:53" x14ac:dyDescent="0.2">
      <c r="E181" s="11">
        <v>5</v>
      </c>
      <c r="F181" s="9" t="s">
        <v>156</v>
      </c>
      <c r="G181" s="13" t="s">
        <v>136</v>
      </c>
      <c r="AZ181" s="42">
        <f>IF(Тестирование!$M$5=1,VLOOKUP(MAX($B$8:$B181),'Часть 0'!$H$3:$I$24,2,0),"")</f>
        <v>4</v>
      </c>
      <c r="BA181" s="39">
        <f>VLOOKUP(MAX($B$8:$B181),'Часть 0'!$H$3:$J$24,3,0)</f>
        <v>4</v>
      </c>
    </row>
    <row r="182" spans="2:53" ht="5.0999999999999996" customHeight="1" thickBot="1" x14ac:dyDescent="0.25">
      <c r="G182" s="14"/>
      <c r="H182" s="4"/>
      <c r="AZ182" s="42">
        <f>IF(Тестирование!$M$5=1,VLOOKUP(MAX($B$8:$B182),'Часть 0'!$H$3:$I$24,2,0),"")</f>
        <v>4</v>
      </c>
      <c r="BA182" s="39">
        <f>VLOOKUP(MAX($B$8:$B182),'Часть 0'!$H$3:$J$24,3,0)</f>
        <v>4</v>
      </c>
    </row>
    <row r="183" spans="2:53" ht="12" thickBot="1" x14ac:dyDescent="0.25">
      <c r="C183" s="61">
        <v>16</v>
      </c>
      <c r="D183" s="6" t="s">
        <v>220</v>
      </c>
      <c r="E183" s="6"/>
      <c r="F183" s="6"/>
      <c r="G183" s="6"/>
      <c r="H183" s="6"/>
      <c r="I183" s="124">
        <v>4</v>
      </c>
      <c r="AZ183" s="42">
        <f>IF(Тестирование!$M$5=1,VLOOKUP(MAX($B$8:$B183),'Часть 0'!$H$3:$I$24,2,0),"")</f>
        <v>4</v>
      </c>
      <c r="BA183" s="39">
        <f>VLOOKUP(MAX($B$8:$B183),'Часть 0'!$H$3:$J$24,3,0)</f>
        <v>4</v>
      </c>
    </row>
    <row r="184" spans="2:53" x14ac:dyDescent="0.2">
      <c r="G184" s="15"/>
      <c r="AZ184" s="42">
        <f>IF(Тестирование!$M$5=1,VLOOKUP(MAX($B$8:$B184),'Часть 0'!$H$3:$I$24,2,0),"")</f>
        <v>4</v>
      </c>
      <c r="BA184" s="39">
        <f>VLOOKUP(MAX($B$8:$B184),'Часть 0'!$H$3:$J$24,3,0)</f>
        <v>4</v>
      </c>
    </row>
    <row r="185" spans="2:53" s="6" customFormat="1" x14ac:dyDescent="0.2">
      <c r="B185" s="6">
        <v>17</v>
      </c>
      <c r="C185" s="6" t="s">
        <v>90</v>
      </c>
      <c r="D185" s="6" t="s">
        <v>183</v>
      </c>
      <c r="E185" s="10"/>
      <c r="F185" s="8"/>
      <c r="G185" s="12"/>
      <c r="I185" s="37"/>
      <c r="AZ185" s="42">
        <f>IF(Тестирование!$M$5=1,VLOOKUP(MAX($B$8:$B185),'Часть 0'!$H$3:$I$24,2,0),"")</f>
        <v>2</v>
      </c>
      <c r="BA185" s="39">
        <f>VLOOKUP(MAX($B$8:$B185),'Часть 0'!$H$3:$J$24,3,0)</f>
        <v>2</v>
      </c>
    </row>
    <row r="186" spans="2:53" ht="5.0999999999999996" customHeight="1" x14ac:dyDescent="0.2">
      <c r="AZ186" s="42">
        <f>IF(Тестирование!$M$5=1,VLOOKUP(MAX($B$8:$B186),'Часть 0'!$H$3:$I$24,2,0),"")</f>
        <v>2</v>
      </c>
      <c r="BA186" s="39">
        <f>VLOOKUP(MAX($B$8:$B186),'Часть 0'!$H$3:$J$24,3,0)</f>
        <v>2</v>
      </c>
    </row>
    <row r="187" spans="2:53" x14ac:dyDescent="0.2">
      <c r="E187" s="11">
        <v>1</v>
      </c>
      <c r="F187" s="9" t="s">
        <v>156</v>
      </c>
      <c r="G187" s="13" t="s">
        <v>180</v>
      </c>
      <c r="AZ187" s="42">
        <f>IF(Тестирование!$M$5=1,VLOOKUP(MAX($B$8:$B187),'Часть 0'!$H$3:$I$24,2,0),"")</f>
        <v>2</v>
      </c>
      <c r="BA187" s="39">
        <f>VLOOKUP(MAX($B$8:$B187),'Часть 0'!$H$3:$J$24,3,0)</f>
        <v>2</v>
      </c>
    </row>
    <row r="188" spans="2:53" x14ac:dyDescent="0.2">
      <c r="E188" s="11">
        <v>2</v>
      </c>
      <c r="F188" s="9" t="s">
        <v>156</v>
      </c>
      <c r="G188" s="13" t="s">
        <v>181</v>
      </c>
      <c r="AZ188" s="42">
        <f>IF(Тестирование!$M$5=1,VLOOKUP(MAX($B$8:$B188),'Часть 0'!$H$3:$I$24,2,0),"")</f>
        <v>2</v>
      </c>
      <c r="BA188" s="39">
        <f>VLOOKUP(MAX($B$8:$B188),'Часть 0'!$H$3:$J$24,3,0)</f>
        <v>2</v>
      </c>
    </row>
    <row r="189" spans="2:53" x14ac:dyDescent="0.2">
      <c r="E189" s="11">
        <v>3</v>
      </c>
      <c r="F189" s="9" t="s">
        <v>156</v>
      </c>
      <c r="G189" s="2" t="s">
        <v>182</v>
      </c>
      <c r="AZ189" s="42">
        <f>IF(Тестирование!$M$5=1,VLOOKUP(MAX($B$8:$B189),'Часть 0'!$H$3:$I$24,2,0),"")</f>
        <v>2</v>
      </c>
      <c r="BA189" s="39">
        <f>VLOOKUP(MAX($B$8:$B189),'Часть 0'!$H$3:$J$24,3,0)</f>
        <v>2</v>
      </c>
    </row>
    <row r="190" spans="2:53" x14ac:dyDescent="0.2">
      <c r="E190" s="11">
        <v>4</v>
      </c>
      <c r="F190" s="9" t="s">
        <v>156</v>
      </c>
      <c r="G190" s="2" t="s">
        <v>127</v>
      </c>
      <c r="AZ190" s="42">
        <f>IF(Тестирование!$M$5=1,VLOOKUP(MAX($B$8:$B190),'Часть 0'!$H$3:$I$24,2,0),"")</f>
        <v>2</v>
      </c>
      <c r="BA190" s="39">
        <f>VLOOKUP(MAX($B$8:$B190),'Часть 0'!$H$3:$J$24,3,0)</f>
        <v>2</v>
      </c>
    </row>
    <row r="191" spans="2:53" ht="5.0999999999999996" customHeight="1" thickBot="1" x14ac:dyDescent="0.25">
      <c r="AZ191" s="42">
        <f>IF(Тестирование!$M$5=1,VLOOKUP(MAX($B$8:$B191),'Часть 0'!$H$3:$I$24,2,0),"")</f>
        <v>2</v>
      </c>
      <c r="BA191" s="39">
        <f>VLOOKUP(MAX($B$8:$B191),'Часть 0'!$H$3:$J$24,3,0)</f>
        <v>2</v>
      </c>
    </row>
    <row r="192" spans="2:53" ht="12" thickBot="1" x14ac:dyDescent="0.25">
      <c r="C192" s="61">
        <v>17</v>
      </c>
      <c r="D192" s="6" t="s">
        <v>220</v>
      </c>
      <c r="E192" s="6"/>
      <c r="F192" s="6"/>
      <c r="G192" s="6"/>
      <c r="H192" s="6"/>
      <c r="I192" s="124">
        <v>2</v>
      </c>
      <c r="AZ192" s="42">
        <f>IF(Тестирование!$M$5=1,VLOOKUP(MAX($B$8:$B192),'Часть 0'!$H$3:$I$24,2,0),"")</f>
        <v>2</v>
      </c>
      <c r="BA192" s="39">
        <f>VLOOKUP(MAX($B$8:$B192),'Часть 0'!$H$3:$J$24,3,0)</f>
        <v>2</v>
      </c>
    </row>
    <row r="193" spans="2:53" x14ac:dyDescent="0.2">
      <c r="G193" s="15"/>
      <c r="AZ193" s="42">
        <f>IF(Тестирование!$M$5=1,VLOOKUP(MAX($B$8:$B193),'Часть 0'!$H$3:$I$24,2,0),"")</f>
        <v>2</v>
      </c>
      <c r="BA193" s="39">
        <f>VLOOKUP(MAX($B$8:$B193),'Часть 0'!$H$3:$J$24,3,0)</f>
        <v>2</v>
      </c>
    </row>
    <row r="194" spans="2:53" s="6" customFormat="1" x14ac:dyDescent="0.2">
      <c r="B194" s="6">
        <v>18</v>
      </c>
      <c r="C194" s="6" t="s">
        <v>90</v>
      </c>
      <c r="D194" s="6" t="s">
        <v>198</v>
      </c>
      <c r="E194" s="10"/>
      <c r="F194" s="8"/>
      <c r="G194" s="12"/>
      <c r="I194" s="37"/>
      <c r="AZ194" s="42">
        <f>IF(Тестирование!$M$5=1,VLOOKUP(MAX($B$8:$B194),'Часть 0'!$H$3:$I$24,2,0),"")</f>
        <v>1</v>
      </c>
      <c r="BA194" s="39">
        <f>VLOOKUP(MAX($B$8:$B194),'Часть 0'!$H$3:$J$24,3,0)</f>
        <v>1</v>
      </c>
    </row>
    <row r="195" spans="2:53" ht="5.0999999999999996" customHeight="1" x14ac:dyDescent="0.2">
      <c r="AZ195" s="42">
        <f>IF(Тестирование!$M$5=1,VLOOKUP(MAX($B$8:$B195),'Часть 0'!$H$3:$I$24,2,0),"")</f>
        <v>1</v>
      </c>
      <c r="BA195" s="39">
        <f>VLOOKUP(MAX($B$8:$B195),'Часть 0'!$H$3:$J$24,3,0)</f>
        <v>1</v>
      </c>
    </row>
    <row r="196" spans="2:53" x14ac:dyDescent="0.2">
      <c r="E196" s="11">
        <v>1</v>
      </c>
      <c r="F196" s="9" t="s">
        <v>156</v>
      </c>
      <c r="G196" s="13" t="s">
        <v>200</v>
      </c>
      <c r="AZ196" s="42">
        <f>IF(Тестирование!$M$5=1,VLOOKUP(MAX($B$8:$B196),'Часть 0'!$H$3:$I$24,2,0),"")</f>
        <v>1</v>
      </c>
      <c r="BA196" s="39">
        <f>VLOOKUP(MAX($B$8:$B196),'Часть 0'!$H$3:$J$24,3,0)</f>
        <v>1</v>
      </c>
    </row>
    <row r="197" spans="2:53" x14ac:dyDescent="0.2">
      <c r="E197" s="11">
        <v>2</v>
      </c>
      <c r="F197" s="9" t="s">
        <v>156</v>
      </c>
      <c r="G197" s="13" t="s">
        <v>201</v>
      </c>
      <c r="AZ197" s="42">
        <f>IF(Тестирование!$M$5=1,VLOOKUP(MAX($B$8:$B197),'Часть 0'!$H$3:$I$24,2,0),"")</f>
        <v>1</v>
      </c>
      <c r="BA197" s="39">
        <f>VLOOKUP(MAX($B$8:$B197),'Часть 0'!$H$3:$J$24,3,0)</f>
        <v>1</v>
      </c>
    </row>
    <row r="198" spans="2:53" x14ac:dyDescent="0.2">
      <c r="E198" s="11">
        <v>3</v>
      </c>
      <c r="F198" s="9" t="s">
        <v>156</v>
      </c>
      <c r="G198" s="13" t="s">
        <v>202</v>
      </c>
      <c r="AZ198" s="42">
        <f>IF(Тестирование!$M$5=1,VLOOKUP(MAX($B$8:$B198),'Часть 0'!$H$3:$I$24,2,0),"")</f>
        <v>1</v>
      </c>
      <c r="BA198" s="39">
        <f>VLOOKUP(MAX($B$8:$B198),'Часть 0'!$H$3:$J$24,3,0)</f>
        <v>1</v>
      </c>
    </row>
    <row r="199" spans="2:53" x14ac:dyDescent="0.2">
      <c r="E199" s="11">
        <v>4</v>
      </c>
      <c r="F199" s="9" t="s">
        <v>156</v>
      </c>
      <c r="G199" s="2" t="s">
        <v>203</v>
      </c>
      <c r="AZ199" s="42">
        <f>IF(Тестирование!$M$5=1,VLOOKUP(MAX($B$8:$B199),'Часть 0'!$H$3:$I$24,2,0),"")</f>
        <v>1</v>
      </c>
      <c r="BA199" s="39">
        <f>VLOOKUP(MAX($B$8:$B199),'Часть 0'!$H$3:$J$24,3,0)</f>
        <v>1</v>
      </c>
    </row>
    <row r="200" spans="2:53" ht="5.0999999999999996" customHeight="1" thickBot="1" x14ac:dyDescent="0.25">
      <c r="AZ200" s="42">
        <f>IF(Тестирование!$M$5=1,VLOOKUP(MAX($B$8:$B200),'Часть 0'!$H$3:$I$24,2,0),"")</f>
        <v>1</v>
      </c>
      <c r="BA200" s="39">
        <f>VLOOKUP(MAX($B$8:$B200),'Часть 0'!$H$3:$J$24,3,0)</f>
        <v>1</v>
      </c>
    </row>
    <row r="201" spans="2:53" ht="12" thickBot="1" x14ac:dyDescent="0.25">
      <c r="C201" s="61">
        <v>18</v>
      </c>
      <c r="D201" s="6" t="s">
        <v>220</v>
      </c>
      <c r="E201" s="6"/>
      <c r="F201" s="6"/>
      <c r="G201" s="6"/>
      <c r="H201" s="6"/>
      <c r="I201" s="124">
        <v>1</v>
      </c>
      <c r="AZ201" s="42">
        <f>IF(Тестирование!$M$5=1,VLOOKUP(MAX($B$8:$B201),'Часть 0'!$H$3:$I$24,2,0),"")</f>
        <v>1</v>
      </c>
      <c r="BA201" s="39">
        <f>VLOOKUP(MAX($B$8:$B201),'Часть 0'!$H$3:$J$24,3,0)</f>
        <v>1</v>
      </c>
    </row>
    <row r="202" spans="2:53" x14ac:dyDescent="0.2">
      <c r="G202" s="15"/>
      <c r="AZ202" s="42">
        <f>IF(Тестирование!$M$5=1,VLOOKUP(MAX($B$8:$B202),'Часть 0'!$H$3:$I$24,2,0),"")</f>
        <v>1</v>
      </c>
      <c r="BA202" s="39">
        <f>VLOOKUP(MAX($B$8:$B202),'Часть 0'!$H$3:$J$24,3,0)</f>
        <v>1</v>
      </c>
    </row>
    <row r="203" spans="2:53" s="6" customFormat="1" x14ac:dyDescent="0.2">
      <c r="B203" s="6">
        <v>19</v>
      </c>
      <c r="C203" s="6" t="s">
        <v>90</v>
      </c>
      <c r="D203" s="6" t="s">
        <v>204</v>
      </c>
      <c r="E203" s="10"/>
      <c r="F203" s="8"/>
      <c r="G203" s="12"/>
      <c r="I203" s="37"/>
      <c r="AZ203" s="42">
        <f>IF(Тестирование!$M$5=1,VLOOKUP(MAX($B$8:$B203),'Часть 0'!$H$3:$I$24,2,0),"")</f>
        <v>4</v>
      </c>
      <c r="BA203" s="39">
        <f>VLOOKUP(MAX($B$8:$B203),'Часть 0'!$H$3:$J$24,3,0)</f>
        <v>3</v>
      </c>
    </row>
    <row r="204" spans="2:53" ht="5.0999999999999996" customHeight="1" x14ac:dyDescent="0.2">
      <c r="AZ204" s="42">
        <f>IF(Тестирование!$M$5=1,VLOOKUP(MAX($B$8:$B204),'Часть 0'!$H$3:$I$24,2,0),"")</f>
        <v>4</v>
      </c>
      <c r="BA204" s="39">
        <f>VLOOKUP(MAX($B$8:$B204),'Часть 0'!$H$3:$J$24,3,0)</f>
        <v>3</v>
      </c>
    </row>
    <row r="205" spans="2:53" x14ac:dyDescent="0.2">
      <c r="E205" s="11">
        <v>1</v>
      </c>
      <c r="F205" s="9" t="s">
        <v>156</v>
      </c>
      <c r="G205" s="13" t="s">
        <v>205</v>
      </c>
      <c r="AZ205" s="42">
        <f>IF(Тестирование!$M$5=1,VLOOKUP(MAX($B$8:$B205),'Часть 0'!$H$3:$I$24,2,0),"")</f>
        <v>4</v>
      </c>
      <c r="BA205" s="39">
        <f>VLOOKUP(MAX($B$8:$B205),'Часть 0'!$H$3:$J$24,3,0)</f>
        <v>3</v>
      </c>
    </row>
    <row r="206" spans="2:53" x14ac:dyDescent="0.2">
      <c r="E206" s="11">
        <v>2</v>
      </c>
      <c r="F206" s="9" t="s">
        <v>156</v>
      </c>
      <c r="G206" s="13" t="s">
        <v>206</v>
      </c>
      <c r="AZ206" s="42">
        <f>IF(Тестирование!$M$5=1,VLOOKUP(MAX($B$8:$B206),'Часть 0'!$H$3:$I$24,2,0),"")</f>
        <v>4</v>
      </c>
      <c r="BA206" s="39">
        <f>VLOOKUP(MAX($B$8:$B206),'Часть 0'!$H$3:$J$24,3,0)</f>
        <v>3</v>
      </c>
    </row>
    <row r="207" spans="2:53" x14ac:dyDescent="0.2">
      <c r="E207" s="11">
        <v>3</v>
      </c>
      <c r="F207" s="9" t="s">
        <v>156</v>
      </c>
      <c r="G207" s="13" t="s">
        <v>207</v>
      </c>
      <c r="AZ207" s="42">
        <f>IF(Тестирование!$M$5=1,VLOOKUP(MAX($B$8:$B207),'Часть 0'!$H$3:$I$24,2,0),"")</f>
        <v>4</v>
      </c>
      <c r="BA207" s="39">
        <f>VLOOKUP(MAX($B$8:$B207),'Часть 0'!$H$3:$J$24,3,0)</f>
        <v>3</v>
      </c>
    </row>
    <row r="208" spans="2:53" x14ac:dyDescent="0.2">
      <c r="E208" s="11">
        <v>4</v>
      </c>
      <c r="F208" s="9" t="s">
        <v>156</v>
      </c>
      <c r="G208" s="13" t="s">
        <v>208</v>
      </c>
      <c r="AZ208" s="42">
        <f>IF(Тестирование!$M$5=1,VLOOKUP(MAX($B$8:$B208),'Часть 0'!$H$3:$I$24,2,0),"")</f>
        <v>4</v>
      </c>
      <c r="BA208" s="39">
        <f>VLOOKUP(MAX($B$8:$B208),'Часть 0'!$H$3:$J$24,3,0)</f>
        <v>3</v>
      </c>
    </row>
    <row r="209" spans="2:53" x14ac:dyDescent="0.2">
      <c r="E209" s="11">
        <v>5</v>
      </c>
      <c r="F209" s="9" t="s">
        <v>156</v>
      </c>
      <c r="G209" s="13" t="s">
        <v>209</v>
      </c>
      <c r="AZ209" s="42">
        <f>IF(Тестирование!$M$5=1,VLOOKUP(MAX($B$8:$B209),'Часть 0'!$H$3:$I$24,2,0),"")</f>
        <v>4</v>
      </c>
      <c r="BA209" s="39">
        <f>VLOOKUP(MAX($B$8:$B209),'Часть 0'!$H$3:$J$24,3,0)</f>
        <v>3</v>
      </c>
    </row>
    <row r="210" spans="2:53" ht="5.0999999999999996" customHeight="1" thickBot="1" x14ac:dyDescent="0.25">
      <c r="AZ210" s="42">
        <f>IF(Тестирование!$M$5=1,VLOOKUP(MAX($B$8:$B210),'Часть 0'!$H$3:$I$24,2,0),"")</f>
        <v>4</v>
      </c>
      <c r="BA210" s="39">
        <f>VLOOKUP(MAX($B$8:$B210),'Часть 0'!$H$3:$J$24,3,0)</f>
        <v>3</v>
      </c>
    </row>
    <row r="211" spans="2:53" ht="12" thickBot="1" x14ac:dyDescent="0.25">
      <c r="C211" s="61">
        <v>19</v>
      </c>
      <c r="D211" s="6" t="s">
        <v>220</v>
      </c>
      <c r="E211" s="6"/>
      <c r="F211" s="6"/>
      <c r="G211" s="6"/>
      <c r="H211" s="6"/>
      <c r="I211" s="124">
        <v>3</v>
      </c>
      <c r="AZ211" s="42">
        <f>IF(Тестирование!$M$5=1,VLOOKUP(MAX($B$8:$B211),'Часть 0'!$H$3:$I$24,2,0),"")</f>
        <v>4</v>
      </c>
      <c r="BA211" s="39">
        <f>VLOOKUP(MAX($B$8:$B211),'Часть 0'!$H$3:$J$24,3,0)</f>
        <v>3</v>
      </c>
    </row>
    <row r="212" spans="2:53" x14ac:dyDescent="0.2">
      <c r="G212" s="15"/>
      <c r="AZ212" s="42">
        <f>IF(Тестирование!$M$5=1,VLOOKUP(MAX($B$8:$B212),'Часть 0'!$H$3:$I$24,2,0),"")</f>
        <v>4</v>
      </c>
      <c r="BA212" s="39">
        <f>VLOOKUP(MAX($B$8:$B212),'Часть 0'!$H$3:$J$24,3,0)</f>
        <v>3</v>
      </c>
    </row>
    <row r="213" spans="2:53" s="6" customFormat="1" x14ac:dyDescent="0.2">
      <c r="B213" s="6">
        <v>20</v>
      </c>
      <c r="C213" s="6" t="s">
        <v>90</v>
      </c>
      <c r="D213" s="6" t="s">
        <v>197</v>
      </c>
      <c r="E213" s="10"/>
      <c r="F213" s="8"/>
      <c r="G213" s="12"/>
      <c r="I213" s="37"/>
      <c r="AZ213" s="42">
        <f>IF(Тестирование!$M$5=1,VLOOKUP(MAX($B$8:$B213),'Часть 0'!$H$3:$I$24,2,0),"")</f>
        <v>2</v>
      </c>
      <c r="BA213" s="39">
        <f>VLOOKUP(MAX($B$8:$B213),'Часть 0'!$H$3:$J$24,3,0)</f>
        <v>2</v>
      </c>
    </row>
    <row r="214" spans="2:53" ht="5.0999999999999996" customHeight="1" x14ac:dyDescent="0.2">
      <c r="AZ214" s="42">
        <f>IF(Тестирование!$M$5=1,VLOOKUP(MAX($B$8:$B214),'Часть 0'!$H$3:$I$24,2,0),"")</f>
        <v>2</v>
      </c>
      <c r="BA214" s="39">
        <f>VLOOKUP(MAX($B$8:$B214),'Часть 0'!$H$3:$J$24,3,0)</f>
        <v>2</v>
      </c>
    </row>
    <row r="215" spans="2:53" x14ac:dyDescent="0.2">
      <c r="E215" s="11">
        <v>1</v>
      </c>
      <c r="F215" s="9" t="s">
        <v>156</v>
      </c>
      <c r="G215" s="32">
        <v>8</v>
      </c>
      <c r="AZ215" s="42">
        <f>IF(Тестирование!$M$5=1,VLOOKUP(MAX($B$8:$B215),'Часть 0'!$H$3:$I$24,2,0),"")</f>
        <v>2</v>
      </c>
      <c r="BA215" s="39">
        <f>VLOOKUP(MAX($B$8:$B215),'Часть 0'!$H$3:$J$24,3,0)</f>
        <v>2</v>
      </c>
    </row>
    <row r="216" spans="2:53" x14ac:dyDescent="0.2">
      <c r="E216" s="11">
        <v>2</v>
      </c>
      <c r="F216" s="9" t="s">
        <v>156</v>
      </c>
      <c r="G216" s="32">
        <v>9</v>
      </c>
      <c r="AZ216" s="42">
        <f>IF(Тестирование!$M$5=1,VLOOKUP(MAX($B$8:$B216),'Часть 0'!$H$3:$I$24,2,0),"")</f>
        <v>2</v>
      </c>
      <c r="BA216" s="39">
        <f>VLOOKUP(MAX($B$8:$B216),'Часть 0'!$H$3:$J$24,3,0)</f>
        <v>2</v>
      </c>
    </row>
    <row r="217" spans="2:53" x14ac:dyDescent="0.2">
      <c r="E217" s="11">
        <v>3</v>
      </c>
      <c r="F217" s="9" t="s">
        <v>156</v>
      </c>
      <c r="G217" s="32">
        <v>10</v>
      </c>
      <c r="AZ217" s="42">
        <f>IF(Тестирование!$M$5=1,VLOOKUP(MAX($B$8:$B217),'Часть 0'!$H$3:$I$24,2,0),"")</f>
        <v>2</v>
      </c>
      <c r="BA217" s="39">
        <f>VLOOKUP(MAX($B$8:$B217),'Часть 0'!$H$3:$J$24,3,0)</f>
        <v>2</v>
      </c>
    </row>
    <row r="218" spans="2:53" x14ac:dyDescent="0.2">
      <c r="E218" s="11">
        <v>4</v>
      </c>
      <c r="F218" s="9" t="s">
        <v>156</v>
      </c>
      <c r="G218" s="32">
        <v>12</v>
      </c>
      <c r="AZ218" s="42">
        <f>IF(Тестирование!$M$5=1,VLOOKUP(MAX($B$8:$B218),'Часть 0'!$H$3:$I$24,2,0),"")</f>
        <v>2</v>
      </c>
      <c r="BA218" s="39">
        <f>VLOOKUP(MAX($B$8:$B218),'Часть 0'!$H$3:$J$24,3,0)</f>
        <v>2</v>
      </c>
    </row>
    <row r="219" spans="2:53" x14ac:dyDescent="0.2">
      <c r="E219" s="11">
        <v>5</v>
      </c>
      <c r="F219" s="9" t="s">
        <v>156</v>
      </c>
      <c r="G219" s="32">
        <v>15</v>
      </c>
      <c r="AZ219" s="42">
        <f>IF(Тестирование!$M$5=1,VLOOKUP(MAX($B$8:$B219),'Часть 0'!$H$3:$I$24,2,0),"")</f>
        <v>2</v>
      </c>
      <c r="BA219" s="39">
        <f>VLOOKUP(MAX($B$8:$B219),'Часть 0'!$H$3:$J$24,3,0)</f>
        <v>2</v>
      </c>
    </row>
    <row r="220" spans="2:53" ht="5.0999999999999996" customHeight="1" thickBot="1" x14ac:dyDescent="0.25">
      <c r="AZ220" s="42">
        <f>IF(Тестирование!$M$5=1,VLOOKUP(MAX($B$8:$B220),'Часть 0'!$H$3:$I$24,2,0),"")</f>
        <v>2</v>
      </c>
      <c r="BA220" s="39">
        <f>VLOOKUP(MAX($B$8:$B220),'Часть 0'!$H$3:$J$24,3,0)</f>
        <v>2</v>
      </c>
    </row>
    <row r="221" spans="2:53" ht="12" thickBot="1" x14ac:dyDescent="0.25">
      <c r="C221" s="61">
        <v>20</v>
      </c>
      <c r="D221" s="6" t="s">
        <v>220</v>
      </c>
      <c r="E221" s="6"/>
      <c r="F221" s="6"/>
      <c r="G221" s="6"/>
      <c r="H221" s="6"/>
      <c r="I221" s="124">
        <v>2</v>
      </c>
      <c r="AZ221" s="42">
        <f>IF(Тестирование!$M$5=1,VLOOKUP(MAX($B$8:$B221),'Часть 0'!$H$3:$I$24,2,0),"")</f>
        <v>2</v>
      </c>
      <c r="BA221" s="39">
        <f>VLOOKUP(MAX($B$8:$B221),'Часть 0'!$H$3:$J$24,3,0)</f>
        <v>2</v>
      </c>
    </row>
    <row r="222" spans="2:53" x14ac:dyDescent="0.2">
      <c r="G222" s="15"/>
      <c r="AZ222" s="42">
        <f>IF(Тестирование!$M$5=1,VLOOKUP(MAX($B$8:$B222),'Часть 0'!$H$3:$I$24,2,0),"")</f>
        <v>2</v>
      </c>
      <c r="BA222" s="39">
        <f>VLOOKUP(MAX($B$8:$B222),'Часть 0'!$H$3:$J$24,3,0)</f>
        <v>2</v>
      </c>
    </row>
    <row r="223" spans="2:53" x14ac:dyDescent="0.2">
      <c r="B223" s="6">
        <v>21</v>
      </c>
      <c r="C223" s="6" t="s">
        <v>90</v>
      </c>
      <c r="D223" s="6" t="s">
        <v>214</v>
      </c>
      <c r="AZ223" s="42">
        <f>IF(Тестирование!$M$5=1,VLOOKUP(MAX($B$8:$B223),'Часть 0'!$H$3:$I$24,2,0),"")</f>
        <v>4</v>
      </c>
      <c r="BA223" s="39">
        <f>VLOOKUP(MAX($B$8:$B223),'Часть 0'!$H$3:$J$24,3,0)</f>
        <v>4</v>
      </c>
    </row>
    <row r="224" spans="2:53" ht="5.0999999999999996" customHeight="1" x14ac:dyDescent="0.2">
      <c r="AZ224" s="42">
        <f>IF(Тестирование!$M$5=1,VLOOKUP(MAX($B$8:$B224),'Часть 0'!$H$3:$I$24,2,0),"")</f>
        <v>4</v>
      </c>
      <c r="BA224" s="39">
        <f>VLOOKUP(MAX($B$8:$B224),'Часть 0'!$H$3:$J$24,3,0)</f>
        <v>4</v>
      </c>
    </row>
    <row r="225" spans="2:53" x14ac:dyDescent="0.2">
      <c r="E225" s="11">
        <v>1</v>
      </c>
      <c r="F225" s="9" t="s">
        <v>156</v>
      </c>
      <c r="G225" s="32" t="s">
        <v>212</v>
      </c>
      <c r="AZ225" s="42">
        <f>IF(Тестирование!$M$5=1,VLOOKUP(MAX($B$8:$B225),'Часть 0'!$H$3:$I$24,2,0),"")</f>
        <v>4</v>
      </c>
      <c r="BA225" s="39">
        <f>VLOOKUP(MAX($B$8:$B225),'Часть 0'!$H$3:$J$24,3,0)</f>
        <v>4</v>
      </c>
    </row>
    <row r="226" spans="2:53" x14ac:dyDescent="0.2">
      <c r="E226" s="11">
        <v>2</v>
      </c>
      <c r="F226" s="9" t="s">
        <v>156</v>
      </c>
      <c r="G226" s="32" t="s">
        <v>211</v>
      </c>
      <c r="AZ226" s="42">
        <f>IF(Тестирование!$M$5=1,VLOOKUP(MAX($B$8:$B226),'Часть 0'!$H$3:$I$24,2,0),"")</f>
        <v>4</v>
      </c>
      <c r="BA226" s="39">
        <f>VLOOKUP(MAX($B$8:$B226),'Часть 0'!$H$3:$J$24,3,0)</f>
        <v>4</v>
      </c>
    </row>
    <row r="227" spans="2:53" x14ac:dyDescent="0.2">
      <c r="E227" s="11">
        <v>3</v>
      </c>
      <c r="F227" s="9" t="s">
        <v>156</v>
      </c>
      <c r="G227" s="32" t="s">
        <v>210</v>
      </c>
      <c r="AZ227" s="42">
        <f>IF(Тестирование!$M$5=1,VLOOKUP(MAX($B$8:$B227),'Часть 0'!$H$3:$I$24,2,0),"")</f>
        <v>4</v>
      </c>
      <c r="BA227" s="39">
        <f>VLOOKUP(MAX($B$8:$B227),'Часть 0'!$H$3:$J$24,3,0)</f>
        <v>4</v>
      </c>
    </row>
    <row r="228" spans="2:53" x14ac:dyDescent="0.2">
      <c r="E228" s="11">
        <v>4</v>
      </c>
      <c r="F228" s="9" t="s">
        <v>156</v>
      </c>
      <c r="G228" s="32" t="s">
        <v>199</v>
      </c>
      <c r="AZ228" s="42">
        <f>IF(Тестирование!$M$5=1,VLOOKUP(MAX($B$8:$B228),'Часть 0'!$H$3:$I$24,2,0),"")</f>
        <v>4</v>
      </c>
      <c r="BA228" s="39">
        <f>VLOOKUP(MAX($B$8:$B228),'Часть 0'!$H$3:$J$24,3,0)</f>
        <v>4</v>
      </c>
    </row>
    <row r="229" spans="2:53" x14ac:dyDescent="0.2">
      <c r="E229" s="11">
        <v>5</v>
      </c>
      <c r="F229" s="9" t="s">
        <v>156</v>
      </c>
      <c r="G229" s="32" t="s">
        <v>213</v>
      </c>
      <c r="AZ229" s="42">
        <f>IF(Тестирование!$M$5=1,VLOOKUP(MAX($B$8:$B229),'Часть 0'!$H$3:$I$24,2,0),"")</f>
        <v>4</v>
      </c>
      <c r="BA229" s="39">
        <f>VLOOKUP(MAX($B$8:$B229),'Часть 0'!$H$3:$J$24,3,0)</f>
        <v>4</v>
      </c>
    </row>
    <row r="230" spans="2:53" ht="5.0999999999999996" customHeight="1" thickBot="1" x14ac:dyDescent="0.25">
      <c r="AZ230" s="42">
        <f>IF(Тестирование!$M$5=1,VLOOKUP(MAX($B$8:$B230),'Часть 0'!$H$3:$I$24,2,0),"")</f>
        <v>4</v>
      </c>
      <c r="BA230" s="39">
        <f>VLOOKUP(MAX($B$8:$B230),'Часть 0'!$H$3:$J$24,3,0)</f>
        <v>4</v>
      </c>
    </row>
    <row r="231" spans="2:53" ht="12" thickBot="1" x14ac:dyDescent="0.25">
      <c r="C231" s="61">
        <v>21</v>
      </c>
      <c r="D231" s="6" t="s">
        <v>220</v>
      </c>
      <c r="E231" s="6"/>
      <c r="F231" s="6"/>
      <c r="G231" s="6"/>
      <c r="H231" s="6"/>
      <c r="I231" s="124">
        <v>4</v>
      </c>
      <c r="AZ231" s="42">
        <f>IF(Тестирование!$M$5=1,VLOOKUP(MAX($B$8:$B231),'Часть 0'!$H$3:$I$24,2,0),"")</f>
        <v>4</v>
      </c>
      <c r="BA231" s="39">
        <f>VLOOKUP(MAX($B$8:$B231),'Часть 0'!$H$3:$J$24,3,0)</f>
        <v>4</v>
      </c>
    </row>
    <row r="232" spans="2:53" x14ac:dyDescent="0.2">
      <c r="G232" s="15"/>
      <c r="AZ232" s="42">
        <f>IF(Тестирование!$M$5=1,VLOOKUP(MAX($B$8:$B232),'Часть 0'!$H$3:$I$24,2,0),"")</f>
        <v>4</v>
      </c>
      <c r="BA232" s="39">
        <f>VLOOKUP(MAX($B$8:$B232),'Часть 0'!$H$3:$J$24,3,0)</f>
        <v>4</v>
      </c>
    </row>
    <row r="233" spans="2:53" x14ac:dyDescent="0.2">
      <c r="B233" s="6">
        <v>22</v>
      </c>
      <c r="C233" s="6" t="s">
        <v>90</v>
      </c>
      <c r="D233" s="6" t="s">
        <v>215</v>
      </c>
      <c r="AZ233" s="42">
        <f>IF(Тестирование!$M$5=1,VLOOKUP(MAX($B$8:$B233),'Часть 0'!$H$3:$I$24,2,0),"")</f>
        <v>4</v>
      </c>
      <c r="BA233" s="39">
        <f>VLOOKUP(MAX($B$8:$B233),'Часть 0'!$H$3:$J$24,3,0)</f>
        <v>4</v>
      </c>
    </row>
    <row r="234" spans="2:53" x14ac:dyDescent="0.2">
      <c r="D234" s="6" t="s">
        <v>216</v>
      </c>
      <c r="AZ234" s="42">
        <f>IF(Тестирование!$M$5=1,VLOOKUP(MAX($B$8:$B234),'Часть 0'!$H$3:$I$24,2,0),"")</f>
        <v>4</v>
      </c>
      <c r="BA234" s="39">
        <f>VLOOKUP(MAX($B$8:$B234),'Часть 0'!$H$3:$J$24,3,0)</f>
        <v>4</v>
      </c>
    </row>
    <row r="235" spans="2:53" x14ac:dyDescent="0.2">
      <c r="D235" s="6" t="s">
        <v>217</v>
      </c>
      <c r="AZ235" s="42">
        <f>IF(Тестирование!$M$5=1,VLOOKUP(MAX($B$8:$B235),'Часть 0'!$H$3:$I$24,2,0),"")</f>
        <v>4</v>
      </c>
      <c r="BA235" s="39">
        <f>VLOOKUP(MAX($B$8:$B235),'Часть 0'!$H$3:$J$24,3,0)</f>
        <v>4</v>
      </c>
    </row>
    <row r="236" spans="2:53" ht="5.0999999999999996" customHeight="1" x14ac:dyDescent="0.2">
      <c r="AZ236" s="42">
        <f>IF(Тестирование!$M$5=1,VLOOKUP(MAX($B$8:$B236),'Часть 0'!$H$3:$I$24,2,0),"")</f>
        <v>4</v>
      </c>
      <c r="BA236" s="39">
        <f>VLOOKUP(MAX($B$8:$B236),'Часть 0'!$H$3:$J$24,3,0)</f>
        <v>4</v>
      </c>
    </row>
    <row r="237" spans="2:53" x14ac:dyDescent="0.2">
      <c r="E237" s="11">
        <v>1</v>
      </c>
      <c r="F237" s="9" t="s">
        <v>156</v>
      </c>
      <c r="G237" s="34">
        <v>0.1</v>
      </c>
      <c r="AZ237" s="42">
        <f>IF(Тестирование!$M$5=1,VLOOKUP(MAX($B$8:$B237),'Часть 0'!$H$3:$I$24,2,0),"")</f>
        <v>4</v>
      </c>
      <c r="BA237" s="39">
        <f>VLOOKUP(MAX($B$8:$B237),'Часть 0'!$H$3:$J$24,3,0)</f>
        <v>4</v>
      </c>
    </row>
    <row r="238" spans="2:53" x14ac:dyDescent="0.2">
      <c r="E238" s="11">
        <v>2</v>
      </c>
      <c r="F238" s="9" t="s">
        <v>156</v>
      </c>
      <c r="G238" s="34">
        <v>0.25</v>
      </c>
      <c r="AZ238" s="42">
        <f>IF(Тестирование!$M$5=1,VLOOKUP(MAX($B$8:$B238),'Часть 0'!$H$3:$I$24,2,0),"")</f>
        <v>4</v>
      </c>
      <c r="BA238" s="39">
        <f>VLOOKUP(MAX($B$8:$B238),'Часть 0'!$H$3:$J$24,3,0)</f>
        <v>4</v>
      </c>
    </row>
    <row r="239" spans="2:53" x14ac:dyDescent="0.2">
      <c r="E239" s="11">
        <v>3</v>
      </c>
      <c r="F239" s="9" t="s">
        <v>156</v>
      </c>
      <c r="G239" s="33" t="s">
        <v>218</v>
      </c>
      <c r="AZ239" s="42">
        <f>IF(Тестирование!$M$5=1,VLOOKUP(MAX($B$8:$B239),'Часть 0'!$H$3:$I$24,2,0),"")</f>
        <v>4</v>
      </c>
      <c r="BA239" s="39">
        <f>VLOOKUP(MAX($B$8:$B239),'Часть 0'!$H$3:$J$24,3,0)</f>
        <v>4</v>
      </c>
    </row>
    <row r="240" spans="2:53" x14ac:dyDescent="0.2">
      <c r="E240" s="11">
        <v>4</v>
      </c>
      <c r="F240" s="9" t="s">
        <v>156</v>
      </c>
      <c r="G240" s="34">
        <v>0.5</v>
      </c>
      <c r="AZ240" s="42">
        <f>IF(Тестирование!$M$5=1,VLOOKUP(MAX($B$8:$B240),'Часть 0'!$H$3:$I$24,2,0),"")</f>
        <v>4</v>
      </c>
      <c r="BA240" s="39">
        <f>VLOOKUP(MAX($B$8:$B240),'Часть 0'!$H$3:$J$24,3,0)</f>
        <v>4</v>
      </c>
    </row>
    <row r="241" spans="3:53" x14ac:dyDescent="0.2">
      <c r="E241" s="11">
        <v>5</v>
      </c>
      <c r="F241" s="9" t="s">
        <v>156</v>
      </c>
      <c r="G241" s="33" t="s">
        <v>219</v>
      </c>
      <c r="AZ241" s="42">
        <f>IF(Тестирование!$M$5=1,VLOOKUP(MAX($B$8:$B241),'Часть 0'!$H$3:$I$24,2,0),"")</f>
        <v>4</v>
      </c>
      <c r="BA241" s="39">
        <f>VLOOKUP(MAX($B$8:$B241),'Часть 0'!$H$3:$J$24,3,0)</f>
        <v>4</v>
      </c>
    </row>
    <row r="242" spans="3:53" ht="5.0999999999999996" customHeight="1" thickBot="1" x14ac:dyDescent="0.25">
      <c r="AZ242" s="42">
        <f>IF(Тестирование!$M$5=1,VLOOKUP(MAX($B$8:$B242),'Часть 0'!$H$3:$I$24,2,0),"")</f>
        <v>4</v>
      </c>
      <c r="BA242" s="39">
        <f>VLOOKUP(MAX($B$8:$B242),'Часть 0'!$H$3:$J$24,3,0)</f>
        <v>4</v>
      </c>
    </row>
    <row r="243" spans="3:53" ht="12" thickBot="1" x14ac:dyDescent="0.25">
      <c r="C243" s="61">
        <v>22</v>
      </c>
      <c r="D243" s="6" t="s">
        <v>220</v>
      </c>
      <c r="E243" s="6"/>
      <c r="F243" s="6"/>
      <c r="G243" s="6"/>
      <c r="H243" s="6"/>
      <c r="I243" s="124">
        <v>4</v>
      </c>
      <c r="AZ243" s="42">
        <f>IF(Тестирование!$M$5=1,VLOOKUP(MAX($B$8:$B243),'Часть 0'!$H$3:$I$24,2,0),"")</f>
        <v>4</v>
      </c>
      <c r="BA243" s="39">
        <f>VLOOKUP(MAX($B$8:$B243),'Часть 0'!$H$3:$J$24,3,0)</f>
        <v>4</v>
      </c>
    </row>
    <row r="244" spans="3:53" x14ac:dyDescent="0.2">
      <c r="G244" s="15"/>
      <c r="AZ244" s="42">
        <f>IF(Тестирование!$M$5=1,VLOOKUP(MAX($B$8:$B244),'Часть 0'!$H$3:$I$24,2,0),"")</f>
        <v>4</v>
      </c>
      <c r="BA244" s="39">
        <f>VLOOKUP(MAX($B$8:$B244),'Часть 0'!$H$3:$J$24,3,0)</f>
        <v>4</v>
      </c>
    </row>
    <row r="245" spans="3:53" x14ac:dyDescent="0.2">
      <c r="AZ245" s="42">
        <f>IF(Тестирование!$M$5=1,VLOOKUP(MAX($B$8:$B245),'Часть 0'!$H$3:$I$24,2,0),"")</f>
        <v>4</v>
      </c>
      <c r="BA245" s="39">
        <f>VLOOKUP(MAX($B$8:$B245),'Часть 0'!$H$3:$J$24,3,0)</f>
        <v>4</v>
      </c>
    </row>
    <row r="246" spans="3:53" x14ac:dyDescent="0.2">
      <c r="AZ246" s="42">
        <f>IF(Тестирование!$M$5=1,VLOOKUP(MAX($B$8:$B246),'Часть 0'!$H$3:$I$24,2,0),"")</f>
        <v>4</v>
      </c>
      <c r="BA246" s="39">
        <f>VLOOKUP(MAX($B$8:$B246),'Часть 0'!$H$3:$J$24,3,0)</f>
        <v>4</v>
      </c>
    </row>
    <row r="247" spans="3:53" x14ac:dyDescent="0.2">
      <c r="AZ247" s="42">
        <f>IF(Тестирование!$M$5=1,VLOOKUP(MAX($B$8:$B247),'Часть 0'!$H$3:$I$24,2,0),"")</f>
        <v>4</v>
      </c>
      <c r="BA247" s="39">
        <f>VLOOKUP(MAX($B$8:$B247),'Часть 0'!$H$3:$J$24,3,0)</f>
        <v>4</v>
      </c>
    </row>
    <row r="248" spans="3:53" x14ac:dyDescent="0.2">
      <c r="AZ248" s="42">
        <f>IF(Тестирование!$M$5=1,VLOOKUP(MAX($B$8:$B248),'Часть 0'!$H$3:$I$24,2,0),"")</f>
        <v>4</v>
      </c>
      <c r="BA248" s="39">
        <f>VLOOKUP(MAX($B$8:$B248),'Часть 0'!$H$3:$J$24,3,0)</f>
        <v>4</v>
      </c>
    </row>
    <row r="249" spans="3:53" x14ac:dyDescent="0.2">
      <c r="AZ249" s="42">
        <f>IF(Тестирование!$M$5=1,VLOOKUP(MAX($B$8:$B249),'Часть 0'!$H$3:$I$24,2,0),"")</f>
        <v>4</v>
      </c>
      <c r="BA249" s="39">
        <f>VLOOKUP(MAX($B$8:$B249),'Часть 0'!$H$3:$J$24,3,0)</f>
        <v>4</v>
      </c>
    </row>
    <row r="250" spans="3:53" x14ac:dyDescent="0.2">
      <c r="AZ250" s="42">
        <f>IF(Тестирование!$M$5=1,VLOOKUP(MAX($B$8:$B250),'Часть 0'!$H$3:$I$24,2,0),"")</f>
        <v>4</v>
      </c>
      <c r="BA250" s="39">
        <f>VLOOKUP(MAX($B$8:$B250),'Часть 0'!$H$3:$J$24,3,0)</f>
        <v>4</v>
      </c>
    </row>
    <row r="251" spans="3:53" x14ac:dyDescent="0.2">
      <c r="AZ251" s="42">
        <f>IF(Тестирование!$M$5=1,VLOOKUP(MAX($B$8:$B251),'Часть 0'!$H$3:$I$24,2,0),"")</f>
        <v>4</v>
      </c>
      <c r="BA251" s="39">
        <f>VLOOKUP(MAX($B$8:$B251),'Часть 0'!$H$3:$J$24,3,0)</f>
        <v>4</v>
      </c>
    </row>
    <row r="252" spans="3:53" x14ac:dyDescent="0.2">
      <c r="AZ252" s="42">
        <f>IF(Тестирование!$M$5=1,VLOOKUP(MAX($B$8:$B252),'Часть 0'!$H$3:$I$24,2,0),"")</f>
        <v>4</v>
      </c>
      <c r="BA252" s="39">
        <f>VLOOKUP(MAX($B$8:$B252),'Часть 0'!$H$3:$J$24,3,0)</f>
        <v>4</v>
      </c>
    </row>
    <row r="253" spans="3:53" x14ac:dyDescent="0.2">
      <c r="AZ253" s="42">
        <f>IF(Тестирование!$M$5=1,VLOOKUP(MAX($B$8:$B253),'Часть 0'!$H$3:$I$24,2,0),"")</f>
        <v>4</v>
      </c>
      <c r="BA253" s="39">
        <f>VLOOKUP(MAX($B$8:$B253),'Часть 0'!$H$3:$J$24,3,0)</f>
        <v>4</v>
      </c>
    </row>
    <row r="254" spans="3:53" x14ac:dyDescent="0.2">
      <c r="AZ254" s="42">
        <f>IF(Тестирование!$M$5=1,VLOOKUP(MAX($B$8:$B254),'Часть 0'!$H$3:$I$24,2,0),"")</f>
        <v>4</v>
      </c>
      <c r="BA254" s="39">
        <f>VLOOKUP(MAX($B$8:$B254),'Часть 0'!$H$3:$J$24,3,0)</f>
        <v>4</v>
      </c>
    </row>
    <row r="255" spans="3:53" x14ac:dyDescent="0.2">
      <c r="AZ255" s="42">
        <f>IF(Тестирование!$M$5=1,VLOOKUP(MAX($B$8:$B255),'Часть 0'!$H$3:$I$24,2,0),"")</f>
        <v>4</v>
      </c>
      <c r="BA255" s="39">
        <f>VLOOKUP(MAX($B$8:$B255),'Часть 0'!$H$3:$J$24,3,0)</f>
        <v>4</v>
      </c>
    </row>
    <row r="256" spans="3:53" x14ac:dyDescent="0.2">
      <c r="AZ256" s="42">
        <f>IF(Тестирование!$M$5=1,VLOOKUP(MAX($B$8:$B256),'Часть 0'!$H$3:$I$24,2,0),"")</f>
        <v>4</v>
      </c>
      <c r="BA256" s="39">
        <f>VLOOKUP(MAX($B$8:$B256),'Часть 0'!$H$3:$J$24,3,0)</f>
        <v>4</v>
      </c>
    </row>
    <row r="257" spans="52:53" x14ac:dyDescent="0.2">
      <c r="AZ257" s="42">
        <f>IF(Тестирование!$M$5=1,VLOOKUP(MAX($B$8:$B257),'Часть 0'!$H$3:$I$24,2,0),"")</f>
        <v>4</v>
      </c>
      <c r="BA257" s="39">
        <f>VLOOKUP(MAX($B$8:$B257),'Часть 0'!$H$3:$J$24,3,0)</f>
        <v>4</v>
      </c>
    </row>
    <row r="258" spans="52:53" x14ac:dyDescent="0.2">
      <c r="AZ258" s="42">
        <f>IF(Тестирование!$M$5=1,VLOOKUP(MAX($B$8:$B258),'Часть 0'!$H$3:$I$24,2,0),"")</f>
        <v>4</v>
      </c>
      <c r="BA258" s="39">
        <f>VLOOKUP(MAX($B$8:$B258),'Часть 0'!$H$3:$J$24,3,0)</f>
        <v>4</v>
      </c>
    </row>
    <row r="259" spans="52:53" x14ac:dyDescent="0.2">
      <c r="AZ259" s="42">
        <f>IF(Тестирование!$M$5=1,VLOOKUP(MAX($B$8:$B259),'Часть 0'!$H$3:$I$24,2,0),"")</f>
        <v>4</v>
      </c>
      <c r="BA259" s="39">
        <f>VLOOKUP(MAX($B$8:$B259),'Часть 0'!$H$3:$J$24,3,0)</f>
        <v>4</v>
      </c>
    </row>
    <row r="260" spans="52:53" x14ac:dyDescent="0.2">
      <c r="AZ260" s="42">
        <f>IF(Тестирование!$M$5=1,VLOOKUP(MAX($B$8:$B260),'Часть 0'!$H$3:$I$24,2,0),"")</f>
        <v>4</v>
      </c>
      <c r="BA260" s="39">
        <f>VLOOKUP(MAX($B$8:$B260),'Часть 0'!$H$3:$J$24,3,0)</f>
        <v>4</v>
      </c>
    </row>
    <row r="261" spans="52:53" x14ac:dyDescent="0.2">
      <c r="AZ261" s="42">
        <f>IF(Тестирование!$M$5=1,VLOOKUP(MAX($B$8:$B261),'Часть 0'!$H$3:$I$24,2,0),"")</f>
        <v>4</v>
      </c>
      <c r="BA261" s="39">
        <f>VLOOKUP(MAX($B$8:$B261),'Часть 0'!$H$3:$J$24,3,0)</f>
        <v>4</v>
      </c>
    </row>
    <row r="262" spans="52:53" x14ac:dyDescent="0.2">
      <c r="AZ262" s="42">
        <f>IF(Тестирование!$M$5=1,VLOOKUP(MAX($B$8:$B262),'Часть 0'!$H$3:$I$24,2,0),"")</f>
        <v>4</v>
      </c>
      <c r="BA262" s="39">
        <f>VLOOKUP(MAX($B$8:$B262),'Часть 0'!$H$3:$J$24,3,0)</f>
        <v>4</v>
      </c>
    </row>
    <row r="263" spans="52:53" x14ac:dyDescent="0.2">
      <c r="AZ263" s="42">
        <f>IF(Тестирование!$M$5=1,VLOOKUP(MAX($B$8:$B263),'Часть 0'!$H$3:$I$24,2,0),"")</f>
        <v>4</v>
      </c>
      <c r="BA263" s="39">
        <f>VLOOKUP(MAX($B$8:$B263),'Часть 0'!$H$3:$J$24,3,0)</f>
        <v>4</v>
      </c>
    </row>
    <row r="264" spans="52:53" x14ac:dyDescent="0.2">
      <c r="AZ264" s="42">
        <f>IF(Тестирование!$M$5=1,VLOOKUP(MAX($B$8:$B264),'Часть 0'!$H$3:$I$24,2,0),"")</f>
        <v>4</v>
      </c>
      <c r="BA264" s="39">
        <f>VLOOKUP(MAX($B$8:$B264),'Часть 0'!$H$3:$J$24,3,0)</f>
        <v>4</v>
      </c>
    </row>
    <row r="265" spans="52:53" x14ac:dyDescent="0.2">
      <c r="AZ265" s="42">
        <f>IF(Тестирование!$M$5=1,VLOOKUP(MAX($B$8:$B265),'Часть 0'!$H$3:$I$24,2,0),"")</f>
        <v>4</v>
      </c>
      <c r="BA265" s="39">
        <f>VLOOKUP(MAX($B$8:$B265),'Часть 0'!$H$3:$J$24,3,0)</f>
        <v>4</v>
      </c>
    </row>
    <row r="266" spans="52:53" x14ac:dyDescent="0.2">
      <c r="AZ266" s="42">
        <f>IF(Тестирование!$M$5=1,VLOOKUP(MAX($B$8:$B266),'Часть 0'!$H$3:$I$24,2,0),"")</f>
        <v>4</v>
      </c>
      <c r="BA266" s="39">
        <f>VLOOKUP(MAX($B$8:$B266),'Часть 0'!$H$3:$J$24,3,0)</f>
        <v>4</v>
      </c>
    </row>
    <row r="267" spans="52:53" x14ac:dyDescent="0.2">
      <c r="AZ267" s="42">
        <f>IF(Тестирование!$M$5=1,VLOOKUP(MAX($B$8:$B267),'Часть 0'!$H$3:$I$24,2,0),"")</f>
        <v>4</v>
      </c>
      <c r="BA267" s="39">
        <f>VLOOKUP(MAX($B$8:$B267),'Часть 0'!$H$3:$J$24,3,0)</f>
        <v>4</v>
      </c>
    </row>
    <row r="268" spans="52:53" x14ac:dyDescent="0.2">
      <c r="AZ268" s="42">
        <f>IF(Тестирование!$M$5=1,VLOOKUP(MAX($B$8:$B268),'Часть 0'!$H$3:$I$24,2,0),"")</f>
        <v>4</v>
      </c>
      <c r="BA268" s="39">
        <f>VLOOKUP(MAX($B$8:$B268),'Часть 0'!$H$3:$J$24,3,0)</f>
        <v>4</v>
      </c>
    </row>
    <row r="269" spans="52:53" x14ac:dyDescent="0.2">
      <c r="AZ269" s="42">
        <f>IF(Тестирование!$M$5=1,VLOOKUP(MAX($B$8:$B269),'Часть 0'!$H$3:$I$24,2,0),"")</f>
        <v>4</v>
      </c>
      <c r="BA269" s="39">
        <f>VLOOKUP(MAX($B$8:$B269),'Часть 0'!$H$3:$J$24,3,0)</f>
        <v>4</v>
      </c>
    </row>
    <row r="270" spans="52:53" x14ac:dyDescent="0.2">
      <c r="AZ270" s="42">
        <f>IF(Тестирование!$M$5=1,VLOOKUP(MAX($B$8:$B270),'Часть 0'!$H$3:$I$24,2,0),"")</f>
        <v>4</v>
      </c>
      <c r="BA270" s="39">
        <f>VLOOKUP(MAX($B$8:$B270),'Часть 0'!$H$3:$J$24,3,0)</f>
        <v>4</v>
      </c>
    </row>
    <row r="271" spans="52:53" x14ac:dyDescent="0.2">
      <c r="AZ271" s="42">
        <f>IF(Тестирование!$M$5=1,VLOOKUP(MAX($B$8:$B271),'Часть 0'!$H$3:$I$24,2,0),"")</f>
        <v>4</v>
      </c>
      <c r="BA271" s="39">
        <f>VLOOKUP(MAX($B$8:$B271),'Часть 0'!$H$3:$J$24,3,0)</f>
        <v>4</v>
      </c>
    </row>
    <row r="272" spans="52:53" x14ac:dyDescent="0.2">
      <c r="AZ272" s="42">
        <f>IF(Тестирование!$M$5=1,VLOOKUP(MAX($B$8:$B272),'Часть 0'!$H$3:$I$24,2,0),"")</f>
        <v>4</v>
      </c>
      <c r="BA272" s="39">
        <f>VLOOKUP(MAX($B$8:$B272),'Часть 0'!$H$3:$J$24,3,0)</f>
        <v>4</v>
      </c>
    </row>
    <row r="273" spans="52:53" x14ac:dyDescent="0.2">
      <c r="AZ273" s="42">
        <f>IF(Тестирование!$M$5=1,VLOOKUP(MAX($B$8:$B273),'Часть 0'!$H$3:$I$24,2,0),"")</f>
        <v>4</v>
      </c>
      <c r="BA273" s="39">
        <f>VLOOKUP(MAX($B$8:$B273),'Часть 0'!$H$3:$J$24,3,0)</f>
        <v>4</v>
      </c>
    </row>
    <row r="274" spans="52:53" x14ac:dyDescent="0.2">
      <c r="AZ274" s="42">
        <f>IF(Тестирование!$M$5=1,VLOOKUP(MAX($B$8:$B274),'Часть 0'!$H$3:$I$24,2,0),"")</f>
        <v>4</v>
      </c>
      <c r="BA274" s="39">
        <f>VLOOKUP(MAX($B$8:$B274),'Часть 0'!$H$3:$J$24,3,0)</f>
        <v>4</v>
      </c>
    </row>
    <row r="275" spans="52:53" x14ac:dyDescent="0.2">
      <c r="AZ275" s="42">
        <f>IF(Тестирование!$M$5=1,VLOOKUP(MAX($B$8:$B275),'Часть 0'!$H$3:$I$24,2,0),"")</f>
        <v>4</v>
      </c>
      <c r="BA275" s="39">
        <f>VLOOKUP(MAX($B$8:$B275),'Часть 0'!$H$3:$J$24,3,0)</f>
        <v>4</v>
      </c>
    </row>
    <row r="276" spans="52:53" x14ac:dyDescent="0.2">
      <c r="AZ276" s="42">
        <f>IF(Тестирование!$M$5=1,VLOOKUP(MAX($B$8:$B276),'Часть 0'!$H$3:$I$24,2,0),"")</f>
        <v>4</v>
      </c>
      <c r="BA276" s="39">
        <f>VLOOKUP(MAX($B$8:$B276),'Часть 0'!$H$3:$J$24,3,0)</f>
        <v>4</v>
      </c>
    </row>
    <row r="277" spans="52:53" x14ac:dyDescent="0.2">
      <c r="AZ277" s="42">
        <f>IF(Тестирование!$M$5=1,VLOOKUP(MAX($B$8:$B277),'Часть 0'!$H$3:$I$24,2,0),"")</f>
        <v>4</v>
      </c>
      <c r="BA277" s="39">
        <f>VLOOKUP(MAX($B$8:$B277),'Часть 0'!$H$3:$J$24,3,0)</f>
        <v>4</v>
      </c>
    </row>
    <row r="278" spans="52:53" x14ac:dyDescent="0.2">
      <c r="AZ278" s="42">
        <f>IF(Тестирование!$M$5=1,VLOOKUP(MAX($B$8:$B278),'Часть 0'!$H$3:$I$24,2,0),"")</f>
        <v>4</v>
      </c>
      <c r="BA278" s="39">
        <f>VLOOKUP(MAX($B$8:$B278),'Часть 0'!$H$3:$J$24,3,0)</f>
        <v>4</v>
      </c>
    </row>
    <row r="279" spans="52:53" x14ac:dyDescent="0.2">
      <c r="AZ279" s="42">
        <f>IF(Тестирование!$M$5=1,VLOOKUP(MAX($B$8:$B279),'Часть 0'!$H$3:$I$24,2,0),"")</f>
        <v>4</v>
      </c>
      <c r="BA279" s="39">
        <f>VLOOKUP(MAX($B$8:$B279),'Часть 0'!$H$3:$J$24,3,0)</f>
        <v>4</v>
      </c>
    </row>
    <row r="280" spans="52:53" x14ac:dyDescent="0.2">
      <c r="AZ280" s="42">
        <f>IF(Тестирование!$M$5=1,VLOOKUP(MAX($B$8:$B280),'Часть 0'!$H$3:$I$24,2,0),"")</f>
        <v>4</v>
      </c>
      <c r="BA280" s="39">
        <f>VLOOKUP(MAX($B$8:$B280),'Часть 0'!$H$3:$J$24,3,0)</f>
        <v>4</v>
      </c>
    </row>
    <row r="281" spans="52:53" x14ac:dyDescent="0.2">
      <c r="AZ281" s="42">
        <f>IF(Тестирование!$M$5=1,VLOOKUP(MAX($B$8:$B281),'Часть 0'!$H$3:$I$24,2,0),"")</f>
        <v>4</v>
      </c>
      <c r="BA281" s="39">
        <f>VLOOKUP(MAX($B$8:$B281),'Часть 0'!$H$3:$J$24,3,0)</f>
        <v>4</v>
      </c>
    </row>
    <row r="282" spans="52:53" x14ac:dyDescent="0.2">
      <c r="AZ282" s="42">
        <f>IF(Тестирование!$M$5=1,VLOOKUP(MAX($B$8:$B282),'Часть 0'!$H$3:$I$24,2,0),"")</f>
        <v>4</v>
      </c>
      <c r="BA282" s="39">
        <f>VLOOKUP(MAX($B$8:$B282),'Часть 0'!$H$3:$J$24,3,0)</f>
        <v>4</v>
      </c>
    </row>
    <row r="283" spans="52:53" x14ac:dyDescent="0.2">
      <c r="AZ283" s="42">
        <f>IF(Тестирование!$M$5=1,VLOOKUP(MAX($B$8:$B283),'Часть 0'!$H$3:$I$24,2,0),"")</f>
        <v>4</v>
      </c>
      <c r="BA283" s="39">
        <f>VLOOKUP(MAX($B$8:$B283),'Часть 0'!$H$3:$J$24,3,0)</f>
        <v>4</v>
      </c>
    </row>
    <row r="284" spans="52:53" x14ac:dyDescent="0.2">
      <c r="AZ284" s="42">
        <f>IF(Тестирование!$M$5=1,VLOOKUP(MAX($B$8:$B284),'Часть 0'!$H$3:$I$24,2,0),"")</f>
        <v>4</v>
      </c>
      <c r="BA284" s="39">
        <f>VLOOKUP(MAX($B$8:$B284),'Часть 0'!$H$3:$J$24,3,0)</f>
        <v>4</v>
      </c>
    </row>
    <row r="285" spans="52:53" x14ac:dyDescent="0.2">
      <c r="AZ285" s="42">
        <f>IF(Тестирование!$M$5=1,VLOOKUP(MAX($B$8:$B285),'Часть 0'!$H$3:$I$24,2,0),"")</f>
        <v>4</v>
      </c>
      <c r="BA285" s="39">
        <f>VLOOKUP(MAX($B$8:$B285),'Часть 0'!$H$3:$J$24,3,0)</f>
        <v>4</v>
      </c>
    </row>
    <row r="286" spans="52:53" x14ac:dyDescent="0.2">
      <c r="AZ286" s="42">
        <f>IF(Тестирование!$M$5=1,VLOOKUP(MAX($B$8:$B286),'Часть 0'!$H$3:$I$24,2,0),"")</f>
        <v>4</v>
      </c>
      <c r="BA286" s="39">
        <f>VLOOKUP(MAX($B$8:$B286),'Часть 0'!$H$3:$J$24,3,0)</f>
        <v>4</v>
      </c>
    </row>
    <row r="287" spans="52:53" x14ac:dyDescent="0.2">
      <c r="AZ287" s="42">
        <f>IF(Тестирование!$M$5=1,VLOOKUP(MAX($B$8:$B287),'Часть 0'!$H$3:$I$24,2,0),"")</f>
        <v>4</v>
      </c>
      <c r="BA287" s="39">
        <f>VLOOKUP(MAX($B$8:$B287),'Часть 0'!$H$3:$J$24,3,0)</f>
        <v>4</v>
      </c>
    </row>
    <row r="288" spans="52:53" x14ac:dyDescent="0.2">
      <c r="AZ288" s="42">
        <f>IF(Тестирование!$M$5=1,VLOOKUP(MAX($B$8:$B288),'Часть 0'!$H$3:$I$24,2,0),"")</f>
        <v>4</v>
      </c>
      <c r="BA288" s="39">
        <f>VLOOKUP(MAX($B$8:$B288),'Часть 0'!$H$3:$J$24,3,0)</f>
        <v>4</v>
      </c>
    </row>
    <row r="289" spans="52:53" x14ac:dyDescent="0.2">
      <c r="AZ289" s="42">
        <f>IF(Тестирование!$M$5=1,VLOOKUP(MAX($B$8:$B289),'Часть 0'!$H$3:$I$24,2,0),"")</f>
        <v>4</v>
      </c>
      <c r="BA289" s="39">
        <f>VLOOKUP(MAX($B$8:$B289),'Часть 0'!$H$3:$J$24,3,0)</f>
        <v>4</v>
      </c>
    </row>
    <row r="290" spans="52:53" x14ac:dyDescent="0.2">
      <c r="AZ290" s="42">
        <f>IF(Тестирование!$M$5=1,VLOOKUP(MAX($B$8:$B290),'Часть 0'!$H$3:$I$24,2,0),"")</f>
        <v>4</v>
      </c>
      <c r="BA290" s="39">
        <f>VLOOKUP(MAX($B$8:$B290),'Часть 0'!$H$3:$J$24,3,0)</f>
        <v>4</v>
      </c>
    </row>
    <row r="291" spans="52:53" x14ac:dyDescent="0.2">
      <c r="AZ291" s="42">
        <f>IF(Тестирование!$M$5=1,VLOOKUP(MAX($B$8:$B291),'Часть 0'!$H$3:$I$24,2,0),"")</f>
        <v>4</v>
      </c>
      <c r="BA291" s="39">
        <f>VLOOKUP(MAX($B$8:$B291),'Часть 0'!$H$3:$J$24,3,0)</f>
        <v>4</v>
      </c>
    </row>
    <row r="292" spans="52:53" x14ac:dyDescent="0.2">
      <c r="AZ292" s="42">
        <f>IF(Тестирование!$M$5=1,VLOOKUP(MAX($B$8:$B292),'Часть 0'!$H$3:$I$24,2,0),"")</f>
        <v>4</v>
      </c>
      <c r="BA292" s="39">
        <f>VLOOKUP(MAX($B$8:$B292),'Часть 0'!$H$3:$J$24,3,0)</f>
        <v>4</v>
      </c>
    </row>
    <row r="293" spans="52:53" x14ac:dyDescent="0.2">
      <c r="AZ293" s="42">
        <f>IF(Тестирование!$M$5=1,VLOOKUP(MAX($B$8:$B293),'Часть 0'!$H$3:$I$24,2,0),"")</f>
        <v>4</v>
      </c>
      <c r="BA293" s="39">
        <f>VLOOKUP(MAX($B$8:$B293),'Часть 0'!$H$3:$J$24,3,0)</f>
        <v>4</v>
      </c>
    </row>
    <row r="294" spans="52:53" x14ac:dyDescent="0.2">
      <c r="AZ294" s="42">
        <f>IF(Тестирование!$M$5=1,VLOOKUP(MAX($B$8:$B294),'Часть 0'!$H$3:$I$24,2,0),"")</f>
        <v>4</v>
      </c>
      <c r="BA294" s="39">
        <f>VLOOKUP(MAX($B$8:$B294),'Часть 0'!$H$3:$J$24,3,0)</f>
        <v>4</v>
      </c>
    </row>
    <row r="295" spans="52:53" x14ac:dyDescent="0.2">
      <c r="AZ295" s="42">
        <f>IF(Тестирование!$M$5=1,VLOOKUP(MAX($B$8:$B295),'Часть 0'!$H$3:$I$24,2,0),"")</f>
        <v>4</v>
      </c>
      <c r="BA295" s="39">
        <f>VLOOKUP(MAX($B$8:$B295),'Часть 0'!$H$3:$J$24,3,0)</f>
        <v>4</v>
      </c>
    </row>
    <row r="296" spans="52:53" x14ac:dyDescent="0.2">
      <c r="AZ296" s="42">
        <f>IF(Тестирование!$M$5=1,VLOOKUP(MAX($B$8:$B296),'Часть 0'!$H$3:$I$24,2,0),"")</f>
        <v>4</v>
      </c>
      <c r="BA296" s="39">
        <f>VLOOKUP(MAX($B$8:$B296),'Часть 0'!$H$3:$J$24,3,0)</f>
        <v>4</v>
      </c>
    </row>
    <row r="297" spans="52:53" x14ac:dyDescent="0.2">
      <c r="AZ297" s="42">
        <f>IF(Тестирование!$M$5=1,VLOOKUP(MAX($B$8:$B297),'Часть 0'!$H$3:$I$24,2,0),"")</f>
        <v>4</v>
      </c>
      <c r="BA297" s="39">
        <f>VLOOKUP(MAX($B$8:$B297),'Часть 0'!$H$3:$J$24,3,0)</f>
        <v>4</v>
      </c>
    </row>
    <row r="298" spans="52:53" x14ac:dyDescent="0.2">
      <c r="AZ298" s="42">
        <f>IF(Тестирование!$M$5=1,VLOOKUP(MAX($B$8:$B298),'Часть 0'!$H$3:$I$24,2,0),"")</f>
        <v>4</v>
      </c>
      <c r="BA298" s="39">
        <f>VLOOKUP(MAX($B$8:$B298),'Часть 0'!$H$3:$J$24,3,0)</f>
        <v>4</v>
      </c>
    </row>
    <row r="299" spans="52:53" x14ac:dyDescent="0.2">
      <c r="AZ299" s="42">
        <f>IF(Тестирование!$M$5=1,VLOOKUP(MAX($B$8:$B299),'Часть 0'!$H$3:$I$24,2,0),"")</f>
        <v>4</v>
      </c>
      <c r="BA299" s="39">
        <f>VLOOKUP(MAX($B$8:$B299),'Часть 0'!$H$3:$J$24,3,0)</f>
        <v>4</v>
      </c>
    </row>
    <row r="300" spans="52:53" x14ac:dyDescent="0.2">
      <c r="AZ300" s="42">
        <f>IF(Тестирование!$M$5=1,VLOOKUP(MAX($B$8:$B300),'Часть 0'!$H$3:$I$24,2,0),"")</f>
        <v>4</v>
      </c>
      <c r="BA300" s="39">
        <f>VLOOKUP(MAX($B$8:$B300),'Часть 0'!$H$3:$J$24,3,0)</f>
        <v>4</v>
      </c>
    </row>
    <row r="301" spans="52:53" x14ac:dyDescent="0.2">
      <c r="AZ301" s="42">
        <f>IF(Тестирование!$M$5=1,VLOOKUP(MAX($B$8:$B301),'Часть 0'!$H$3:$I$24,2,0),"")</f>
        <v>4</v>
      </c>
      <c r="BA301" s="39">
        <f>VLOOKUP(MAX($B$8:$B301),'Часть 0'!$H$3:$J$24,3,0)</f>
        <v>4</v>
      </c>
    </row>
    <row r="302" spans="52:53" x14ac:dyDescent="0.2">
      <c r="AZ302" s="42">
        <f>IF(Тестирование!$M$5=1,VLOOKUP(MAX($B$8:$B302),'Часть 0'!$H$3:$I$24,2,0),"")</f>
        <v>4</v>
      </c>
      <c r="BA302" s="39">
        <f>VLOOKUP(MAX($B$8:$B302),'Часть 0'!$H$3:$J$24,3,0)</f>
        <v>4</v>
      </c>
    </row>
    <row r="303" spans="52:53" x14ac:dyDescent="0.2">
      <c r="AZ303" s="42">
        <f>IF(Тестирование!$M$5=1,VLOOKUP(MAX($B$8:$B303),'Часть 0'!$H$3:$I$24,2,0),"")</f>
        <v>4</v>
      </c>
      <c r="BA303" s="39">
        <f>VLOOKUP(MAX($B$8:$B303),'Часть 0'!$H$3:$J$24,3,0)</f>
        <v>4</v>
      </c>
    </row>
    <row r="304" spans="52:53" x14ac:dyDescent="0.2">
      <c r="AZ304" s="42">
        <f>IF(Тестирование!$M$5=1,VLOOKUP(MAX($B$8:$B304),'Часть 0'!$H$3:$I$24,2,0),"")</f>
        <v>4</v>
      </c>
      <c r="BA304" s="39">
        <f>VLOOKUP(MAX($B$8:$B304),'Часть 0'!$H$3:$J$24,3,0)</f>
        <v>4</v>
      </c>
    </row>
    <row r="305" spans="52:53" x14ac:dyDescent="0.2">
      <c r="AZ305" s="42">
        <f>IF(Тестирование!$M$5=1,VLOOKUP(MAX($B$8:$B305),'Часть 0'!$H$3:$I$24,2,0),"")</f>
        <v>4</v>
      </c>
      <c r="BA305" s="39">
        <f>VLOOKUP(MAX($B$8:$B305),'Часть 0'!$H$3:$J$24,3,0)</f>
        <v>4</v>
      </c>
    </row>
    <row r="306" spans="52:53" x14ac:dyDescent="0.2">
      <c r="AZ306" s="42">
        <f>IF(Тестирование!$M$5=1,VLOOKUP(MAX($B$8:$B306),'Часть 0'!$H$3:$I$24,2,0),"")</f>
        <v>4</v>
      </c>
      <c r="BA306" s="39">
        <f>VLOOKUP(MAX($B$8:$B306),'Часть 0'!$H$3:$J$24,3,0)</f>
        <v>4</v>
      </c>
    </row>
    <row r="307" spans="52:53" x14ac:dyDescent="0.2">
      <c r="AZ307" s="42">
        <f>IF(Тестирование!$M$5=1,VLOOKUP(MAX($B$8:$B307),'Часть 0'!$H$3:$I$24,2,0),"")</f>
        <v>4</v>
      </c>
      <c r="BA307" s="39">
        <f>VLOOKUP(MAX($B$8:$B307),'Часть 0'!$H$3:$J$24,3,0)</f>
        <v>4</v>
      </c>
    </row>
    <row r="308" spans="52:53" x14ac:dyDescent="0.2">
      <c r="AZ308" s="42">
        <f>IF(Тестирование!$M$5=1,VLOOKUP(MAX($B$8:$B308),'Часть 0'!$H$3:$I$24,2,0),"")</f>
        <v>4</v>
      </c>
      <c r="BA308" s="39">
        <f>VLOOKUP(MAX($B$8:$B308),'Часть 0'!$H$3:$J$24,3,0)</f>
        <v>4</v>
      </c>
    </row>
    <row r="309" spans="52:53" x14ac:dyDescent="0.2">
      <c r="AZ309" s="42">
        <f>IF(Тестирование!$M$5=1,VLOOKUP(MAX($B$8:$B309),'Часть 0'!$H$3:$I$24,2,0),"")</f>
        <v>4</v>
      </c>
      <c r="BA309" s="39">
        <f>VLOOKUP(MAX($B$8:$B309),'Часть 0'!$H$3:$J$24,3,0)</f>
        <v>4</v>
      </c>
    </row>
    <row r="310" spans="52:53" x14ac:dyDescent="0.2">
      <c r="AZ310" s="42">
        <f>IF(Тестирование!$M$5=1,VLOOKUP(MAX($B$8:$B310),'Часть 0'!$H$3:$I$24,2,0),"")</f>
        <v>4</v>
      </c>
      <c r="BA310" s="39">
        <f>VLOOKUP(MAX($B$8:$B310),'Часть 0'!$H$3:$J$24,3,0)</f>
        <v>4</v>
      </c>
    </row>
    <row r="311" spans="52:53" x14ac:dyDescent="0.2">
      <c r="AZ311" s="42">
        <f>IF(Тестирование!$M$5=1,VLOOKUP(MAX($B$8:$B311),'Часть 0'!$H$3:$I$24,2,0),"")</f>
        <v>4</v>
      </c>
      <c r="BA311" s="39">
        <f>VLOOKUP(MAX($B$8:$B311),'Часть 0'!$H$3:$J$24,3,0)</f>
        <v>4</v>
      </c>
    </row>
    <row r="312" spans="52:53" x14ac:dyDescent="0.2">
      <c r="AZ312" s="42">
        <f>IF(Тестирование!$M$5=1,VLOOKUP(MAX($B$8:$B312),'Часть 0'!$H$3:$I$24,2,0),"")</f>
        <v>4</v>
      </c>
      <c r="BA312" s="39">
        <f>VLOOKUP(MAX($B$8:$B312),'Часть 0'!$H$3:$J$24,3,0)</f>
        <v>4</v>
      </c>
    </row>
    <row r="313" spans="52:53" x14ac:dyDescent="0.2">
      <c r="AZ313" s="42">
        <f>IF(Тестирование!$M$5=1,VLOOKUP(MAX($B$8:$B313),'Часть 0'!$H$3:$I$24,2,0),"")</f>
        <v>4</v>
      </c>
      <c r="BA313" s="39">
        <f>VLOOKUP(MAX($B$8:$B313),'Часть 0'!$H$3:$J$24,3,0)</f>
        <v>4</v>
      </c>
    </row>
    <row r="314" spans="52:53" x14ac:dyDescent="0.2">
      <c r="AZ314" s="42">
        <f>IF(Тестирование!$M$5=1,VLOOKUP(MAX($B$8:$B314),'Часть 0'!$H$3:$I$24,2,0),"")</f>
        <v>4</v>
      </c>
      <c r="BA314" s="39">
        <f>VLOOKUP(MAX($B$8:$B314),'Часть 0'!$H$3:$J$24,3,0)</f>
        <v>4</v>
      </c>
    </row>
    <row r="315" spans="52:53" x14ac:dyDescent="0.2">
      <c r="AZ315" s="42">
        <f>IF(Тестирование!$M$5=1,VLOOKUP(MAX($B$8:$B315),'Часть 0'!$H$3:$I$24,2,0),"")</f>
        <v>4</v>
      </c>
      <c r="BA315" s="39">
        <f>VLOOKUP(MAX($B$8:$B315),'Часть 0'!$H$3:$J$24,3,0)</f>
        <v>4</v>
      </c>
    </row>
    <row r="316" spans="52:53" x14ac:dyDescent="0.2">
      <c r="AZ316" s="42">
        <f>IF(Тестирование!$M$5=1,VLOOKUP(MAX($B$8:$B316),'Часть 0'!$H$3:$I$24,2,0),"")</f>
        <v>4</v>
      </c>
      <c r="BA316" s="39">
        <f>VLOOKUP(MAX($B$8:$B316),'Часть 0'!$H$3:$J$24,3,0)</f>
        <v>4</v>
      </c>
    </row>
    <row r="317" spans="52:53" x14ac:dyDescent="0.2">
      <c r="AZ317" s="42">
        <f>IF(Тестирование!$M$5=1,VLOOKUP(MAX($B$8:$B317),'Часть 0'!$H$3:$I$24,2,0),"")</f>
        <v>4</v>
      </c>
      <c r="BA317" s="39">
        <f>VLOOKUP(MAX($B$8:$B317),'Часть 0'!$H$3:$J$24,3,0)</f>
        <v>4</v>
      </c>
    </row>
    <row r="318" spans="52:53" x14ac:dyDescent="0.2">
      <c r="AZ318" s="42">
        <f>IF(Тестирование!$M$5=1,VLOOKUP(MAX($B$8:$B318),'Часть 0'!$H$3:$I$24,2,0),"")</f>
        <v>4</v>
      </c>
      <c r="BA318" s="39">
        <f>VLOOKUP(MAX($B$8:$B318),'Часть 0'!$H$3:$J$24,3,0)</f>
        <v>4</v>
      </c>
    </row>
    <row r="319" spans="52:53" x14ac:dyDescent="0.2">
      <c r="AZ319" s="42">
        <f>IF(Тестирование!$M$5=1,VLOOKUP(MAX($B$8:$B319),'Часть 0'!$H$3:$I$24,2,0),"")</f>
        <v>4</v>
      </c>
      <c r="BA319" s="39">
        <f>VLOOKUP(MAX($B$8:$B319),'Часть 0'!$H$3:$J$24,3,0)</f>
        <v>4</v>
      </c>
    </row>
    <row r="320" spans="52:53" x14ac:dyDescent="0.2">
      <c r="AZ320" s="42">
        <f>IF(Тестирование!$M$5=1,VLOOKUP(MAX($B$8:$B320),'Часть 0'!$H$3:$I$24,2,0),"")</f>
        <v>4</v>
      </c>
      <c r="BA320" s="39">
        <f>VLOOKUP(MAX($B$8:$B320),'Часть 0'!$H$3:$J$24,3,0)</f>
        <v>4</v>
      </c>
    </row>
    <row r="321" spans="52:53" x14ac:dyDescent="0.2">
      <c r="AZ321" s="42">
        <f>IF(Тестирование!$M$5=1,VLOOKUP(MAX($B$8:$B321),'Часть 0'!$H$3:$I$24,2,0),"")</f>
        <v>4</v>
      </c>
      <c r="BA321" s="39">
        <f>VLOOKUP(MAX($B$8:$B321),'Часть 0'!$H$3:$J$24,3,0)</f>
        <v>4</v>
      </c>
    </row>
    <row r="322" spans="52:53" x14ac:dyDescent="0.2">
      <c r="AZ322" s="42">
        <f>IF(Тестирование!$M$5=1,VLOOKUP(MAX($B$8:$B322),'Часть 0'!$H$3:$I$24,2,0),"")</f>
        <v>4</v>
      </c>
      <c r="BA322" s="39">
        <f>VLOOKUP(MAX($B$8:$B322),'Часть 0'!$H$3:$J$24,3,0)</f>
        <v>4</v>
      </c>
    </row>
    <row r="323" spans="52:53" x14ac:dyDescent="0.2">
      <c r="AZ323" s="42">
        <f>IF(Тестирование!$M$5=1,VLOOKUP(MAX($B$8:$B323),'Часть 0'!$H$3:$I$24,2,0),"")</f>
        <v>4</v>
      </c>
      <c r="BA323" s="39">
        <f>VLOOKUP(MAX($B$8:$B323),'Часть 0'!$H$3:$J$24,3,0)</f>
        <v>4</v>
      </c>
    </row>
    <row r="324" spans="52:53" x14ac:dyDescent="0.2">
      <c r="AZ324" s="42">
        <f>IF(Тестирование!$M$5=1,VLOOKUP(MAX($B$8:$B324),'Часть 0'!$H$3:$I$24,2,0),"")</f>
        <v>4</v>
      </c>
      <c r="BA324" s="39">
        <f>VLOOKUP(MAX($B$8:$B324),'Часть 0'!$H$3:$J$24,3,0)</f>
        <v>4</v>
      </c>
    </row>
    <row r="1048576" spans="1:53" customFormat="1" ht="15" x14ac:dyDescent="0.25">
      <c r="A1048576" s="2"/>
      <c r="AZ1048576" s="47"/>
      <c r="BA1048576" s="47"/>
    </row>
  </sheetData>
  <sheetProtection algorithmName="SHA-512" hashValue="UedwYdoo1NA6GGG1eSQihoY5yN5X+SL6+FQ671um/JAnqBDLSRWDNHUjQlZv8PKjB+sFg5bvUZWvbNHqB83wQQ==" saltValue="wz6DZwgqz88FTPVHztThEA==" spinCount="100000" sheet="1" objects="1" scenarios="1" selectLockedCells="1"/>
  <conditionalFormatting sqref="E10">
    <cfRule type="cellIs" dxfId="348" priority="342" operator="equal">
      <formula>$BA8</formula>
    </cfRule>
  </conditionalFormatting>
  <conditionalFormatting sqref="E11:E16">
    <cfRule type="cellIs" dxfId="347" priority="341" operator="equal">
      <formula>$BA9</formula>
    </cfRule>
  </conditionalFormatting>
  <conditionalFormatting sqref="E23:E27">
    <cfRule type="cellIs" dxfId="346" priority="340" operator="equal">
      <formula>$BA21</formula>
    </cfRule>
  </conditionalFormatting>
  <conditionalFormatting sqref="E34:E38">
    <cfRule type="cellIs" dxfId="345" priority="339" operator="equal">
      <formula>$BA32</formula>
    </cfRule>
  </conditionalFormatting>
  <conditionalFormatting sqref="E45:E49">
    <cfRule type="cellIs" dxfId="344" priority="338" operator="equal">
      <formula>$BA43</formula>
    </cfRule>
  </conditionalFormatting>
  <conditionalFormatting sqref="E56:E60">
    <cfRule type="cellIs" dxfId="343" priority="337" operator="equal">
      <formula>$BA54</formula>
    </cfRule>
  </conditionalFormatting>
  <conditionalFormatting sqref="E66:E72">
    <cfRule type="cellIs" dxfId="342" priority="336" operator="equal">
      <formula>$BA64</formula>
    </cfRule>
  </conditionalFormatting>
  <conditionalFormatting sqref="E78:E81">
    <cfRule type="cellIs" dxfId="341" priority="335" operator="equal">
      <formula>$BA76</formula>
    </cfRule>
  </conditionalFormatting>
  <conditionalFormatting sqref="E87:E94">
    <cfRule type="cellIs" dxfId="340" priority="334" operator="equal">
      <formula>$BA85</formula>
    </cfRule>
  </conditionalFormatting>
  <conditionalFormatting sqref="E100:E104">
    <cfRule type="cellIs" dxfId="339" priority="333" operator="equal">
      <formula>$BA98</formula>
    </cfRule>
  </conditionalFormatting>
  <conditionalFormatting sqref="E110:E118">
    <cfRule type="cellIs" dxfId="338" priority="332" operator="equal">
      <formula>$BA108</formula>
    </cfRule>
  </conditionalFormatting>
  <conditionalFormatting sqref="E124:E131">
    <cfRule type="cellIs" dxfId="337" priority="331" operator="equal">
      <formula>$BA122</formula>
    </cfRule>
  </conditionalFormatting>
  <conditionalFormatting sqref="E137:E143">
    <cfRule type="cellIs" dxfId="336" priority="330" operator="equal">
      <formula>$BA135</formula>
    </cfRule>
  </conditionalFormatting>
  <conditionalFormatting sqref="E149:E151">
    <cfRule type="cellIs" dxfId="335" priority="329" operator="equal">
      <formula>$BA147</formula>
    </cfRule>
  </conditionalFormatting>
  <conditionalFormatting sqref="E157:E161">
    <cfRule type="cellIs" dxfId="334" priority="328" operator="equal">
      <formula>$BA155</formula>
    </cfRule>
  </conditionalFormatting>
  <conditionalFormatting sqref="E167:E171">
    <cfRule type="cellIs" dxfId="333" priority="327" operator="equal">
      <formula>$BA165</formula>
    </cfRule>
  </conditionalFormatting>
  <conditionalFormatting sqref="E177:E181">
    <cfRule type="cellIs" dxfId="332" priority="326" operator="equal">
      <formula>$BA175</formula>
    </cfRule>
  </conditionalFormatting>
  <conditionalFormatting sqref="E187:E190">
    <cfRule type="cellIs" dxfId="331" priority="325" operator="equal">
      <formula>$BA185</formula>
    </cfRule>
  </conditionalFormatting>
  <conditionalFormatting sqref="E196:E199">
    <cfRule type="cellIs" dxfId="330" priority="324" operator="equal">
      <formula>$BA194</formula>
    </cfRule>
  </conditionalFormatting>
  <conditionalFormatting sqref="E205:E209">
    <cfRule type="cellIs" dxfId="329" priority="323" operator="equal">
      <formula>$BA203</formula>
    </cfRule>
  </conditionalFormatting>
  <conditionalFormatting sqref="E215:E219">
    <cfRule type="cellIs" dxfId="328" priority="322" operator="equal">
      <formula>$BA213</formula>
    </cfRule>
  </conditionalFormatting>
  <conditionalFormatting sqref="E225:E229">
    <cfRule type="cellIs" dxfId="327" priority="321" operator="equal">
      <formula>$BA223</formula>
    </cfRule>
  </conditionalFormatting>
  <conditionalFormatting sqref="E237:E241">
    <cfRule type="cellIs" dxfId="326" priority="320" operator="equal">
      <formula>$BA235</formula>
    </cfRule>
  </conditionalFormatting>
  <conditionalFormatting sqref="E10:E16">
    <cfRule type="cellIs" dxfId="325" priority="318" operator="equal">
      <formula>$AZ10</formula>
    </cfRule>
    <cfRule type="cellIs" dxfId="324" priority="319" operator="equal">
      <formula>$BA10</formula>
    </cfRule>
  </conditionalFormatting>
  <conditionalFormatting sqref="E23:E27">
    <cfRule type="cellIs" dxfId="323" priority="317" operator="equal">
      <formula>$BA21</formula>
    </cfRule>
  </conditionalFormatting>
  <conditionalFormatting sqref="E23:E27">
    <cfRule type="cellIs" dxfId="322" priority="315" operator="equal">
      <formula>$AZ23</formula>
    </cfRule>
    <cfRule type="cellIs" dxfId="321" priority="316" operator="equal">
      <formula>$BA23</formula>
    </cfRule>
  </conditionalFormatting>
  <conditionalFormatting sqref="E34:E38">
    <cfRule type="cellIs" dxfId="320" priority="314" operator="equal">
      <formula>$BA32</formula>
    </cfRule>
  </conditionalFormatting>
  <conditionalFormatting sqref="E34:E38">
    <cfRule type="cellIs" dxfId="319" priority="313" operator="equal">
      <formula>$BA32</formula>
    </cfRule>
  </conditionalFormatting>
  <conditionalFormatting sqref="E34:E38">
    <cfRule type="cellIs" dxfId="318" priority="311" operator="equal">
      <formula>$AZ34</formula>
    </cfRule>
    <cfRule type="cellIs" dxfId="317" priority="312" operator="equal">
      <formula>$BA34</formula>
    </cfRule>
  </conditionalFormatting>
  <conditionalFormatting sqref="E45:E49">
    <cfRule type="cellIs" dxfId="316" priority="310" operator="equal">
      <formula>$BA43</formula>
    </cfRule>
  </conditionalFormatting>
  <conditionalFormatting sqref="E45:E49">
    <cfRule type="cellIs" dxfId="315" priority="309" operator="equal">
      <formula>$BA43</formula>
    </cfRule>
  </conditionalFormatting>
  <conditionalFormatting sqref="E45:E49">
    <cfRule type="cellIs" dxfId="314" priority="308" operator="equal">
      <formula>$BA43</formula>
    </cfRule>
  </conditionalFormatting>
  <conditionalFormatting sqref="E45:E49">
    <cfRule type="cellIs" dxfId="313" priority="306" operator="equal">
      <formula>$AZ45</formula>
    </cfRule>
    <cfRule type="cellIs" dxfId="312" priority="307" operator="equal">
      <formula>$BA45</formula>
    </cfRule>
  </conditionalFormatting>
  <conditionalFormatting sqref="E56:E60">
    <cfRule type="cellIs" dxfId="311" priority="305" operator="equal">
      <formula>$BA54</formula>
    </cfRule>
  </conditionalFormatting>
  <conditionalFormatting sqref="E56:E60">
    <cfRule type="cellIs" dxfId="310" priority="304" operator="equal">
      <formula>$BA54</formula>
    </cfRule>
  </conditionalFormatting>
  <conditionalFormatting sqref="E56:E60">
    <cfRule type="cellIs" dxfId="309" priority="303" operator="equal">
      <formula>$BA54</formula>
    </cfRule>
  </conditionalFormatting>
  <conditionalFormatting sqref="E56:E60">
    <cfRule type="cellIs" dxfId="308" priority="302" operator="equal">
      <formula>$BA54</formula>
    </cfRule>
  </conditionalFormatting>
  <conditionalFormatting sqref="E56:E60">
    <cfRule type="cellIs" dxfId="307" priority="300" operator="equal">
      <formula>$AZ56</formula>
    </cfRule>
    <cfRule type="cellIs" dxfId="306" priority="301" operator="equal">
      <formula>$BA56</formula>
    </cfRule>
  </conditionalFormatting>
  <conditionalFormatting sqref="E66:E72">
    <cfRule type="cellIs" dxfId="305" priority="299" operator="equal">
      <formula>$BA64</formula>
    </cfRule>
  </conditionalFormatting>
  <conditionalFormatting sqref="E66:E72">
    <cfRule type="cellIs" dxfId="304" priority="298" operator="equal">
      <formula>$BA64</formula>
    </cfRule>
  </conditionalFormatting>
  <conditionalFormatting sqref="E66:E72">
    <cfRule type="cellIs" dxfId="303" priority="297" operator="equal">
      <formula>$BA64</formula>
    </cfRule>
  </conditionalFormatting>
  <conditionalFormatting sqref="E66:E72">
    <cfRule type="cellIs" dxfId="302" priority="296" operator="equal">
      <formula>$BA64</formula>
    </cfRule>
  </conditionalFormatting>
  <conditionalFormatting sqref="E66:E72">
    <cfRule type="cellIs" dxfId="301" priority="295" operator="equal">
      <formula>$BA64</formula>
    </cfRule>
  </conditionalFormatting>
  <conditionalFormatting sqref="E66:E72">
    <cfRule type="cellIs" dxfId="300" priority="293" operator="equal">
      <formula>$AZ66</formula>
    </cfRule>
    <cfRule type="cellIs" dxfId="299" priority="294" operator="equal">
      <formula>$BA66</formula>
    </cfRule>
  </conditionalFormatting>
  <conditionalFormatting sqref="E78:E81">
    <cfRule type="cellIs" dxfId="298" priority="292" operator="equal">
      <formula>$BA76</formula>
    </cfRule>
  </conditionalFormatting>
  <conditionalFormatting sqref="E78:E81">
    <cfRule type="cellIs" dxfId="297" priority="291" operator="equal">
      <formula>$BA76</formula>
    </cfRule>
  </conditionalFormatting>
  <conditionalFormatting sqref="E78:E81">
    <cfRule type="cellIs" dxfId="296" priority="290" operator="equal">
      <formula>$BA76</formula>
    </cfRule>
  </conditionalFormatting>
  <conditionalFormatting sqref="E78:E81">
    <cfRule type="cellIs" dxfId="295" priority="289" operator="equal">
      <formula>$BA76</formula>
    </cfRule>
  </conditionalFormatting>
  <conditionalFormatting sqref="E78:E81">
    <cfRule type="cellIs" dxfId="294" priority="288" operator="equal">
      <formula>$BA76</formula>
    </cfRule>
  </conditionalFormatting>
  <conditionalFormatting sqref="E78:E81">
    <cfRule type="cellIs" dxfId="293" priority="287" operator="equal">
      <formula>$BA76</formula>
    </cfRule>
  </conditionalFormatting>
  <conditionalFormatting sqref="E78:E81">
    <cfRule type="cellIs" dxfId="292" priority="285" operator="equal">
      <formula>$AZ78</formula>
    </cfRule>
    <cfRule type="cellIs" dxfId="291" priority="286" operator="equal">
      <formula>$BA78</formula>
    </cfRule>
  </conditionalFormatting>
  <conditionalFormatting sqref="E87:E94">
    <cfRule type="cellIs" dxfId="290" priority="284" operator="equal">
      <formula>$BA85</formula>
    </cfRule>
  </conditionalFormatting>
  <conditionalFormatting sqref="E87:E94">
    <cfRule type="cellIs" dxfId="289" priority="283" operator="equal">
      <formula>$BA85</formula>
    </cfRule>
  </conditionalFormatting>
  <conditionalFormatting sqref="E87:E94">
    <cfRule type="cellIs" dxfId="288" priority="282" operator="equal">
      <formula>$BA85</formula>
    </cfRule>
  </conditionalFormatting>
  <conditionalFormatting sqref="E87:E94">
    <cfRule type="cellIs" dxfId="287" priority="281" operator="equal">
      <formula>$BA85</formula>
    </cfRule>
  </conditionalFormatting>
  <conditionalFormatting sqref="E87:E94">
    <cfRule type="cellIs" dxfId="286" priority="280" operator="equal">
      <formula>$BA85</formula>
    </cfRule>
  </conditionalFormatting>
  <conditionalFormatting sqref="E87:E94">
    <cfRule type="cellIs" dxfId="285" priority="279" operator="equal">
      <formula>$BA85</formula>
    </cfRule>
  </conditionalFormatting>
  <conditionalFormatting sqref="E87:E94">
    <cfRule type="cellIs" dxfId="284" priority="278" operator="equal">
      <formula>$BA85</formula>
    </cfRule>
  </conditionalFormatting>
  <conditionalFormatting sqref="E87:E94">
    <cfRule type="cellIs" dxfId="283" priority="276" operator="equal">
      <formula>$AZ87</formula>
    </cfRule>
    <cfRule type="cellIs" dxfId="282" priority="277" operator="equal">
      <formula>$BA87</formula>
    </cfRule>
  </conditionalFormatting>
  <conditionalFormatting sqref="E100:E104">
    <cfRule type="cellIs" dxfId="281" priority="275" operator="equal">
      <formula>$BA98</formula>
    </cfRule>
  </conditionalFormatting>
  <conditionalFormatting sqref="E100:E104">
    <cfRule type="cellIs" dxfId="280" priority="274" operator="equal">
      <formula>$BA98</formula>
    </cfRule>
  </conditionalFormatting>
  <conditionalFormatting sqref="E100:E104">
    <cfRule type="cellIs" dxfId="279" priority="273" operator="equal">
      <formula>$BA98</formula>
    </cfRule>
  </conditionalFormatting>
  <conditionalFormatting sqref="E100:E104">
    <cfRule type="cellIs" dxfId="278" priority="272" operator="equal">
      <formula>$BA98</formula>
    </cfRule>
  </conditionalFormatting>
  <conditionalFormatting sqref="E100:E104">
    <cfRule type="cellIs" dxfId="277" priority="271" operator="equal">
      <formula>$BA98</formula>
    </cfRule>
  </conditionalFormatting>
  <conditionalFormatting sqref="E100:E104">
    <cfRule type="cellIs" dxfId="276" priority="270" operator="equal">
      <formula>$BA98</formula>
    </cfRule>
  </conditionalFormatting>
  <conditionalFormatting sqref="E100:E104">
    <cfRule type="cellIs" dxfId="275" priority="269" operator="equal">
      <formula>$BA98</formula>
    </cfRule>
  </conditionalFormatting>
  <conditionalFormatting sqref="E100:E104">
    <cfRule type="cellIs" dxfId="274" priority="268" operator="equal">
      <formula>$BA98</formula>
    </cfRule>
  </conditionalFormatting>
  <conditionalFormatting sqref="E100:E104">
    <cfRule type="cellIs" dxfId="273" priority="266" operator="equal">
      <formula>$AZ100</formula>
    </cfRule>
    <cfRule type="cellIs" dxfId="272" priority="267" operator="equal">
      <formula>$BA100</formula>
    </cfRule>
  </conditionalFormatting>
  <conditionalFormatting sqref="E110:E118">
    <cfRule type="cellIs" dxfId="271" priority="265" operator="equal">
      <formula>$BA108</formula>
    </cfRule>
  </conditionalFormatting>
  <conditionalFormatting sqref="E110:E118">
    <cfRule type="cellIs" dxfId="270" priority="264" operator="equal">
      <formula>$BA108</formula>
    </cfRule>
  </conditionalFormatting>
  <conditionalFormatting sqref="E110:E118">
    <cfRule type="cellIs" dxfId="269" priority="263" operator="equal">
      <formula>$BA108</formula>
    </cfRule>
  </conditionalFormatting>
  <conditionalFormatting sqref="E110:E118">
    <cfRule type="cellIs" dxfId="268" priority="262" operator="equal">
      <formula>$BA108</formula>
    </cfRule>
  </conditionalFormatting>
  <conditionalFormatting sqref="E110:E118">
    <cfRule type="cellIs" dxfId="267" priority="261" operator="equal">
      <formula>$BA108</formula>
    </cfRule>
  </conditionalFormatting>
  <conditionalFormatting sqref="E110:E118">
    <cfRule type="cellIs" dxfId="266" priority="260" operator="equal">
      <formula>$BA108</formula>
    </cfRule>
  </conditionalFormatting>
  <conditionalFormatting sqref="E110:E118">
    <cfRule type="cellIs" dxfId="265" priority="259" operator="equal">
      <formula>$BA108</formula>
    </cfRule>
  </conditionalFormatting>
  <conditionalFormatting sqref="E110:E118">
    <cfRule type="cellIs" dxfId="264" priority="258" operator="equal">
      <formula>$BA108</formula>
    </cfRule>
  </conditionalFormatting>
  <conditionalFormatting sqref="E110:E118">
    <cfRule type="cellIs" dxfId="263" priority="257" operator="equal">
      <formula>$BA108</formula>
    </cfRule>
  </conditionalFormatting>
  <conditionalFormatting sqref="E110:E118">
    <cfRule type="cellIs" dxfId="262" priority="255" operator="equal">
      <formula>$AZ110</formula>
    </cfRule>
    <cfRule type="cellIs" dxfId="261" priority="256" operator="equal">
      <formula>$BA110</formula>
    </cfRule>
  </conditionalFormatting>
  <conditionalFormatting sqref="E124:E131">
    <cfRule type="cellIs" dxfId="260" priority="254" operator="equal">
      <formula>$BA122</formula>
    </cfRule>
  </conditionalFormatting>
  <conditionalFormatting sqref="E124:E131">
    <cfRule type="cellIs" dxfId="259" priority="253" operator="equal">
      <formula>$BA122</formula>
    </cfRule>
  </conditionalFormatting>
  <conditionalFormatting sqref="E124:E131">
    <cfRule type="cellIs" dxfId="258" priority="252" operator="equal">
      <formula>$BA122</formula>
    </cfRule>
  </conditionalFormatting>
  <conditionalFormatting sqref="E124:E131">
    <cfRule type="cellIs" dxfId="257" priority="251" operator="equal">
      <formula>$BA122</formula>
    </cfRule>
  </conditionalFormatting>
  <conditionalFormatting sqref="E124:E131">
    <cfRule type="cellIs" dxfId="256" priority="250" operator="equal">
      <formula>$BA122</formula>
    </cfRule>
  </conditionalFormatting>
  <conditionalFormatting sqref="E124:E131">
    <cfRule type="cellIs" dxfId="255" priority="249" operator="equal">
      <formula>$BA122</formula>
    </cfRule>
  </conditionalFormatting>
  <conditionalFormatting sqref="E124:E131">
    <cfRule type="cellIs" dxfId="254" priority="248" operator="equal">
      <formula>$BA122</formula>
    </cfRule>
  </conditionalFormatting>
  <conditionalFormatting sqref="E124:E131">
    <cfRule type="cellIs" dxfId="253" priority="247" operator="equal">
      <formula>$BA122</formula>
    </cfRule>
  </conditionalFormatting>
  <conditionalFormatting sqref="E124:E131">
    <cfRule type="cellIs" dxfId="252" priority="246" operator="equal">
      <formula>$BA122</formula>
    </cfRule>
  </conditionalFormatting>
  <conditionalFormatting sqref="E124:E131">
    <cfRule type="cellIs" dxfId="251" priority="245" operator="equal">
      <formula>$BA122</formula>
    </cfRule>
  </conditionalFormatting>
  <conditionalFormatting sqref="E124:E131">
    <cfRule type="cellIs" dxfId="250" priority="243" operator="equal">
      <formula>$AZ124</formula>
    </cfRule>
    <cfRule type="cellIs" dxfId="249" priority="244" operator="equal">
      <formula>$BA124</formula>
    </cfRule>
  </conditionalFormatting>
  <conditionalFormatting sqref="E137:E143">
    <cfRule type="cellIs" dxfId="248" priority="242" operator="equal">
      <formula>$BA135</formula>
    </cfRule>
  </conditionalFormatting>
  <conditionalFormatting sqref="E137:E143">
    <cfRule type="cellIs" dxfId="247" priority="241" operator="equal">
      <formula>$BA135</formula>
    </cfRule>
  </conditionalFormatting>
  <conditionalFormatting sqref="E137:E143">
    <cfRule type="cellIs" dxfId="246" priority="240" operator="equal">
      <formula>$BA135</formula>
    </cfRule>
  </conditionalFormatting>
  <conditionalFormatting sqref="E137:E143">
    <cfRule type="cellIs" dxfId="245" priority="239" operator="equal">
      <formula>$BA135</formula>
    </cfRule>
  </conditionalFormatting>
  <conditionalFormatting sqref="E137:E143">
    <cfRule type="cellIs" dxfId="244" priority="238" operator="equal">
      <formula>$BA135</formula>
    </cfRule>
  </conditionalFormatting>
  <conditionalFormatting sqref="E137:E143">
    <cfRule type="cellIs" dxfId="243" priority="237" operator="equal">
      <formula>$BA135</formula>
    </cfRule>
  </conditionalFormatting>
  <conditionalFormatting sqref="E137:E143">
    <cfRule type="cellIs" dxfId="242" priority="236" operator="equal">
      <formula>$BA135</formula>
    </cfRule>
  </conditionalFormatting>
  <conditionalFormatting sqref="E137:E143">
    <cfRule type="cellIs" dxfId="241" priority="235" operator="equal">
      <formula>$BA135</formula>
    </cfRule>
  </conditionalFormatting>
  <conditionalFormatting sqref="E137:E143">
    <cfRule type="cellIs" dxfId="240" priority="234" operator="equal">
      <formula>$BA135</formula>
    </cfRule>
  </conditionalFormatting>
  <conditionalFormatting sqref="E137:E143">
    <cfRule type="cellIs" dxfId="239" priority="233" operator="equal">
      <formula>$BA135</formula>
    </cfRule>
  </conditionalFormatting>
  <conditionalFormatting sqref="E137:E143">
    <cfRule type="cellIs" dxfId="238" priority="232" operator="equal">
      <formula>$BA135</formula>
    </cfRule>
  </conditionalFormatting>
  <conditionalFormatting sqref="E137:E143">
    <cfRule type="cellIs" dxfId="237" priority="230" operator="equal">
      <formula>$AZ137</formula>
    </cfRule>
    <cfRule type="cellIs" dxfId="236" priority="231" operator="equal">
      <formula>$BA137</formula>
    </cfRule>
  </conditionalFormatting>
  <conditionalFormatting sqref="E149:E151">
    <cfRule type="cellIs" dxfId="235" priority="229" operator="equal">
      <formula>$BA147</formula>
    </cfRule>
  </conditionalFormatting>
  <conditionalFormatting sqref="E149:E151">
    <cfRule type="cellIs" dxfId="234" priority="228" operator="equal">
      <formula>$BA147</formula>
    </cfRule>
  </conditionalFormatting>
  <conditionalFormatting sqref="E149:E151">
    <cfRule type="cellIs" dxfId="233" priority="227" operator="equal">
      <formula>$BA147</formula>
    </cfRule>
  </conditionalFormatting>
  <conditionalFormatting sqref="E149:E151">
    <cfRule type="cellIs" dxfId="232" priority="226" operator="equal">
      <formula>$BA147</formula>
    </cfRule>
  </conditionalFormatting>
  <conditionalFormatting sqref="E149:E151">
    <cfRule type="cellIs" dxfId="231" priority="225" operator="equal">
      <formula>$BA147</formula>
    </cfRule>
  </conditionalFormatting>
  <conditionalFormatting sqref="E149:E151">
    <cfRule type="cellIs" dxfId="230" priority="224" operator="equal">
      <formula>$BA147</formula>
    </cfRule>
  </conditionalFormatting>
  <conditionalFormatting sqref="E149:E151">
    <cfRule type="cellIs" dxfId="229" priority="223" operator="equal">
      <formula>$BA147</formula>
    </cfRule>
  </conditionalFormatting>
  <conditionalFormatting sqref="E149:E151">
    <cfRule type="cellIs" dxfId="228" priority="222" operator="equal">
      <formula>$BA147</formula>
    </cfRule>
  </conditionalFormatting>
  <conditionalFormatting sqref="E149:E151">
    <cfRule type="cellIs" dxfId="227" priority="221" operator="equal">
      <formula>$BA147</formula>
    </cfRule>
  </conditionalFormatting>
  <conditionalFormatting sqref="E149:E151">
    <cfRule type="cellIs" dxfId="226" priority="220" operator="equal">
      <formula>$BA147</formula>
    </cfRule>
  </conditionalFormatting>
  <conditionalFormatting sqref="E149:E151">
    <cfRule type="cellIs" dxfId="225" priority="219" operator="equal">
      <formula>$BA147</formula>
    </cfRule>
  </conditionalFormatting>
  <conditionalFormatting sqref="E149:E151">
    <cfRule type="cellIs" dxfId="224" priority="218" operator="equal">
      <formula>$BA147</formula>
    </cfRule>
  </conditionalFormatting>
  <conditionalFormatting sqref="E149:E151">
    <cfRule type="cellIs" dxfId="223" priority="216" operator="equal">
      <formula>$AZ149</formula>
    </cfRule>
    <cfRule type="cellIs" dxfId="222" priority="217" operator="equal">
      <formula>$BA149</formula>
    </cfRule>
  </conditionalFormatting>
  <conditionalFormatting sqref="E157:E161">
    <cfRule type="cellIs" dxfId="221" priority="215" operator="equal">
      <formula>$BA155</formula>
    </cfRule>
  </conditionalFormatting>
  <conditionalFormatting sqref="E157:E161">
    <cfRule type="cellIs" dxfId="220" priority="214" operator="equal">
      <formula>$BA155</formula>
    </cfRule>
  </conditionalFormatting>
  <conditionalFormatting sqref="E157:E161">
    <cfRule type="cellIs" dxfId="219" priority="213" operator="equal">
      <formula>$BA155</formula>
    </cfRule>
  </conditionalFormatting>
  <conditionalFormatting sqref="E157:E161">
    <cfRule type="cellIs" dxfId="218" priority="212" operator="equal">
      <formula>$BA155</formula>
    </cfRule>
  </conditionalFormatting>
  <conditionalFormatting sqref="E157:E161">
    <cfRule type="cellIs" dxfId="217" priority="211" operator="equal">
      <formula>$BA155</formula>
    </cfRule>
  </conditionalFormatting>
  <conditionalFormatting sqref="E157:E161">
    <cfRule type="cellIs" dxfId="216" priority="210" operator="equal">
      <formula>$BA155</formula>
    </cfRule>
  </conditionalFormatting>
  <conditionalFormatting sqref="E157:E161">
    <cfRule type="cellIs" dxfId="215" priority="209" operator="equal">
      <formula>$BA155</formula>
    </cfRule>
  </conditionalFormatting>
  <conditionalFormatting sqref="E157:E161">
    <cfRule type="cellIs" dxfId="214" priority="208" operator="equal">
      <formula>$BA155</formula>
    </cfRule>
  </conditionalFormatting>
  <conditionalFormatting sqref="E157:E161">
    <cfRule type="cellIs" dxfId="213" priority="207" operator="equal">
      <formula>$BA155</formula>
    </cfRule>
  </conditionalFormatting>
  <conditionalFormatting sqref="E157:E161">
    <cfRule type="cellIs" dxfId="212" priority="206" operator="equal">
      <formula>$BA155</formula>
    </cfRule>
  </conditionalFormatting>
  <conditionalFormatting sqref="E157:E161">
    <cfRule type="cellIs" dxfId="211" priority="205" operator="equal">
      <formula>$BA155</formula>
    </cfRule>
  </conditionalFormatting>
  <conditionalFormatting sqref="E157:E161">
    <cfRule type="cellIs" dxfId="210" priority="204" operator="equal">
      <formula>$BA155</formula>
    </cfRule>
  </conditionalFormatting>
  <conditionalFormatting sqref="E157:E161">
    <cfRule type="cellIs" dxfId="209" priority="203" operator="equal">
      <formula>$BA155</formula>
    </cfRule>
  </conditionalFormatting>
  <conditionalFormatting sqref="E157:E161">
    <cfRule type="cellIs" dxfId="208" priority="201" operator="equal">
      <formula>$AZ157</formula>
    </cfRule>
    <cfRule type="cellIs" dxfId="207" priority="202" operator="equal">
      <formula>$BA157</formula>
    </cfRule>
  </conditionalFormatting>
  <conditionalFormatting sqref="E167:E171">
    <cfRule type="cellIs" dxfId="206" priority="200" operator="equal">
      <formula>$BA165</formula>
    </cfRule>
  </conditionalFormatting>
  <conditionalFormatting sqref="E167:E171">
    <cfRule type="cellIs" dxfId="205" priority="199" operator="equal">
      <formula>$BA165</formula>
    </cfRule>
  </conditionalFormatting>
  <conditionalFormatting sqref="E167:E171">
    <cfRule type="cellIs" dxfId="204" priority="198" operator="equal">
      <formula>$BA165</formula>
    </cfRule>
  </conditionalFormatting>
  <conditionalFormatting sqref="E167:E171">
    <cfRule type="cellIs" dxfId="203" priority="197" operator="equal">
      <formula>$BA165</formula>
    </cfRule>
  </conditionalFormatting>
  <conditionalFormatting sqref="E167:E171">
    <cfRule type="cellIs" dxfId="202" priority="196" operator="equal">
      <formula>$BA165</formula>
    </cfRule>
  </conditionalFormatting>
  <conditionalFormatting sqref="E167:E171">
    <cfRule type="cellIs" dxfId="201" priority="195" operator="equal">
      <formula>$BA165</formula>
    </cfRule>
  </conditionalFormatting>
  <conditionalFormatting sqref="E167:E171">
    <cfRule type="cellIs" dxfId="200" priority="194" operator="equal">
      <formula>$BA165</formula>
    </cfRule>
  </conditionalFormatting>
  <conditionalFormatting sqref="E167:E171">
    <cfRule type="cellIs" dxfId="199" priority="193" operator="equal">
      <formula>$BA165</formula>
    </cfRule>
  </conditionalFormatting>
  <conditionalFormatting sqref="E167:E171">
    <cfRule type="cellIs" dxfId="198" priority="192" operator="equal">
      <formula>$BA165</formula>
    </cfRule>
  </conditionalFormatting>
  <conditionalFormatting sqref="E167:E171">
    <cfRule type="cellIs" dxfId="197" priority="191" operator="equal">
      <formula>$BA165</formula>
    </cfRule>
  </conditionalFormatting>
  <conditionalFormatting sqref="E167:E171">
    <cfRule type="cellIs" dxfId="196" priority="190" operator="equal">
      <formula>$BA165</formula>
    </cfRule>
  </conditionalFormatting>
  <conditionalFormatting sqref="E167:E171">
    <cfRule type="cellIs" dxfId="195" priority="189" operator="equal">
      <formula>$BA165</formula>
    </cfRule>
  </conditionalFormatting>
  <conditionalFormatting sqref="E167:E171">
    <cfRule type="cellIs" dxfId="194" priority="188" operator="equal">
      <formula>$BA165</formula>
    </cfRule>
  </conditionalFormatting>
  <conditionalFormatting sqref="E167:E171">
    <cfRule type="cellIs" dxfId="193" priority="187" operator="equal">
      <formula>$BA165</formula>
    </cfRule>
  </conditionalFormatting>
  <conditionalFormatting sqref="E167:E171">
    <cfRule type="cellIs" dxfId="192" priority="185" operator="equal">
      <formula>$AZ167</formula>
    </cfRule>
    <cfRule type="cellIs" dxfId="191" priority="186" operator="equal">
      <formula>$BA167</formula>
    </cfRule>
  </conditionalFormatting>
  <conditionalFormatting sqref="E177:E181">
    <cfRule type="cellIs" dxfId="190" priority="184" operator="equal">
      <formula>$BA175</formula>
    </cfRule>
  </conditionalFormatting>
  <conditionalFormatting sqref="E177:E181">
    <cfRule type="cellIs" dxfId="189" priority="183" operator="equal">
      <formula>$BA175</formula>
    </cfRule>
  </conditionalFormatting>
  <conditionalFormatting sqref="E177:E181">
    <cfRule type="cellIs" dxfId="188" priority="182" operator="equal">
      <formula>$BA175</formula>
    </cfRule>
  </conditionalFormatting>
  <conditionalFormatting sqref="E177:E181">
    <cfRule type="cellIs" dxfId="187" priority="181" operator="equal">
      <formula>$BA175</formula>
    </cfRule>
  </conditionalFormatting>
  <conditionalFormatting sqref="E177:E181">
    <cfRule type="cellIs" dxfId="186" priority="180" operator="equal">
      <formula>$BA175</formula>
    </cfRule>
  </conditionalFormatting>
  <conditionalFormatting sqref="E177:E181">
    <cfRule type="cellIs" dxfId="185" priority="179" operator="equal">
      <formula>$BA175</formula>
    </cfRule>
  </conditionalFormatting>
  <conditionalFormatting sqref="E177:E181">
    <cfRule type="cellIs" dxfId="184" priority="178" operator="equal">
      <formula>$BA175</formula>
    </cfRule>
  </conditionalFormatting>
  <conditionalFormatting sqref="E177:E181">
    <cfRule type="cellIs" dxfId="183" priority="177" operator="equal">
      <formula>$BA175</formula>
    </cfRule>
  </conditionalFormatting>
  <conditionalFormatting sqref="E177:E181">
    <cfRule type="cellIs" dxfId="182" priority="176" operator="equal">
      <formula>$BA175</formula>
    </cfRule>
  </conditionalFormatting>
  <conditionalFormatting sqref="E177:E181">
    <cfRule type="cellIs" dxfId="181" priority="175" operator="equal">
      <formula>$BA175</formula>
    </cfRule>
  </conditionalFormatting>
  <conditionalFormatting sqref="E177:E181">
    <cfRule type="cellIs" dxfId="180" priority="174" operator="equal">
      <formula>$BA175</formula>
    </cfRule>
  </conditionalFormatting>
  <conditionalFormatting sqref="E177:E181">
    <cfRule type="cellIs" dxfId="179" priority="173" operator="equal">
      <formula>$BA175</formula>
    </cfRule>
  </conditionalFormatting>
  <conditionalFormatting sqref="E177:E181">
    <cfRule type="cellIs" dxfId="178" priority="172" operator="equal">
      <formula>$BA175</formula>
    </cfRule>
  </conditionalFormatting>
  <conditionalFormatting sqref="E177:E181">
    <cfRule type="cellIs" dxfId="177" priority="171" operator="equal">
      <formula>$BA175</formula>
    </cfRule>
  </conditionalFormatting>
  <conditionalFormatting sqref="E177:E181">
    <cfRule type="cellIs" dxfId="176" priority="170" operator="equal">
      <formula>$BA175</formula>
    </cfRule>
  </conditionalFormatting>
  <conditionalFormatting sqref="E177:E181">
    <cfRule type="cellIs" dxfId="175" priority="168" operator="equal">
      <formula>$AZ177</formula>
    </cfRule>
    <cfRule type="cellIs" dxfId="174" priority="169" operator="equal">
      <formula>$BA177</formula>
    </cfRule>
  </conditionalFormatting>
  <conditionalFormatting sqref="E187:E190">
    <cfRule type="cellIs" dxfId="173" priority="167" operator="equal">
      <formula>$BA185</formula>
    </cfRule>
  </conditionalFormatting>
  <conditionalFormatting sqref="E187:E190">
    <cfRule type="cellIs" dxfId="172" priority="166" operator="equal">
      <formula>$BA185</formula>
    </cfRule>
  </conditionalFormatting>
  <conditionalFormatting sqref="E187:E190">
    <cfRule type="cellIs" dxfId="171" priority="165" operator="equal">
      <formula>$BA185</formula>
    </cfRule>
  </conditionalFormatting>
  <conditionalFormatting sqref="E187:E190">
    <cfRule type="cellIs" dxfId="170" priority="164" operator="equal">
      <formula>$BA185</formula>
    </cfRule>
  </conditionalFormatting>
  <conditionalFormatting sqref="E187:E190">
    <cfRule type="cellIs" dxfId="169" priority="163" operator="equal">
      <formula>$BA185</formula>
    </cfRule>
  </conditionalFormatting>
  <conditionalFormatting sqref="E187:E190">
    <cfRule type="cellIs" dxfId="168" priority="162" operator="equal">
      <formula>$BA185</formula>
    </cfRule>
  </conditionalFormatting>
  <conditionalFormatting sqref="E187:E190">
    <cfRule type="cellIs" dxfId="167" priority="161" operator="equal">
      <formula>$BA185</formula>
    </cfRule>
  </conditionalFormatting>
  <conditionalFormatting sqref="E187:E190">
    <cfRule type="cellIs" dxfId="166" priority="160" operator="equal">
      <formula>$BA185</formula>
    </cfRule>
  </conditionalFormatting>
  <conditionalFormatting sqref="E187:E190">
    <cfRule type="cellIs" dxfId="165" priority="159" operator="equal">
      <formula>$BA185</formula>
    </cfRule>
  </conditionalFormatting>
  <conditionalFormatting sqref="E187:E190">
    <cfRule type="cellIs" dxfId="164" priority="158" operator="equal">
      <formula>$BA185</formula>
    </cfRule>
  </conditionalFormatting>
  <conditionalFormatting sqref="E187:E190">
    <cfRule type="cellIs" dxfId="163" priority="157" operator="equal">
      <formula>$BA185</formula>
    </cfRule>
  </conditionalFormatting>
  <conditionalFormatting sqref="E187:E190">
    <cfRule type="cellIs" dxfId="162" priority="156" operator="equal">
      <formula>$BA185</formula>
    </cfRule>
  </conditionalFormatting>
  <conditionalFormatting sqref="E187:E190">
    <cfRule type="cellIs" dxfId="161" priority="155" operator="equal">
      <formula>$BA185</formula>
    </cfRule>
  </conditionalFormatting>
  <conditionalFormatting sqref="E187:E190">
    <cfRule type="cellIs" dxfId="160" priority="154" operator="equal">
      <formula>$BA185</formula>
    </cfRule>
  </conditionalFormatting>
  <conditionalFormatting sqref="E187:E190">
    <cfRule type="cellIs" dxfId="159" priority="153" operator="equal">
      <formula>$BA185</formula>
    </cfRule>
  </conditionalFormatting>
  <conditionalFormatting sqref="E187:E190">
    <cfRule type="cellIs" dxfId="158" priority="152" operator="equal">
      <formula>$BA185</formula>
    </cfRule>
  </conditionalFormatting>
  <conditionalFormatting sqref="E187:E190">
    <cfRule type="cellIs" dxfId="157" priority="150" operator="equal">
      <formula>$AZ187</formula>
    </cfRule>
    <cfRule type="cellIs" dxfId="156" priority="151" operator="equal">
      <formula>$BA187</formula>
    </cfRule>
  </conditionalFormatting>
  <conditionalFormatting sqref="E196:E199">
    <cfRule type="cellIs" dxfId="155" priority="149" operator="equal">
      <formula>$BA194</formula>
    </cfRule>
  </conditionalFormatting>
  <conditionalFormatting sqref="E196:E199">
    <cfRule type="cellIs" dxfId="154" priority="148" operator="equal">
      <formula>$BA194</formula>
    </cfRule>
  </conditionalFormatting>
  <conditionalFormatting sqref="E196:E199">
    <cfRule type="cellIs" dxfId="153" priority="147" operator="equal">
      <formula>$BA194</formula>
    </cfRule>
  </conditionalFormatting>
  <conditionalFormatting sqref="E196:E199">
    <cfRule type="cellIs" dxfId="152" priority="146" operator="equal">
      <formula>$BA194</formula>
    </cfRule>
  </conditionalFormatting>
  <conditionalFormatting sqref="E196:E199">
    <cfRule type="cellIs" dxfId="151" priority="145" operator="equal">
      <formula>$BA194</formula>
    </cfRule>
  </conditionalFormatting>
  <conditionalFormatting sqref="E196:E199">
    <cfRule type="cellIs" dxfId="150" priority="144" operator="equal">
      <formula>$BA194</formula>
    </cfRule>
  </conditionalFormatting>
  <conditionalFormatting sqref="E196:E199">
    <cfRule type="cellIs" dxfId="149" priority="143" operator="equal">
      <formula>$BA194</formula>
    </cfRule>
  </conditionalFormatting>
  <conditionalFormatting sqref="E196:E199">
    <cfRule type="cellIs" dxfId="148" priority="142" operator="equal">
      <formula>$BA194</formula>
    </cfRule>
  </conditionalFormatting>
  <conditionalFormatting sqref="E196:E199">
    <cfRule type="cellIs" dxfId="147" priority="141" operator="equal">
      <formula>$BA194</formula>
    </cfRule>
  </conditionalFormatting>
  <conditionalFormatting sqref="E196:E199">
    <cfRule type="cellIs" dxfId="146" priority="140" operator="equal">
      <formula>$BA194</formula>
    </cfRule>
  </conditionalFormatting>
  <conditionalFormatting sqref="E196:E199">
    <cfRule type="cellIs" dxfId="145" priority="139" operator="equal">
      <formula>$BA194</formula>
    </cfRule>
  </conditionalFormatting>
  <conditionalFormatting sqref="E196:E199">
    <cfRule type="cellIs" dxfId="144" priority="138" operator="equal">
      <formula>$BA194</formula>
    </cfRule>
  </conditionalFormatting>
  <conditionalFormatting sqref="E196:E199">
    <cfRule type="cellIs" dxfId="143" priority="137" operator="equal">
      <formula>$BA194</formula>
    </cfRule>
  </conditionalFormatting>
  <conditionalFormatting sqref="E196:E199">
    <cfRule type="cellIs" dxfId="142" priority="136" operator="equal">
      <formula>$BA194</formula>
    </cfRule>
  </conditionalFormatting>
  <conditionalFormatting sqref="E196:E199">
    <cfRule type="cellIs" dxfId="141" priority="135" operator="equal">
      <formula>$BA194</formula>
    </cfRule>
  </conditionalFormatting>
  <conditionalFormatting sqref="E196:E199">
    <cfRule type="cellIs" dxfId="140" priority="134" operator="equal">
      <formula>$BA194</formula>
    </cfRule>
  </conditionalFormatting>
  <conditionalFormatting sqref="E196:E199">
    <cfRule type="cellIs" dxfId="139" priority="133" operator="equal">
      <formula>$BA194</formula>
    </cfRule>
  </conditionalFormatting>
  <conditionalFormatting sqref="E196:E199">
    <cfRule type="cellIs" dxfId="138" priority="131" operator="equal">
      <formula>$AZ196</formula>
    </cfRule>
    <cfRule type="cellIs" dxfId="137" priority="132" operator="equal">
      <formula>$BA196</formula>
    </cfRule>
  </conditionalFormatting>
  <conditionalFormatting sqref="E205:E209">
    <cfRule type="cellIs" dxfId="136" priority="130" operator="equal">
      <formula>$BA203</formula>
    </cfRule>
  </conditionalFormatting>
  <conditionalFormatting sqref="E205:E209">
    <cfRule type="cellIs" dxfId="135" priority="129" operator="equal">
      <formula>$BA203</formula>
    </cfRule>
  </conditionalFormatting>
  <conditionalFormatting sqref="E205:E209">
    <cfRule type="cellIs" dxfId="134" priority="128" operator="equal">
      <formula>$BA203</formula>
    </cfRule>
  </conditionalFormatting>
  <conditionalFormatting sqref="E205:E209">
    <cfRule type="cellIs" dxfId="133" priority="127" operator="equal">
      <formula>$BA203</formula>
    </cfRule>
  </conditionalFormatting>
  <conditionalFormatting sqref="E205:E209">
    <cfRule type="cellIs" dxfId="132" priority="126" operator="equal">
      <formula>$BA203</formula>
    </cfRule>
  </conditionalFormatting>
  <conditionalFormatting sqref="E205:E209">
    <cfRule type="cellIs" dxfId="131" priority="125" operator="equal">
      <formula>$BA203</formula>
    </cfRule>
  </conditionalFormatting>
  <conditionalFormatting sqref="E205:E209">
    <cfRule type="cellIs" dxfId="130" priority="124" operator="equal">
      <formula>$BA203</formula>
    </cfRule>
  </conditionalFormatting>
  <conditionalFormatting sqref="E205:E209">
    <cfRule type="cellIs" dxfId="129" priority="123" operator="equal">
      <formula>$BA203</formula>
    </cfRule>
  </conditionalFormatting>
  <conditionalFormatting sqref="E205:E209">
    <cfRule type="cellIs" dxfId="128" priority="122" operator="equal">
      <formula>$BA203</formula>
    </cfRule>
  </conditionalFormatting>
  <conditionalFormatting sqref="E205:E209">
    <cfRule type="cellIs" dxfId="127" priority="121" operator="equal">
      <formula>$BA203</formula>
    </cfRule>
  </conditionalFormatting>
  <conditionalFormatting sqref="E205:E209">
    <cfRule type="cellIs" dxfId="126" priority="120" operator="equal">
      <formula>$BA203</formula>
    </cfRule>
  </conditionalFormatting>
  <conditionalFormatting sqref="E205:E209">
    <cfRule type="cellIs" dxfId="125" priority="119" operator="equal">
      <formula>$BA203</formula>
    </cfRule>
  </conditionalFormatting>
  <conditionalFormatting sqref="E205:E209">
    <cfRule type="cellIs" dxfId="124" priority="118" operator="equal">
      <formula>$BA203</formula>
    </cfRule>
  </conditionalFormatting>
  <conditionalFormatting sqref="E205:E209">
    <cfRule type="cellIs" dxfId="123" priority="117" operator="equal">
      <formula>$BA203</formula>
    </cfRule>
  </conditionalFormatting>
  <conditionalFormatting sqref="E205:E209">
    <cfRule type="cellIs" dxfId="122" priority="116" operator="equal">
      <formula>$BA203</formula>
    </cfRule>
  </conditionalFormatting>
  <conditionalFormatting sqref="E205:E209">
    <cfRule type="cellIs" dxfId="121" priority="115" operator="equal">
      <formula>$BA203</formula>
    </cfRule>
  </conditionalFormatting>
  <conditionalFormatting sqref="E205:E209">
    <cfRule type="cellIs" dxfId="120" priority="114" operator="equal">
      <formula>$BA203</formula>
    </cfRule>
  </conditionalFormatting>
  <conditionalFormatting sqref="E205:E209">
    <cfRule type="cellIs" dxfId="119" priority="113" operator="equal">
      <formula>$BA203</formula>
    </cfRule>
  </conditionalFormatting>
  <conditionalFormatting sqref="E205:E209">
    <cfRule type="cellIs" dxfId="118" priority="111" operator="equal">
      <formula>$AZ205</formula>
    </cfRule>
    <cfRule type="cellIs" dxfId="117" priority="112" operator="equal">
      <formula>$BA205</formula>
    </cfRule>
  </conditionalFormatting>
  <conditionalFormatting sqref="E215:E219">
    <cfRule type="cellIs" dxfId="116" priority="110" operator="equal">
      <formula>$BA213</formula>
    </cfRule>
  </conditionalFormatting>
  <conditionalFormatting sqref="E215:E219">
    <cfRule type="cellIs" dxfId="115" priority="109" operator="equal">
      <formula>$BA213</formula>
    </cfRule>
  </conditionalFormatting>
  <conditionalFormatting sqref="E215:E219">
    <cfRule type="cellIs" dxfId="114" priority="108" operator="equal">
      <formula>$BA213</formula>
    </cfRule>
  </conditionalFormatting>
  <conditionalFormatting sqref="E215:E219">
    <cfRule type="cellIs" dxfId="113" priority="107" operator="equal">
      <formula>$BA213</formula>
    </cfRule>
  </conditionalFormatting>
  <conditionalFormatting sqref="E215:E219">
    <cfRule type="cellIs" dxfId="112" priority="106" operator="equal">
      <formula>$BA213</formula>
    </cfRule>
  </conditionalFormatting>
  <conditionalFormatting sqref="E215:E219">
    <cfRule type="cellIs" dxfId="111" priority="105" operator="equal">
      <formula>$BA213</formula>
    </cfRule>
  </conditionalFormatting>
  <conditionalFormatting sqref="E215:E219">
    <cfRule type="cellIs" dxfId="110" priority="104" operator="equal">
      <formula>$BA213</formula>
    </cfRule>
  </conditionalFormatting>
  <conditionalFormatting sqref="E215:E219">
    <cfRule type="cellIs" dxfId="109" priority="103" operator="equal">
      <formula>$BA213</formula>
    </cfRule>
  </conditionalFormatting>
  <conditionalFormatting sqref="E215:E219">
    <cfRule type="cellIs" dxfId="108" priority="102" operator="equal">
      <formula>$BA213</formula>
    </cfRule>
  </conditionalFormatting>
  <conditionalFormatting sqref="E215:E219">
    <cfRule type="cellIs" dxfId="107" priority="101" operator="equal">
      <formula>$BA213</formula>
    </cfRule>
  </conditionalFormatting>
  <conditionalFormatting sqref="E215:E219">
    <cfRule type="cellIs" dxfId="106" priority="100" operator="equal">
      <formula>$BA213</formula>
    </cfRule>
  </conditionalFormatting>
  <conditionalFormatting sqref="E215:E219">
    <cfRule type="cellIs" dxfId="105" priority="99" operator="equal">
      <formula>$BA213</formula>
    </cfRule>
  </conditionalFormatting>
  <conditionalFormatting sqref="E215:E219">
    <cfRule type="cellIs" dxfId="104" priority="98" operator="equal">
      <formula>$BA213</formula>
    </cfRule>
  </conditionalFormatting>
  <conditionalFormatting sqref="E215:E219">
    <cfRule type="cellIs" dxfId="103" priority="97" operator="equal">
      <formula>$BA213</formula>
    </cfRule>
  </conditionalFormatting>
  <conditionalFormatting sqref="E215:E219">
    <cfRule type="cellIs" dxfId="102" priority="96" operator="equal">
      <formula>$BA213</formula>
    </cfRule>
  </conditionalFormatting>
  <conditionalFormatting sqref="E215:E219">
    <cfRule type="cellIs" dxfId="101" priority="95" operator="equal">
      <formula>$BA213</formula>
    </cfRule>
  </conditionalFormatting>
  <conditionalFormatting sqref="E215:E219">
    <cfRule type="cellIs" dxfId="100" priority="94" operator="equal">
      <formula>$BA213</formula>
    </cfRule>
  </conditionalFormatting>
  <conditionalFormatting sqref="E215:E219">
    <cfRule type="cellIs" dxfId="99" priority="93" operator="equal">
      <formula>$BA213</formula>
    </cfRule>
  </conditionalFormatting>
  <conditionalFormatting sqref="E215:E219">
    <cfRule type="cellIs" dxfId="98" priority="92" operator="equal">
      <formula>$BA213</formula>
    </cfRule>
  </conditionalFormatting>
  <conditionalFormatting sqref="E215:E219">
    <cfRule type="cellIs" dxfId="97" priority="90" operator="equal">
      <formula>$AZ215</formula>
    </cfRule>
    <cfRule type="cellIs" dxfId="96" priority="91" operator="equal">
      <formula>$BA215</formula>
    </cfRule>
  </conditionalFormatting>
  <conditionalFormatting sqref="E225:E229">
    <cfRule type="cellIs" dxfId="95" priority="89" operator="equal">
      <formula>$BA223</formula>
    </cfRule>
  </conditionalFormatting>
  <conditionalFormatting sqref="E225:E229">
    <cfRule type="cellIs" dxfId="94" priority="88" operator="equal">
      <formula>$BA223</formula>
    </cfRule>
  </conditionalFormatting>
  <conditionalFormatting sqref="E225:E229">
    <cfRule type="cellIs" dxfId="93" priority="87" operator="equal">
      <formula>$BA223</formula>
    </cfRule>
  </conditionalFormatting>
  <conditionalFormatting sqref="E225:E229">
    <cfRule type="cellIs" dxfId="92" priority="86" operator="equal">
      <formula>$BA223</formula>
    </cfRule>
  </conditionalFormatting>
  <conditionalFormatting sqref="E225:E229">
    <cfRule type="cellIs" dxfId="91" priority="85" operator="equal">
      <formula>$BA223</formula>
    </cfRule>
  </conditionalFormatting>
  <conditionalFormatting sqref="E225:E229">
    <cfRule type="cellIs" dxfId="90" priority="84" operator="equal">
      <formula>$BA223</formula>
    </cfRule>
  </conditionalFormatting>
  <conditionalFormatting sqref="E225:E229">
    <cfRule type="cellIs" dxfId="89" priority="83" operator="equal">
      <formula>$BA223</formula>
    </cfRule>
  </conditionalFormatting>
  <conditionalFormatting sqref="E225:E229">
    <cfRule type="cellIs" dxfId="88" priority="82" operator="equal">
      <formula>$BA223</formula>
    </cfRule>
  </conditionalFormatting>
  <conditionalFormatting sqref="E225:E229">
    <cfRule type="cellIs" dxfId="87" priority="81" operator="equal">
      <formula>$BA223</formula>
    </cfRule>
  </conditionalFormatting>
  <conditionalFormatting sqref="E225:E229">
    <cfRule type="cellIs" dxfId="86" priority="80" operator="equal">
      <formula>$BA223</formula>
    </cfRule>
  </conditionalFormatting>
  <conditionalFormatting sqref="E225:E229">
    <cfRule type="cellIs" dxfId="85" priority="79" operator="equal">
      <formula>$BA223</formula>
    </cfRule>
  </conditionalFormatting>
  <conditionalFormatting sqref="E225:E229">
    <cfRule type="cellIs" dxfId="84" priority="78" operator="equal">
      <formula>$BA223</formula>
    </cfRule>
  </conditionalFormatting>
  <conditionalFormatting sqref="E225:E229">
    <cfRule type="cellIs" dxfId="83" priority="77" operator="equal">
      <formula>$BA223</formula>
    </cfRule>
  </conditionalFormatting>
  <conditionalFormatting sqref="E225:E229">
    <cfRule type="cellIs" dxfId="82" priority="76" operator="equal">
      <formula>$BA223</formula>
    </cfRule>
  </conditionalFormatting>
  <conditionalFormatting sqref="E225:E229">
    <cfRule type="cellIs" dxfId="81" priority="75" operator="equal">
      <formula>$BA223</formula>
    </cfRule>
  </conditionalFormatting>
  <conditionalFormatting sqref="E225:E229">
    <cfRule type="cellIs" dxfId="80" priority="74" operator="equal">
      <formula>$BA223</formula>
    </cfRule>
  </conditionalFormatting>
  <conditionalFormatting sqref="E225:E229">
    <cfRule type="cellIs" dxfId="79" priority="73" operator="equal">
      <formula>$BA223</formula>
    </cfRule>
  </conditionalFormatting>
  <conditionalFormatting sqref="E225:E229">
    <cfRule type="cellIs" dxfId="78" priority="72" operator="equal">
      <formula>$BA223</formula>
    </cfRule>
  </conditionalFormatting>
  <conditionalFormatting sqref="E225:E229">
    <cfRule type="cellIs" dxfId="77" priority="71" operator="equal">
      <formula>$BA223</formula>
    </cfRule>
  </conditionalFormatting>
  <conditionalFormatting sqref="E225:E229">
    <cfRule type="cellIs" dxfId="76" priority="70" operator="equal">
      <formula>$BA223</formula>
    </cfRule>
  </conditionalFormatting>
  <conditionalFormatting sqref="E225:E229">
    <cfRule type="cellIs" dxfId="75" priority="68" operator="equal">
      <formula>$AZ225</formula>
    </cfRule>
    <cfRule type="cellIs" dxfId="74" priority="69" operator="equal">
      <formula>$BA225</formula>
    </cfRule>
  </conditionalFormatting>
  <conditionalFormatting sqref="E237:E241">
    <cfRule type="cellIs" dxfId="73" priority="67" operator="equal">
      <formula>$BA235</formula>
    </cfRule>
  </conditionalFormatting>
  <conditionalFormatting sqref="E237:E241">
    <cfRule type="cellIs" dxfId="72" priority="66" operator="equal">
      <formula>$BA235</formula>
    </cfRule>
  </conditionalFormatting>
  <conditionalFormatting sqref="E237:E241">
    <cfRule type="cellIs" dxfId="71" priority="65" operator="equal">
      <formula>$BA235</formula>
    </cfRule>
  </conditionalFormatting>
  <conditionalFormatting sqref="E237:E241">
    <cfRule type="cellIs" dxfId="70" priority="64" operator="equal">
      <formula>$BA235</formula>
    </cfRule>
  </conditionalFormatting>
  <conditionalFormatting sqref="E237:E241">
    <cfRule type="cellIs" dxfId="69" priority="63" operator="equal">
      <formula>$BA235</formula>
    </cfRule>
  </conditionalFormatting>
  <conditionalFormatting sqref="E237:E241">
    <cfRule type="cellIs" dxfId="68" priority="62" operator="equal">
      <formula>$BA235</formula>
    </cfRule>
  </conditionalFormatting>
  <conditionalFormatting sqref="E237:E241">
    <cfRule type="cellIs" dxfId="67" priority="61" operator="equal">
      <formula>$BA235</formula>
    </cfRule>
  </conditionalFormatting>
  <conditionalFormatting sqref="E237:E241">
    <cfRule type="cellIs" dxfId="66" priority="60" operator="equal">
      <formula>$BA235</formula>
    </cfRule>
  </conditionalFormatting>
  <conditionalFormatting sqref="E237:E241">
    <cfRule type="cellIs" dxfId="65" priority="59" operator="equal">
      <formula>$BA235</formula>
    </cfRule>
  </conditionalFormatting>
  <conditionalFormatting sqref="E237:E241">
    <cfRule type="cellIs" dxfId="64" priority="58" operator="equal">
      <formula>$BA235</formula>
    </cfRule>
  </conditionalFormatting>
  <conditionalFormatting sqref="E237:E241">
    <cfRule type="cellIs" dxfId="63" priority="57" operator="equal">
      <formula>$BA235</formula>
    </cfRule>
  </conditionalFormatting>
  <conditionalFormatting sqref="E237:E241">
    <cfRule type="cellIs" dxfId="62" priority="56" operator="equal">
      <formula>$BA235</formula>
    </cfRule>
  </conditionalFormatting>
  <conditionalFormatting sqref="E237:E241">
    <cfRule type="cellIs" dxfId="61" priority="55" operator="equal">
      <formula>$BA235</formula>
    </cfRule>
  </conditionalFormatting>
  <conditionalFormatting sqref="E237:E241">
    <cfRule type="cellIs" dxfId="60" priority="54" operator="equal">
      <formula>$BA235</formula>
    </cfRule>
  </conditionalFormatting>
  <conditionalFormatting sqref="E237:E241">
    <cfRule type="cellIs" dxfId="59" priority="53" operator="equal">
      <formula>$BA235</formula>
    </cfRule>
  </conditionalFormatting>
  <conditionalFormatting sqref="E237:E241">
    <cfRule type="cellIs" dxfId="58" priority="52" operator="equal">
      <formula>$BA235</formula>
    </cfRule>
  </conditionalFormatting>
  <conditionalFormatting sqref="E237:E241">
    <cfRule type="cellIs" dxfId="57" priority="51" operator="equal">
      <formula>$BA235</formula>
    </cfRule>
  </conditionalFormatting>
  <conditionalFormatting sqref="E237:E241">
    <cfRule type="cellIs" dxfId="56" priority="50" operator="equal">
      <formula>$BA235</formula>
    </cfRule>
  </conditionalFormatting>
  <conditionalFormatting sqref="E237:E241">
    <cfRule type="cellIs" dxfId="55" priority="49" operator="equal">
      <formula>$BA235</formula>
    </cfRule>
  </conditionalFormatting>
  <conditionalFormatting sqref="E237:E241">
    <cfRule type="cellIs" dxfId="54" priority="48" operator="equal">
      <formula>$BA235</formula>
    </cfRule>
  </conditionalFormatting>
  <conditionalFormatting sqref="E237:E241">
    <cfRule type="cellIs" dxfId="53" priority="47" operator="equal">
      <formula>$BA235</formula>
    </cfRule>
  </conditionalFormatting>
  <conditionalFormatting sqref="E237:E241">
    <cfRule type="cellIs" dxfId="52" priority="45" operator="equal">
      <formula>$AZ237</formula>
    </cfRule>
    <cfRule type="cellIs" dxfId="51" priority="46" operator="equal">
      <formula>$BA237</formula>
    </cfRule>
  </conditionalFormatting>
  <conditionalFormatting sqref="I18">
    <cfRule type="cellIs" dxfId="50" priority="43" operator="equal">
      <formula>$AZ18</formula>
    </cfRule>
    <cfRule type="cellIs" dxfId="49" priority="44" operator="notEqual">
      <formula>$AZ18</formula>
    </cfRule>
  </conditionalFormatting>
  <conditionalFormatting sqref="I29">
    <cfRule type="cellIs" dxfId="48" priority="41" operator="equal">
      <formula>$AZ29</formula>
    </cfRule>
    <cfRule type="cellIs" dxfId="47" priority="42" operator="notEqual">
      <formula>$AZ29</formula>
    </cfRule>
  </conditionalFormatting>
  <conditionalFormatting sqref="I40">
    <cfRule type="cellIs" dxfId="46" priority="39" operator="equal">
      <formula>$AZ40</formula>
    </cfRule>
    <cfRule type="cellIs" dxfId="45" priority="40" operator="notEqual">
      <formula>$AZ40</formula>
    </cfRule>
  </conditionalFormatting>
  <conditionalFormatting sqref="I51">
    <cfRule type="cellIs" dxfId="44" priority="37" operator="equal">
      <formula>$AZ51</formula>
    </cfRule>
    <cfRule type="cellIs" dxfId="43" priority="38" operator="notEqual">
      <formula>$AZ51</formula>
    </cfRule>
  </conditionalFormatting>
  <conditionalFormatting sqref="I62">
    <cfRule type="cellIs" dxfId="42" priority="35" operator="equal">
      <formula>$AZ62</formula>
    </cfRule>
    <cfRule type="cellIs" dxfId="41" priority="36" operator="notEqual">
      <formula>$AZ62</formula>
    </cfRule>
  </conditionalFormatting>
  <conditionalFormatting sqref="I74">
    <cfRule type="cellIs" dxfId="40" priority="33" operator="equal">
      <formula>$AZ74</formula>
    </cfRule>
    <cfRule type="cellIs" dxfId="39" priority="34" operator="notEqual">
      <formula>$AZ74</formula>
    </cfRule>
  </conditionalFormatting>
  <conditionalFormatting sqref="I83">
    <cfRule type="cellIs" dxfId="38" priority="31" operator="equal">
      <formula>$AZ83</formula>
    </cfRule>
    <cfRule type="cellIs" dxfId="37" priority="32" operator="notEqual">
      <formula>$AZ83</formula>
    </cfRule>
  </conditionalFormatting>
  <conditionalFormatting sqref="I96">
    <cfRule type="cellIs" dxfId="36" priority="29" operator="equal">
      <formula>$AZ96</formula>
    </cfRule>
    <cfRule type="cellIs" dxfId="35" priority="30" operator="notEqual">
      <formula>$AZ96</formula>
    </cfRule>
  </conditionalFormatting>
  <conditionalFormatting sqref="I106">
    <cfRule type="cellIs" dxfId="34" priority="27" operator="equal">
      <formula>$AZ106</formula>
    </cfRule>
    <cfRule type="cellIs" dxfId="33" priority="28" operator="notEqual">
      <formula>$AZ106</formula>
    </cfRule>
  </conditionalFormatting>
  <conditionalFormatting sqref="I120">
    <cfRule type="cellIs" dxfId="32" priority="25" operator="equal">
      <formula>$AZ120</formula>
    </cfRule>
    <cfRule type="cellIs" dxfId="31" priority="26" operator="notEqual">
      <formula>$AZ120</formula>
    </cfRule>
  </conditionalFormatting>
  <conditionalFormatting sqref="I133">
    <cfRule type="cellIs" dxfId="30" priority="23" operator="equal">
      <formula>$AZ133</formula>
    </cfRule>
    <cfRule type="cellIs" dxfId="29" priority="24" operator="notEqual">
      <formula>$AZ133</formula>
    </cfRule>
  </conditionalFormatting>
  <conditionalFormatting sqref="I145">
    <cfRule type="cellIs" dxfId="28" priority="21" operator="equal">
      <formula>$AZ145</formula>
    </cfRule>
    <cfRule type="cellIs" dxfId="27" priority="22" operator="notEqual">
      <formula>$AZ145</formula>
    </cfRule>
  </conditionalFormatting>
  <conditionalFormatting sqref="I153">
    <cfRule type="cellIs" dxfId="26" priority="19" operator="equal">
      <formula>$AZ153</formula>
    </cfRule>
    <cfRule type="cellIs" dxfId="25" priority="20" operator="notEqual">
      <formula>$AZ153</formula>
    </cfRule>
  </conditionalFormatting>
  <conditionalFormatting sqref="I163">
    <cfRule type="cellIs" dxfId="24" priority="17" operator="equal">
      <formula>$AZ163</formula>
    </cfRule>
    <cfRule type="cellIs" dxfId="23" priority="18" operator="notEqual">
      <formula>$AZ163</formula>
    </cfRule>
  </conditionalFormatting>
  <conditionalFormatting sqref="I173">
    <cfRule type="cellIs" dxfId="22" priority="15" operator="equal">
      <formula>$AZ173</formula>
    </cfRule>
    <cfRule type="cellIs" dxfId="21" priority="16" operator="notEqual">
      <formula>$AZ173</formula>
    </cfRule>
  </conditionalFormatting>
  <conditionalFormatting sqref="I183">
    <cfRule type="cellIs" dxfId="20" priority="13" operator="equal">
      <formula>$AZ183</formula>
    </cfRule>
    <cfRule type="cellIs" dxfId="19" priority="14" operator="notEqual">
      <formula>$AZ183</formula>
    </cfRule>
  </conditionalFormatting>
  <conditionalFormatting sqref="I192">
    <cfRule type="cellIs" dxfId="18" priority="11" operator="equal">
      <formula>$AZ192</formula>
    </cfRule>
    <cfRule type="cellIs" dxfId="17" priority="12" operator="notEqual">
      <formula>$AZ192</formula>
    </cfRule>
  </conditionalFormatting>
  <conditionalFormatting sqref="I201">
    <cfRule type="cellIs" dxfId="16" priority="9" operator="equal">
      <formula>$AZ201</formula>
    </cfRule>
    <cfRule type="cellIs" dxfId="15" priority="10" operator="notEqual">
      <formula>$AZ201</formula>
    </cfRule>
  </conditionalFormatting>
  <conditionalFormatting sqref="I211">
    <cfRule type="cellIs" dxfId="14" priority="7" operator="equal">
      <formula>$AZ211</formula>
    </cfRule>
    <cfRule type="cellIs" dxfId="13" priority="8" operator="notEqual">
      <formula>$AZ211</formula>
    </cfRule>
  </conditionalFormatting>
  <conditionalFormatting sqref="I221">
    <cfRule type="cellIs" dxfId="12" priority="5" operator="equal">
      <formula>$AZ221</formula>
    </cfRule>
    <cfRule type="cellIs" dxfId="11" priority="6" operator="notEqual">
      <formula>$AZ221</formula>
    </cfRule>
  </conditionalFormatting>
  <conditionalFormatting sqref="I231">
    <cfRule type="cellIs" dxfId="10" priority="3" operator="equal">
      <formula>$AZ231</formula>
    </cfRule>
    <cfRule type="cellIs" dxfId="9" priority="4" operator="notEqual">
      <formula>$AZ231</formula>
    </cfRule>
  </conditionalFormatting>
  <conditionalFormatting sqref="I243">
    <cfRule type="cellIs" dxfId="8" priority="1" operator="equal">
      <formula>$AZ243</formula>
    </cfRule>
    <cfRule type="cellIs" dxfId="7" priority="2" operator="notEqual">
      <formula>$AZ243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"/>
  <dimension ref="A1:W2356"/>
  <sheetViews>
    <sheetView workbookViewId="0">
      <pane xSplit="10" ySplit="6" topLeftCell="K7" activePane="bottomRight" state="frozenSplit"/>
      <selection pane="topRight" activeCell="K1" sqref="K1"/>
      <selection pane="bottomLeft" activeCell="A3" sqref="A3"/>
      <selection pane="bottomRight" activeCell="K7" sqref="K7"/>
    </sheetView>
  </sheetViews>
  <sheetFormatPr defaultRowHeight="11.25" x14ac:dyDescent="0.2"/>
  <cols>
    <col min="1" max="1" width="12.7109375" style="1" customWidth="1"/>
    <col min="2" max="2" width="10.85546875" style="1" bestFit="1" customWidth="1"/>
    <col min="3" max="3" width="17.140625" style="1" customWidth="1"/>
    <col min="4" max="4" width="8.140625" style="1" customWidth="1"/>
    <col min="5" max="5" width="9.140625" style="1"/>
    <col min="6" max="6" width="12.140625" style="1" customWidth="1"/>
    <col min="7" max="8" width="9.140625" style="1"/>
    <col min="9" max="9" width="12.28515625" style="1" customWidth="1"/>
    <col min="10" max="10" width="9.140625" style="1"/>
    <col min="11" max="11" width="9.85546875" style="1" customWidth="1"/>
    <col min="12" max="13" width="15.7109375" style="1" customWidth="1"/>
    <col min="14" max="14" width="15.7109375" style="60" customWidth="1"/>
    <col min="15" max="15" width="13.7109375" style="1" customWidth="1"/>
    <col min="16" max="16" width="11.7109375" style="1" customWidth="1"/>
    <col min="17" max="17" width="13.140625" style="1" customWidth="1"/>
    <col min="18" max="18" width="14.85546875" style="1" customWidth="1"/>
    <col min="19" max="19" width="15.7109375" style="1" customWidth="1"/>
    <col min="20" max="20" width="27.85546875" style="1" customWidth="1"/>
    <col min="21" max="21" width="20.140625" style="1" customWidth="1"/>
    <col min="22" max="22" width="19.5703125" style="1" customWidth="1"/>
    <col min="23" max="23" width="13.7109375" style="1" customWidth="1"/>
    <col min="24" max="16384" width="9.140625" style="1"/>
  </cols>
  <sheetData>
    <row r="1" spans="1:23" s="139" customFormat="1" x14ac:dyDescent="0.2">
      <c r="N1" s="140"/>
    </row>
    <row r="2" spans="1:23" s="139" customFormat="1" x14ac:dyDescent="0.2">
      <c r="N2" s="140"/>
    </row>
    <row r="3" spans="1:23" s="139" customFormat="1" x14ac:dyDescent="0.2">
      <c r="N3" s="140"/>
    </row>
    <row r="4" spans="1:23" s="139" customFormat="1" x14ac:dyDescent="0.2">
      <c r="N4" s="140"/>
    </row>
    <row r="5" spans="1:23" s="134" customFormat="1" x14ac:dyDescent="0.2">
      <c r="K5" s="138" t="s">
        <v>263</v>
      </c>
      <c r="L5" s="138" t="s">
        <v>265</v>
      </c>
      <c r="M5" s="138" t="s">
        <v>266</v>
      </c>
      <c r="N5" s="138" t="s">
        <v>267</v>
      </c>
      <c r="O5" s="138" t="s">
        <v>268</v>
      </c>
      <c r="P5" s="138" t="s">
        <v>269</v>
      </c>
      <c r="Q5" s="138" t="s">
        <v>273</v>
      </c>
      <c r="R5" s="138" t="s">
        <v>274</v>
      </c>
      <c r="S5" s="138" t="s">
        <v>275</v>
      </c>
      <c r="T5" s="138" t="s">
        <v>281</v>
      </c>
      <c r="U5" s="138" t="s">
        <v>282</v>
      </c>
      <c r="V5" s="138" t="s">
        <v>285</v>
      </c>
      <c r="W5" s="138" t="s">
        <v>286</v>
      </c>
    </row>
    <row r="6" spans="1:23" s="137" customFormat="1" ht="62.25" customHeight="1" x14ac:dyDescent="0.2">
      <c r="A6" s="135" t="s">
        <v>290</v>
      </c>
      <c r="B6" s="135" t="s">
        <v>221</v>
      </c>
      <c r="C6" s="135" t="s">
        <v>222</v>
      </c>
      <c r="D6" s="135" t="s">
        <v>262</v>
      </c>
      <c r="E6" s="135" t="s">
        <v>223</v>
      </c>
      <c r="F6" s="135" t="s">
        <v>247</v>
      </c>
      <c r="G6" s="135" t="s">
        <v>248</v>
      </c>
      <c r="H6" s="135" t="s">
        <v>249</v>
      </c>
      <c r="I6" s="135" t="s">
        <v>250</v>
      </c>
      <c r="J6" s="135" t="s">
        <v>251</v>
      </c>
      <c r="K6" s="135" t="s">
        <v>279</v>
      </c>
      <c r="L6" s="135" t="s">
        <v>264</v>
      </c>
      <c r="M6" s="135" t="s">
        <v>278</v>
      </c>
      <c r="N6" s="136" t="s">
        <v>272</v>
      </c>
      <c r="O6" s="135" t="s">
        <v>270</v>
      </c>
      <c r="P6" s="135" t="s">
        <v>271</v>
      </c>
      <c r="Q6" s="135" t="s">
        <v>276</v>
      </c>
      <c r="R6" s="135" t="s">
        <v>277</v>
      </c>
      <c r="S6" s="135" t="s">
        <v>280</v>
      </c>
      <c r="T6" s="135" t="s">
        <v>317</v>
      </c>
      <c r="U6" s="135" t="s">
        <v>287</v>
      </c>
      <c r="V6" s="135" t="s">
        <v>283</v>
      </c>
      <c r="W6" s="135" t="s">
        <v>284</v>
      </c>
    </row>
    <row r="7" spans="1:23" x14ac:dyDescent="0.2">
      <c r="A7" s="57" t="s">
        <v>228</v>
      </c>
      <c r="B7" s="57" t="s">
        <v>225</v>
      </c>
      <c r="C7" s="57" t="s">
        <v>226</v>
      </c>
      <c r="D7" s="58">
        <v>317.08</v>
      </c>
      <c r="E7" s="59">
        <v>41061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1">
        <f>H7*D7</f>
        <v>0</v>
      </c>
      <c r="L7" s="1" t="str">
        <f>IF(H7&gt;1000,H7,"")</f>
        <v/>
      </c>
      <c r="M7" s="1">
        <f>VLOOKUP(B7,'[1]Срок Годности'!$A$2:$B$4,2,0)</f>
        <v>500</v>
      </c>
      <c r="N7" s="60">
        <f>IF(WEEKDAY(E7) = 1, 0, G7)</f>
        <v>0</v>
      </c>
      <c r="O7" s="1" t="str">
        <f>WEEKNUM(E7) &amp; " " &amp; YEAR(E7)</f>
        <v>22 2012</v>
      </c>
      <c r="P7" s="1">
        <f>LEN(C7)</f>
        <v>23</v>
      </c>
      <c r="Q7" s="1">
        <f ca="1">DATEDIF(E7,NOW(),"D")</f>
        <v>4072</v>
      </c>
      <c r="R7" s="170">
        <f>INDEX(E7:E2356,MATCH(LARGE(H7:H2356,1),H7:H2356,0),1)</f>
        <v>41092</v>
      </c>
      <c r="S7" s="1">
        <f t="shared" ref="S7:S70" si="0">I7-J7</f>
        <v>0</v>
      </c>
    </row>
    <row r="8" spans="1:23" x14ac:dyDescent="0.2">
      <c r="A8" s="57" t="s">
        <v>228</v>
      </c>
      <c r="B8" s="57" t="s">
        <v>225</v>
      </c>
      <c r="C8" s="57" t="s">
        <v>226</v>
      </c>
      <c r="D8" s="58">
        <v>317.08</v>
      </c>
      <c r="E8" s="59">
        <v>41062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1">
        <f t="shared" ref="K8:K71" si="1">H8*D8</f>
        <v>0</v>
      </c>
      <c r="L8" s="1" t="str">
        <f t="shared" ref="L8:L71" si="2">IF(H8&gt;1000,H8,"")</f>
        <v/>
      </c>
      <c r="M8" s="1">
        <f>VLOOKUP(B8,'[1]Срок Годности'!$A$2:$B$4,2,0)</f>
        <v>500</v>
      </c>
      <c r="N8" s="60">
        <f t="shared" ref="N8:N71" si="3">IF(WEEKDAY(E8) = 1, 0, G8)</f>
        <v>0</v>
      </c>
      <c r="O8" s="1" t="str">
        <f t="shared" ref="O8:O71" si="4">WEEKNUM(E8) &amp; " " &amp; YEAR(E8)</f>
        <v>22 2012</v>
      </c>
      <c r="P8" s="1">
        <f t="shared" ref="P8:P71" si="5">LEN(C8)</f>
        <v>23</v>
      </c>
      <c r="Q8" s="1">
        <f t="shared" ref="Q8:Q71" ca="1" si="6">DATEDIF(E8,NOW(),"D")</f>
        <v>4071</v>
      </c>
      <c r="S8" s="1">
        <f t="shared" si="0"/>
        <v>0</v>
      </c>
    </row>
    <row r="9" spans="1:23" x14ac:dyDescent="0.2">
      <c r="A9" s="57" t="s">
        <v>228</v>
      </c>
      <c r="B9" s="57" t="s">
        <v>225</v>
      </c>
      <c r="C9" s="57" t="s">
        <v>226</v>
      </c>
      <c r="D9" s="58">
        <v>317.08</v>
      </c>
      <c r="E9" s="59">
        <v>41063</v>
      </c>
      <c r="F9" s="58">
        <v>0</v>
      </c>
      <c r="G9" s="58">
        <v>927</v>
      </c>
      <c r="H9" s="58">
        <v>105</v>
      </c>
      <c r="I9" s="58">
        <v>823</v>
      </c>
      <c r="J9" s="58">
        <v>0</v>
      </c>
      <c r="K9" s="1">
        <f t="shared" si="1"/>
        <v>33293.4</v>
      </c>
      <c r="L9" s="1" t="str">
        <f t="shared" si="2"/>
        <v/>
      </c>
      <c r="M9" s="1">
        <f>VLOOKUP(B9,'[1]Срок Годности'!$A$2:$B$4,2,0)</f>
        <v>500</v>
      </c>
      <c r="N9" s="60">
        <f t="shared" si="3"/>
        <v>0</v>
      </c>
      <c r="O9" s="1" t="str">
        <f t="shared" si="4"/>
        <v>23 2012</v>
      </c>
      <c r="P9" s="1">
        <f t="shared" si="5"/>
        <v>23</v>
      </c>
      <c r="Q9" s="1">
        <f t="shared" ca="1" si="6"/>
        <v>4070</v>
      </c>
      <c r="S9" s="1">
        <f t="shared" si="0"/>
        <v>823</v>
      </c>
    </row>
    <row r="10" spans="1:23" x14ac:dyDescent="0.2">
      <c r="A10" s="57" t="s">
        <v>228</v>
      </c>
      <c r="B10" s="57" t="s">
        <v>225</v>
      </c>
      <c r="C10" s="57" t="s">
        <v>226</v>
      </c>
      <c r="D10" s="58">
        <v>317.08</v>
      </c>
      <c r="E10" s="59">
        <v>41064</v>
      </c>
      <c r="F10" s="58">
        <v>823</v>
      </c>
      <c r="G10" s="58">
        <v>635</v>
      </c>
      <c r="H10" s="58">
        <v>310</v>
      </c>
      <c r="I10" s="58">
        <v>1145</v>
      </c>
      <c r="J10" s="58">
        <v>0</v>
      </c>
      <c r="K10" s="1">
        <f t="shared" si="1"/>
        <v>98294.799999999988</v>
      </c>
      <c r="L10" s="1" t="str">
        <f t="shared" si="2"/>
        <v/>
      </c>
      <c r="M10" s="1">
        <f>VLOOKUP(B10,'[1]Срок Годности'!$A$2:$B$4,2,0)</f>
        <v>500</v>
      </c>
      <c r="N10" s="60">
        <f t="shared" si="3"/>
        <v>635</v>
      </c>
      <c r="O10" s="1" t="str">
        <f t="shared" si="4"/>
        <v>23 2012</v>
      </c>
      <c r="P10" s="1">
        <f t="shared" si="5"/>
        <v>23</v>
      </c>
      <c r="Q10" s="1">
        <f t="shared" ca="1" si="6"/>
        <v>4069</v>
      </c>
      <c r="S10" s="1">
        <f t="shared" si="0"/>
        <v>1145</v>
      </c>
    </row>
    <row r="11" spans="1:23" x14ac:dyDescent="0.2">
      <c r="A11" s="57" t="s">
        <v>228</v>
      </c>
      <c r="B11" s="57" t="s">
        <v>225</v>
      </c>
      <c r="C11" s="57" t="s">
        <v>226</v>
      </c>
      <c r="D11" s="58">
        <v>317.08</v>
      </c>
      <c r="E11" s="59">
        <v>41065</v>
      </c>
      <c r="F11" s="58">
        <v>1145</v>
      </c>
      <c r="G11" s="58">
        <v>198</v>
      </c>
      <c r="H11" s="58">
        <v>374</v>
      </c>
      <c r="I11" s="58">
        <v>968</v>
      </c>
      <c r="J11" s="58">
        <v>0</v>
      </c>
      <c r="K11" s="1">
        <f t="shared" si="1"/>
        <v>118587.92</v>
      </c>
      <c r="L11" s="1" t="str">
        <f t="shared" si="2"/>
        <v/>
      </c>
      <c r="M11" s="1">
        <f>VLOOKUP(B11,'[1]Срок Годности'!$A$2:$B$4,2,0)</f>
        <v>500</v>
      </c>
      <c r="N11" s="60">
        <f t="shared" si="3"/>
        <v>198</v>
      </c>
      <c r="O11" s="1" t="str">
        <f t="shared" si="4"/>
        <v>23 2012</v>
      </c>
      <c r="P11" s="1">
        <f t="shared" si="5"/>
        <v>23</v>
      </c>
      <c r="Q11" s="1">
        <f t="shared" ca="1" si="6"/>
        <v>4068</v>
      </c>
      <c r="S11" s="1">
        <f t="shared" si="0"/>
        <v>968</v>
      </c>
    </row>
    <row r="12" spans="1:23" x14ac:dyDescent="0.2">
      <c r="A12" s="57" t="s">
        <v>228</v>
      </c>
      <c r="B12" s="57" t="s">
        <v>225</v>
      </c>
      <c r="C12" s="57" t="s">
        <v>226</v>
      </c>
      <c r="D12" s="58">
        <v>317.08</v>
      </c>
      <c r="E12" s="59">
        <v>41066</v>
      </c>
      <c r="F12" s="58">
        <v>968</v>
      </c>
      <c r="G12" s="58">
        <v>217</v>
      </c>
      <c r="H12" s="58">
        <v>342</v>
      </c>
      <c r="I12" s="58">
        <v>843</v>
      </c>
      <c r="J12" s="58">
        <v>0</v>
      </c>
      <c r="K12" s="1">
        <f t="shared" si="1"/>
        <v>108441.36</v>
      </c>
      <c r="L12" s="1" t="str">
        <f t="shared" si="2"/>
        <v/>
      </c>
      <c r="M12" s="1">
        <f>VLOOKUP(B12,'[1]Срок Годности'!$A$2:$B$4,2,0)</f>
        <v>500</v>
      </c>
      <c r="N12" s="60">
        <f t="shared" si="3"/>
        <v>217</v>
      </c>
      <c r="O12" s="1" t="str">
        <f t="shared" si="4"/>
        <v>23 2012</v>
      </c>
      <c r="P12" s="1">
        <f t="shared" si="5"/>
        <v>23</v>
      </c>
      <c r="Q12" s="1">
        <f t="shared" ca="1" si="6"/>
        <v>4067</v>
      </c>
      <c r="S12" s="1">
        <f t="shared" si="0"/>
        <v>843</v>
      </c>
    </row>
    <row r="13" spans="1:23" x14ac:dyDescent="0.2">
      <c r="A13" s="57" t="s">
        <v>228</v>
      </c>
      <c r="B13" s="57" t="s">
        <v>225</v>
      </c>
      <c r="C13" s="57" t="s">
        <v>226</v>
      </c>
      <c r="D13" s="58">
        <v>317.08</v>
      </c>
      <c r="E13" s="59">
        <v>41067</v>
      </c>
      <c r="F13" s="58">
        <v>843</v>
      </c>
      <c r="G13" s="58">
        <v>387</v>
      </c>
      <c r="H13" s="58">
        <v>310</v>
      </c>
      <c r="I13" s="58">
        <v>918</v>
      </c>
      <c r="J13" s="58">
        <v>0</v>
      </c>
      <c r="K13" s="1">
        <f t="shared" si="1"/>
        <v>98294.799999999988</v>
      </c>
      <c r="L13" s="1" t="str">
        <f t="shared" si="2"/>
        <v/>
      </c>
      <c r="M13" s="1">
        <f>VLOOKUP(B13,'[1]Срок Годности'!$A$2:$B$4,2,0)</f>
        <v>500</v>
      </c>
      <c r="N13" s="60">
        <f t="shared" si="3"/>
        <v>387</v>
      </c>
      <c r="O13" s="1" t="str">
        <f t="shared" si="4"/>
        <v>23 2012</v>
      </c>
      <c r="P13" s="1">
        <f t="shared" si="5"/>
        <v>23</v>
      </c>
      <c r="Q13" s="1">
        <f t="shared" ca="1" si="6"/>
        <v>4066</v>
      </c>
      <c r="S13" s="1">
        <f t="shared" si="0"/>
        <v>918</v>
      </c>
    </row>
    <row r="14" spans="1:23" x14ac:dyDescent="0.2">
      <c r="A14" s="57" t="s">
        <v>228</v>
      </c>
      <c r="B14" s="57" t="s">
        <v>225</v>
      </c>
      <c r="C14" s="57" t="s">
        <v>226</v>
      </c>
      <c r="D14" s="58">
        <v>317.08</v>
      </c>
      <c r="E14" s="59">
        <v>41068</v>
      </c>
      <c r="F14" s="58">
        <v>918</v>
      </c>
      <c r="G14" s="58">
        <v>400</v>
      </c>
      <c r="H14" s="58">
        <v>322</v>
      </c>
      <c r="I14" s="58">
        <v>993</v>
      </c>
      <c r="J14" s="58">
        <v>0</v>
      </c>
      <c r="K14" s="1">
        <f t="shared" si="1"/>
        <v>102099.76</v>
      </c>
      <c r="L14" s="1" t="str">
        <f t="shared" si="2"/>
        <v/>
      </c>
      <c r="M14" s="1">
        <f>VLOOKUP(B14,'[1]Срок Годности'!$A$2:$B$4,2,0)</f>
        <v>500</v>
      </c>
      <c r="N14" s="60">
        <f t="shared" si="3"/>
        <v>400</v>
      </c>
      <c r="O14" s="1" t="str">
        <f t="shared" si="4"/>
        <v>23 2012</v>
      </c>
      <c r="P14" s="1">
        <f t="shared" si="5"/>
        <v>23</v>
      </c>
      <c r="Q14" s="1">
        <f t="shared" ca="1" si="6"/>
        <v>4065</v>
      </c>
      <c r="S14" s="1">
        <f t="shared" si="0"/>
        <v>993</v>
      </c>
    </row>
    <row r="15" spans="1:23" x14ac:dyDescent="0.2">
      <c r="A15" s="57" t="s">
        <v>228</v>
      </c>
      <c r="B15" s="57" t="s">
        <v>225</v>
      </c>
      <c r="C15" s="57" t="s">
        <v>226</v>
      </c>
      <c r="D15" s="58">
        <v>317.08</v>
      </c>
      <c r="E15" s="59">
        <v>41069</v>
      </c>
      <c r="F15" s="58">
        <v>993</v>
      </c>
      <c r="G15" s="58">
        <v>375</v>
      </c>
      <c r="H15" s="58">
        <v>290</v>
      </c>
      <c r="I15" s="58">
        <v>1073</v>
      </c>
      <c r="J15" s="58">
        <v>0</v>
      </c>
      <c r="K15" s="1">
        <f t="shared" si="1"/>
        <v>91953.2</v>
      </c>
      <c r="L15" s="1" t="str">
        <f t="shared" si="2"/>
        <v/>
      </c>
      <c r="M15" s="1">
        <f>VLOOKUP(B15,'[1]Срок Годности'!$A$2:$B$4,2,0)</f>
        <v>500</v>
      </c>
      <c r="N15" s="60">
        <f t="shared" si="3"/>
        <v>375</v>
      </c>
      <c r="O15" s="1" t="str">
        <f t="shared" si="4"/>
        <v>23 2012</v>
      </c>
      <c r="P15" s="1">
        <f t="shared" si="5"/>
        <v>23</v>
      </c>
      <c r="Q15" s="1">
        <f t="shared" ca="1" si="6"/>
        <v>4064</v>
      </c>
      <c r="S15" s="1">
        <f t="shared" si="0"/>
        <v>1073</v>
      </c>
    </row>
    <row r="16" spans="1:23" x14ac:dyDescent="0.2">
      <c r="A16" s="57" t="s">
        <v>228</v>
      </c>
      <c r="B16" s="57" t="s">
        <v>225</v>
      </c>
      <c r="C16" s="57" t="s">
        <v>226</v>
      </c>
      <c r="D16" s="58">
        <v>317.08</v>
      </c>
      <c r="E16" s="59">
        <v>41070</v>
      </c>
      <c r="F16" s="58">
        <v>1073</v>
      </c>
      <c r="G16" s="58">
        <v>253</v>
      </c>
      <c r="H16" s="58">
        <v>412</v>
      </c>
      <c r="I16" s="58">
        <v>910</v>
      </c>
      <c r="J16" s="58">
        <v>0</v>
      </c>
      <c r="K16" s="1">
        <f t="shared" si="1"/>
        <v>130636.95999999999</v>
      </c>
      <c r="L16" s="1" t="str">
        <f t="shared" si="2"/>
        <v/>
      </c>
      <c r="M16" s="1">
        <f>VLOOKUP(B16,'[1]Срок Годности'!$A$2:$B$4,2,0)</f>
        <v>500</v>
      </c>
      <c r="N16" s="60">
        <f t="shared" si="3"/>
        <v>0</v>
      </c>
      <c r="O16" s="1" t="str">
        <f t="shared" si="4"/>
        <v>24 2012</v>
      </c>
      <c r="P16" s="1">
        <f t="shared" si="5"/>
        <v>23</v>
      </c>
      <c r="Q16" s="1">
        <f t="shared" ca="1" si="6"/>
        <v>4063</v>
      </c>
      <c r="S16" s="1">
        <f t="shared" si="0"/>
        <v>910</v>
      </c>
    </row>
    <row r="17" spans="1:19" x14ac:dyDescent="0.2">
      <c r="A17" s="57" t="s">
        <v>228</v>
      </c>
      <c r="B17" s="57" t="s">
        <v>225</v>
      </c>
      <c r="C17" s="57" t="s">
        <v>226</v>
      </c>
      <c r="D17" s="58">
        <v>317.08</v>
      </c>
      <c r="E17" s="59">
        <v>41071</v>
      </c>
      <c r="F17" s="58">
        <v>910</v>
      </c>
      <c r="G17" s="58">
        <v>236</v>
      </c>
      <c r="H17" s="58">
        <v>355</v>
      </c>
      <c r="I17" s="58">
        <v>786</v>
      </c>
      <c r="J17" s="58">
        <v>0</v>
      </c>
      <c r="K17" s="1">
        <f t="shared" si="1"/>
        <v>112563.4</v>
      </c>
      <c r="L17" s="1" t="str">
        <f t="shared" si="2"/>
        <v/>
      </c>
      <c r="M17" s="1">
        <f>VLOOKUP(B17,'[1]Срок Годности'!$A$2:$B$4,2,0)</f>
        <v>500</v>
      </c>
      <c r="N17" s="60">
        <f t="shared" si="3"/>
        <v>236</v>
      </c>
      <c r="O17" s="1" t="str">
        <f t="shared" si="4"/>
        <v>24 2012</v>
      </c>
      <c r="P17" s="1">
        <f t="shared" si="5"/>
        <v>23</v>
      </c>
      <c r="Q17" s="1">
        <f t="shared" ca="1" si="6"/>
        <v>4062</v>
      </c>
      <c r="S17" s="1">
        <f t="shared" si="0"/>
        <v>786</v>
      </c>
    </row>
    <row r="18" spans="1:19" x14ac:dyDescent="0.2">
      <c r="A18" s="57" t="s">
        <v>228</v>
      </c>
      <c r="B18" s="57" t="s">
        <v>225</v>
      </c>
      <c r="C18" s="57" t="s">
        <v>226</v>
      </c>
      <c r="D18" s="58">
        <v>317.08</v>
      </c>
      <c r="E18" s="59">
        <v>41072</v>
      </c>
      <c r="F18" s="58">
        <v>786</v>
      </c>
      <c r="G18" s="58">
        <v>249</v>
      </c>
      <c r="H18" s="58">
        <v>258</v>
      </c>
      <c r="I18" s="58">
        <v>777</v>
      </c>
      <c r="J18" s="58">
        <v>0</v>
      </c>
      <c r="K18" s="1">
        <f t="shared" si="1"/>
        <v>81806.64</v>
      </c>
      <c r="L18" s="1" t="str">
        <f t="shared" si="2"/>
        <v/>
      </c>
      <c r="M18" s="1">
        <f>VLOOKUP(B18,'[1]Срок Годности'!$A$2:$B$4,2,0)</f>
        <v>500</v>
      </c>
      <c r="N18" s="60">
        <f t="shared" si="3"/>
        <v>249</v>
      </c>
      <c r="O18" s="1" t="str">
        <f t="shared" si="4"/>
        <v>24 2012</v>
      </c>
      <c r="P18" s="1">
        <f t="shared" si="5"/>
        <v>23</v>
      </c>
      <c r="Q18" s="1">
        <f t="shared" ca="1" si="6"/>
        <v>4061</v>
      </c>
      <c r="S18" s="1">
        <f t="shared" si="0"/>
        <v>777</v>
      </c>
    </row>
    <row r="19" spans="1:19" x14ac:dyDescent="0.2">
      <c r="A19" s="57" t="s">
        <v>228</v>
      </c>
      <c r="B19" s="57" t="s">
        <v>225</v>
      </c>
      <c r="C19" s="57" t="s">
        <v>226</v>
      </c>
      <c r="D19" s="58">
        <v>317.08</v>
      </c>
      <c r="E19" s="59">
        <v>41073</v>
      </c>
      <c r="F19" s="58">
        <v>777</v>
      </c>
      <c r="G19" s="58">
        <v>1370</v>
      </c>
      <c r="H19" s="58">
        <v>328</v>
      </c>
      <c r="I19" s="58">
        <v>1808</v>
      </c>
      <c r="J19" s="58">
        <v>0</v>
      </c>
      <c r="K19" s="1">
        <f t="shared" si="1"/>
        <v>104002.23999999999</v>
      </c>
      <c r="L19" s="1" t="str">
        <f t="shared" si="2"/>
        <v/>
      </c>
      <c r="M19" s="1">
        <f>VLOOKUP(B19,'[1]Срок Годности'!$A$2:$B$4,2,0)</f>
        <v>500</v>
      </c>
      <c r="N19" s="60">
        <f t="shared" si="3"/>
        <v>1370</v>
      </c>
      <c r="O19" s="1" t="str">
        <f t="shared" si="4"/>
        <v>24 2012</v>
      </c>
      <c r="P19" s="1">
        <f t="shared" si="5"/>
        <v>23</v>
      </c>
      <c r="Q19" s="1">
        <f t="shared" ca="1" si="6"/>
        <v>4060</v>
      </c>
      <c r="S19" s="1">
        <f t="shared" si="0"/>
        <v>1808</v>
      </c>
    </row>
    <row r="20" spans="1:19" x14ac:dyDescent="0.2">
      <c r="A20" s="57" t="s">
        <v>228</v>
      </c>
      <c r="B20" s="57" t="s">
        <v>225</v>
      </c>
      <c r="C20" s="57" t="s">
        <v>226</v>
      </c>
      <c r="D20" s="58">
        <v>317.08</v>
      </c>
      <c r="E20" s="59">
        <v>41074</v>
      </c>
      <c r="F20" s="58">
        <v>1808</v>
      </c>
      <c r="G20" s="58">
        <v>761</v>
      </c>
      <c r="H20" s="58">
        <v>381</v>
      </c>
      <c r="I20" s="58">
        <v>2191</v>
      </c>
      <c r="J20" s="58">
        <v>0</v>
      </c>
      <c r="K20" s="1">
        <f t="shared" si="1"/>
        <v>120807.48</v>
      </c>
      <c r="L20" s="1" t="str">
        <f t="shared" si="2"/>
        <v/>
      </c>
      <c r="M20" s="1">
        <f>VLOOKUP(B20,'[1]Срок Годности'!$A$2:$B$4,2,0)</f>
        <v>500</v>
      </c>
      <c r="N20" s="60">
        <f t="shared" si="3"/>
        <v>761</v>
      </c>
      <c r="O20" s="1" t="str">
        <f t="shared" si="4"/>
        <v>24 2012</v>
      </c>
      <c r="P20" s="1">
        <f t="shared" si="5"/>
        <v>23</v>
      </c>
      <c r="Q20" s="1">
        <f t="shared" ca="1" si="6"/>
        <v>4059</v>
      </c>
      <c r="S20" s="1">
        <f t="shared" si="0"/>
        <v>2191</v>
      </c>
    </row>
    <row r="21" spans="1:19" x14ac:dyDescent="0.2">
      <c r="A21" s="57" t="s">
        <v>228</v>
      </c>
      <c r="B21" s="57" t="s">
        <v>225</v>
      </c>
      <c r="C21" s="57" t="s">
        <v>226</v>
      </c>
      <c r="D21" s="58">
        <v>317.08</v>
      </c>
      <c r="E21" s="59">
        <v>41075</v>
      </c>
      <c r="F21" s="58">
        <v>2191</v>
      </c>
      <c r="G21" s="58">
        <v>277</v>
      </c>
      <c r="H21" s="58">
        <v>433</v>
      </c>
      <c r="I21" s="58">
        <v>2033</v>
      </c>
      <c r="J21" s="58">
        <v>0</v>
      </c>
      <c r="K21" s="1">
        <f t="shared" si="1"/>
        <v>137295.63999999998</v>
      </c>
      <c r="L21" s="1" t="str">
        <f t="shared" si="2"/>
        <v/>
      </c>
      <c r="M21" s="1">
        <f>VLOOKUP(B21,'[1]Срок Годности'!$A$2:$B$4,2,0)</f>
        <v>500</v>
      </c>
      <c r="N21" s="60">
        <f t="shared" si="3"/>
        <v>277</v>
      </c>
      <c r="O21" s="1" t="str">
        <f t="shared" si="4"/>
        <v>24 2012</v>
      </c>
      <c r="P21" s="1">
        <f t="shared" si="5"/>
        <v>23</v>
      </c>
      <c r="Q21" s="1">
        <f t="shared" ca="1" si="6"/>
        <v>4058</v>
      </c>
      <c r="S21" s="1">
        <f t="shared" si="0"/>
        <v>2033</v>
      </c>
    </row>
    <row r="22" spans="1:19" x14ac:dyDescent="0.2">
      <c r="A22" s="57" t="s">
        <v>228</v>
      </c>
      <c r="B22" s="57" t="s">
        <v>225</v>
      </c>
      <c r="C22" s="57" t="s">
        <v>226</v>
      </c>
      <c r="D22" s="58">
        <v>317.08</v>
      </c>
      <c r="E22" s="59">
        <v>41076</v>
      </c>
      <c r="F22" s="58">
        <v>2033</v>
      </c>
      <c r="G22" s="58">
        <v>270</v>
      </c>
      <c r="H22" s="58">
        <v>480</v>
      </c>
      <c r="I22" s="58">
        <v>1817</v>
      </c>
      <c r="J22" s="58">
        <v>0</v>
      </c>
      <c r="K22" s="1">
        <f t="shared" si="1"/>
        <v>152198.39999999999</v>
      </c>
      <c r="L22" s="1" t="str">
        <f t="shared" si="2"/>
        <v/>
      </c>
      <c r="M22" s="1">
        <f>VLOOKUP(B22,'[1]Срок Годности'!$A$2:$B$4,2,0)</f>
        <v>500</v>
      </c>
      <c r="N22" s="60">
        <f t="shared" si="3"/>
        <v>270</v>
      </c>
      <c r="O22" s="1" t="str">
        <f t="shared" si="4"/>
        <v>24 2012</v>
      </c>
      <c r="P22" s="1">
        <f t="shared" si="5"/>
        <v>23</v>
      </c>
      <c r="Q22" s="1">
        <f t="shared" ca="1" si="6"/>
        <v>4057</v>
      </c>
      <c r="S22" s="1">
        <f t="shared" si="0"/>
        <v>1817</v>
      </c>
    </row>
    <row r="23" spans="1:19" x14ac:dyDescent="0.2">
      <c r="A23" s="57" t="s">
        <v>228</v>
      </c>
      <c r="B23" s="57" t="s">
        <v>225</v>
      </c>
      <c r="C23" s="57" t="s">
        <v>226</v>
      </c>
      <c r="D23" s="58">
        <v>317.08</v>
      </c>
      <c r="E23" s="59">
        <v>41077</v>
      </c>
      <c r="F23" s="58">
        <v>1817</v>
      </c>
      <c r="G23" s="58">
        <v>354</v>
      </c>
      <c r="H23" s="58">
        <v>583</v>
      </c>
      <c r="I23" s="58">
        <v>1582</v>
      </c>
      <c r="J23" s="58">
        <v>0</v>
      </c>
      <c r="K23" s="1">
        <f t="shared" si="1"/>
        <v>184857.63999999998</v>
      </c>
      <c r="L23" s="1" t="str">
        <f t="shared" si="2"/>
        <v/>
      </c>
      <c r="M23" s="1">
        <f>VLOOKUP(B23,'[1]Срок Годности'!$A$2:$B$4,2,0)</f>
        <v>500</v>
      </c>
      <c r="N23" s="60">
        <f t="shared" si="3"/>
        <v>0</v>
      </c>
      <c r="O23" s="1" t="str">
        <f t="shared" si="4"/>
        <v>25 2012</v>
      </c>
      <c r="P23" s="1">
        <f t="shared" si="5"/>
        <v>23</v>
      </c>
      <c r="Q23" s="1">
        <f t="shared" ca="1" si="6"/>
        <v>4056</v>
      </c>
      <c r="S23" s="1">
        <f t="shared" si="0"/>
        <v>1582</v>
      </c>
    </row>
    <row r="24" spans="1:19" x14ac:dyDescent="0.2">
      <c r="A24" s="57" t="s">
        <v>228</v>
      </c>
      <c r="B24" s="57" t="s">
        <v>225</v>
      </c>
      <c r="C24" s="57" t="s">
        <v>226</v>
      </c>
      <c r="D24" s="58">
        <v>317.08</v>
      </c>
      <c r="E24" s="59">
        <v>41078</v>
      </c>
      <c r="F24" s="58">
        <v>1582</v>
      </c>
      <c r="G24" s="58">
        <v>463</v>
      </c>
      <c r="H24" s="58">
        <v>501</v>
      </c>
      <c r="I24" s="58">
        <v>1542</v>
      </c>
      <c r="J24" s="58">
        <v>0</v>
      </c>
      <c r="K24" s="1">
        <f t="shared" si="1"/>
        <v>158857.07999999999</v>
      </c>
      <c r="L24" s="1" t="str">
        <f t="shared" si="2"/>
        <v/>
      </c>
      <c r="M24" s="1">
        <f>VLOOKUP(B24,'[1]Срок Годности'!$A$2:$B$4,2,0)</f>
        <v>500</v>
      </c>
      <c r="N24" s="60">
        <f t="shared" si="3"/>
        <v>463</v>
      </c>
      <c r="O24" s="1" t="str">
        <f t="shared" si="4"/>
        <v>25 2012</v>
      </c>
      <c r="P24" s="1">
        <f t="shared" si="5"/>
        <v>23</v>
      </c>
      <c r="Q24" s="1">
        <f t="shared" ca="1" si="6"/>
        <v>4055</v>
      </c>
      <c r="S24" s="1">
        <f t="shared" si="0"/>
        <v>1542</v>
      </c>
    </row>
    <row r="25" spans="1:19" x14ac:dyDescent="0.2">
      <c r="A25" s="57" t="s">
        <v>228</v>
      </c>
      <c r="B25" s="57" t="s">
        <v>225</v>
      </c>
      <c r="C25" s="57" t="s">
        <v>226</v>
      </c>
      <c r="D25" s="58">
        <v>317.08</v>
      </c>
      <c r="E25" s="59">
        <v>41079</v>
      </c>
      <c r="F25" s="58">
        <v>1542</v>
      </c>
      <c r="G25" s="58">
        <v>491</v>
      </c>
      <c r="H25" s="58">
        <v>562</v>
      </c>
      <c r="I25" s="58">
        <v>1470</v>
      </c>
      <c r="J25" s="58">
        <v>0</v>
      </c>
      <c r="K25" s="1">
        <f t="shared" si="1"/>
        <v>178198.96</v>
      </c>
      <c r="L25" s="1" t="str">
        <f t="shared" si="2"/>
        <v/>
      </c>
      <c r="M25" s="1">
        <f>VLOOKUP(B25,'[1]Срок Годности'!$A$2:$B$4,2,0)</f>
        <v>500</v>
      </c>
      <c r="N25" s="60">
        <f t="shared" si="3"/>
        <v>491</v>
      </c>
      <c r="O25" s="1" t="str">
        <f t="shared" si="4"/>
        <v>25 2012</v>
      </c>
      <c r="P25" s="1">
        <f t="shared" si="5"/>
        <v>23</v>
      </c>
      <c r="Q25" s="1">
        <f t="shared" ca="1" si="6"/>
        <v>4054</v>
      </c>
      <c r="S25" s="1">
        <f t="shared" si="0"/>
        <v>1470</v>
      </c>
    </row>
    <row r="26" spans="1:19" x14ac:dyDescent="0.2">
      <c r="A26" s="57" t="s">
        <v>228</v>
      </c>
      <c r="B26" s="57" t="s">
        <v>225</v>
      </c>
      <c r="C26" s="57" t="s">
        <v>226</v>
      </c>
      <c r="D26" s="58">
        <v>317.08</v>
      </c>
      <c r="E26" s="59">
        <v>41080</v>
      </c>
      <c r="F26" s="58">
        <v>1470</v>
      </c>
      <c r="G26" s="58">
        <v>736</v>
      </c>
      <c r="H26" s="58">
        <v>528</v>
      </c>
      <c r="I26" s="58">
        <v>1674</v>
      </c>
      <c r="J26" s="58">
        <v>0</v>
      </c>
      <c r="K26" s="1">
        <f t="shared" si="1"/>
        <v>167418.23999999999</v>
      </c>
      <c r="L26" s="1" t="str">
        <f t="shared" si="2"/>
        <v/>
      </c>
      <c r="M26" s="1">
        <f>VLOOKUP(B26,'[1]Срок Годности'!$A$2:$B$4,2,0)</f>
        <v>500</v>
      </c>
      <c r="N26" s="60">
        <f t="shared" si="3"/>
        <v>736</v>
      </c>
      <c r="O26" s="1" t="str">
        <f t="shared" si="4"/>
        <v>25 2012</v>
      </c>
      <c r="P26" s="1">
        <f t="shared" si="5"/>
        <v>23</v>
      </c>
      <c r="Q26" s="1">
        <f t="shared" ca="1" si="6"/>
        <v>4053</v>
      </c>
      <c r="S26" s="1">
        <f t="shared" si="0"/>
        <v>1674</v>
      </c>
    </row>
    <row r="27" spans="1:19" x14ac:dyDescent="0.2">
      <c r="A27" s="57" t="s">
        <v>228</v>
      </c>
      <c r="B27" s="57" t="s">
        <v>225</v>
      </c>
      <c r="C27" s="57" t="s">
        <v>226</v>
      </c>
      <c r="D27" s="58">
        <v>317.08</v>
      </c>
      <c r="E27" s="59">
        <v>41081</v>
      </c>
      <c r="F27" s="58">
        <v>1674</v>
      </c>
      <c r="G27" s="58">
        <v>687</v>
      </c>
      <c r="H27" s="58">
        <v>608</v>
      </c>
      <c r="I27" s="58">
        <v>1752</v>
      </c>
      <c r="J27" s="58">
        <v>0</v>
      </c>
      <c r="K27" s="1">
        <f t="shared" si="1"/>
        <v>192784.63999999998</v>
      </c>
      <c r="L27" s="1" t="str">
        <f t="shared" si="2"/>
        <v/>
      </c>
      <c r="M27" s="1">
        <f>VLOOKUP(B27,'[1]Срок Годности'!$A$2:$B$4,2,0)</f>
        <v>500</v>
      </c>
      <c r="N27" s="60">
        <f t="shared" si="3"/>
        <v>687</v>
      </c>
      <c r="O27" s="1" t="str">
        <f t="shared" si="4"/>
        <v>25 2012</v>
      </c>
      <c r="P27" s="1">
        <f t="shared" si="5"/>
        <v>23</v>
      </c>
      <c r="Q27" s="1">
        <f t="shared" ca="1" si="6"/>
        <v>4052</v>
      </c>
      <c r="S27" s="1">
        <f t="shared" si="0"/>
        <v>1752</v>
      </c>
    </row>
    <row r="28" spans="1:19" x14ac:dyDescent="0.2">
      <c r="A28" s="57" t="s">
        <v>228</v>
      </c>
      <c r="B28" s="57" t="s">
        <v>225</v>
      </c>
      <c r="C28" s="57" t="s">
        <v>226</v>
      </c>
      <c r="D28" s="58">
        <v>317.08</v>
      </c>
      <c r="E28" s="59">
        <v>41082</v>
      </c>
      <c r="F28" s="58">
        <v>1752</v>
      </c>
      <c r="G28" s="58">
        <v>805</v>
      </c>
      <c r="H28" s="58">
        <v>598</v>
      </c>
      <c r="I28" s="58">
        <v>1957</v>
      </c>
      <c r="J28" s="58">
        <v>0</v>
      </c>
      <c r="K28" s="1">
        <f t="shared" si="1"/>
        <v>189613.84</v>
      </c>
      <c r="L28" s="1" t="str">
        <f t="shared" si="2"/>
        <v/>
      </c>
      <c r="M28" s="1">
        <f>VLOOKUP(B28,'[1]Срок Годности'!$A$2:$B$4,2,0)</f>
        <v>500</v>
      </c>
      <c r="N28" s="60">
        <f t="shared" si="3"/>
        <v>805</v>
      </c>
      <c r="O28" s="1" t="str">
        <f t="shared" si="4"/>
        <v>25 2012</v>
      </c>
      <c r="P28" s="1">
        <f t="shared" si="5"/>
        <v>23</v>
      </c>
      <c r="Q28" s="1">
        <f t="shared" ca="1" si="6"/>
        <v>4051</v>
      </c>
      <c r="S28" s="1">
        <f t="shared" si="0"/>
        <v>1957</v>
      </c>
    </row>
    <row r="29" spans="1:19" x14ac:dyDescent="0.2">
      <c r="A29" s="57" t="s">
        <v>228</v>
      </c>
      <c r="B29" s="57" t="s">
        <v>225</v>
      </c>
      <c r="C29" s="57" t="s">
        <v>226</v>
      </c>
      <c r="D29" s="58">
        <v>317.08</v>
      </c>
      <c r="E29" s="59">
        <v>41083</v>
      </c>
      <c r="F29" s="58">
        <v>1957</v>
      </c>
      <c r="G29" s="58">
        <v>627</v>
      </c>
      <c r="H29" s="58">
        <v>658</v>
      </c>
      <c r="I29" s="58">
        <v>1920</v>
      </c>
      <c r="J29" s="58">
        <v>0</v>
      </c>
      <c r="K29" s="1">
        <f t="shared" si="1"/>
        <v>208638.63999999998</v>
      </c>
      <c r="L29" s="1" t="str">
        <f t="shared" si="2"/>
        <v/>
      </c>
      <c r="M29" s="1">
        <f>VLOOKUP(B29,'[1]Срок Годности'!$A$2:$B$4,2,0)</f>
        <v>500</v>
      </c>
      <c r="N29" s="60">
        <f t="shared" si="3"/>
        <v>627</v>
      </c>
      <c r="O29" s="1" t="str">
        <f t="shared" si="4"/>
        <v>25 2012</v>
      </c>
      <c r="P29" s="1">
        <f t="shared" si="5"/>
        <v>23</v>
      </c>
      <c r="Q29" s="1">
        <f t="shared" ca="1" si="6"/>
        <v>4050</v>
      </c>
      <c r="S29" s="1">
        <f t="shared" si="0"/>
        <v>1920</v>
      </c>
    </row>
    <row r="30" spans="1:19" x14ac:dyDescent="0.2">
      <c r="A30" s="57" t="s">
        <v>228</v>
      </c>
      <c r="B30" s="57" t="s">
        <v>225</v>
      </c>
      <c r="C30" s="57" t="s">
        <v>226</v>
      </c>
      <c r="D30" s="58">
        <v>317.08</v>
      </c>
      <c r="E30" s="59">
        <v>41084</v>
      </c>
      <c r="F30" s="58">
        <v>1920</v>
      </c>
      <c r="G30" s="58">
        <v>648</v>
      </c>
      <c r="H30" s="58">
        <v>599</v>
      </c>
      <c r="I30" s="58">
        <v>1966</v>
      </c>
      <c r="J30" s="58">
        <v>0</v>
      </c>
      <c r="K30" s="1">
        <f t="shared" si="1"/>
        <v>189930.91999999998</v>
      </c>
      <c r="L30" s="1" t="str">
        <f t="shared" si="2"/>
        <v/>
      </c>
      <c r="M30" s="1">
        <f>VLOOKUP(B30,'[1]Срок Годности'!$A$2:$B$4,2,0)</f>
        <v>500</v>
      </c>
      <c r="N30" s="60">
        <f t="shared" si="3"/>
        <v>0</v>
      </c>
      <c r="O30" s="1" t="str">
        <f t="shared" si="4"/>
        <v>26 2012</v>
      </c>
      <c r="P30" s="1">
        <f t="shared" si="5"/>
        <v>23</v>
      </c>
      <c r="Q30" s="1">
        <f t="shared" ca="1" si="6"/>
        <v>4049</v>
      </c>
      <c r="S30" s="1">
        <f t="shared" si="0"/>
        <v>1966</v>
      </c>
    </row>
    <row r="31" spans="1:19" x14ac:dyDescent="0.2">
      <c r="A31" s="57" t="s">
        <v>228</v>
      </c>
      <c r="B31" s="57" t="s">
        <v>225</v>
      </c>
      <c r="C31" s="57" t="s">
        <v>226</v>
      </c>
      <c r="D31" s="58">
        <v>317.08</v>
      </c>
      <c r="E31" s="59">
        <v>41085</v>
      </c>
      <c r="F31" s="58">
        <v>1966</v>
      </c>
      <c r="G31" s="58">
        <v>628</v>
      </c>
      <c r="H31" s="58">
        <v>473</v>
      </c>
      <c r="I31" s="58">
        <v>2114</v>
      </c>
      <c r="J31" s="58">
        <v>0</v>
      </c>
      <c r="K31" s="1">
        <f t="shared" si="1"/>
        <v>149978.84</v>
      </c>
      <c r="L31" s="1" t="str">
        <f t="shared" si="2"/>
        <v/>
      </c>
      <c r="M31" s="1">
        <f>VLOOKUP(B31,'[1]Срок Годности'!$A$2:$B$4,2,0)</f>
        <v>500</v>
      </c>
      <c r="N31" s="60">
        <f t="shared" si="3"/>
        <v>628</v>
      </c>
      <c r="O31" s="1" t="str">
        <f t="shared" si="4"/>
        <v>26 2012</v>
      </c>
      <c r="P31" s="1">
        <f t="shared" si="5"/>
        <v>23</v>
      </c>
      <c r="Q31" s="1">
        <f t="shared" ca="1" si="6"/>
        <v>4048</v>
      </c>
      <c r="S31" s="1">
        <f t="shared" si="0"/>
        <v>2114</v>
      </c>
    </row>
    <row r="32" spans="1:19" x14ac:dyDescent="0.2">
      <c r="A32" s="57" t="s">
        <v>228</v>
      </c>
      <c r="B32" s="57" t="s">
        <v>225</v>
      </c>
      <c r="C32" s="57" t="s">
        <v>226</v>
      </c>
      <c r="D32" s="58">
        <v>317.08</v>
      </c>
      <c r="E32" s="59">
        <v>41086</v>
      </c>
      <c r="F32" s="58">
        <v>2114</v>
      </c>
      <c r="G32" s="58">
        <v>682</v>
      </c>
      <c r="H32" s="58">
        <v>491</v>
      </c>
      <c r="I32" s="58">
        <v>2297</v>
      </c>
      <c r="J32" s="58">
        <v>0</v>
      </c>
      <c r="K32" s="1">
        <f t="shared" si="1"/>
        <v>155686.28</v>
      </c>
      <c r="L32" s="1" t="str">
        <f t="shared" si="2"/>
        <v/>
      </c>
      <c r="M32" s="1">
        <f>VLOOKUP(B32,'[1]Срок Годности'!$A$2:$B$4,2,0)</f>
        <v>500</v>
      </c>
      <c r="N32" s="60">
        <f t="shared" si="3"/>
        <v>682</v>
      </c>
      <c r="O32" s="1" t="str">
        <f t="shared" si="4"/>
        <v>26 2012</v>
      </c>
      <c r="P32" s="1">
        <f t="shared" si="5"/>
        <v>23</v>
      </c>
      <c r="Q32" s="1">
        <f t="shared" ca="1" si="6"/>
        <v>4047</v>
      </c>
      <c r="S32" s="1">
        <f t="shared" si="0"/>
        <v>2297</v>
      </c>
    </row>
    <row r="33" spans="1:19" x14ac:dyDescent="0.2">
      <c r="A33" s="57" t="s">
        <v>228</v>
      </c>
      <c r="B33" s="57" t="s">
        <v>225</v>
      </c>
      <c r="C33" s="57" t="s">
        <v>226</v>
      </c>
      <c r="D33" s="58">
        <v>317.08</v>
      </c>
      <c r="E33" s="59">
        <v>41087</v>
      </c>
      <c r="F33" s="58">
        <v>2297</v>
      </c>
      <c r="G33" s="58">
        <v>519</v>
      </c>
      <c r="H33" s="58">
        <v>573</v>
      </c>
      <c r="I33" s="58">
        <v>2236</v>
      </c>
      <c r="J33" s="58">
        <v>0</v>
      </c>
      <c r="K33" s="1">
        <f t="shared" si="1"/>
        <v>181686.84</v>
      </c>
      <c r="L33" s="1" t="str">
        <f t="shared" si="2"/>
        <v/>
      </c>
      <c r="M33" s="1">
        <f>VLOOKUP(B33,'[1]Срок Годности'!$A$2:$B$4,2,0)</f>
        <v>500</v>
      </c>
      <c r="N33" s="60">
        <f t="shared" si="3"/>
        <v>519</v>
      </c>
      <c r="O33" s="1" t="str">
        <f t="shared" si="4"/>
        <v>26 2012</v>
      </c>
      <c r="P33" s="1">
        <f t="shared" si="5"/>
        <v>23</v>
      </c>
      <c r="Q33" s="1">
        <f t="shared" ca="1" si="6"/>
        <v>4046</v>
      </c>
      <c r="S33" s="1">
        <f t="shared" si="0"/>
        <v>2236</v>
      </c>
    </row>
    <row r="34" spans="1:19" x14ac:dyDescent="0.2">
      <c r="A34" s="57" t="s">
        <v>228</v>
      </c>
      <c r="B34" s="57" t="s">
        <v>225</v>
      </c>
      <c r="C34" s="57" t="s">
        <v>226</v>
      </c>
      <c r="D34" s="58">
        <v>317.08</v>
      </c>
      <c r="E34" s="59">
        <v>41088</v>
      </c>
      <c r="F34" s="58">
        <v>2236</v>
      </c>
      <c r="G34" s="58">
        <v>367</v>
      </c>
      <c r="H34" s="58">
        <v>573</v>
      </c>
      <c r="I34" s="58">
        <v>2025</v>
      </c>
      <c r="J34" s="58">
        <v>0</v>
      </c>
      <c r="K34" s="1">
        <f t="shared" si="1"/>
        <v>181686.84</v>
      </c>
      <c r="L34" s="1" t="str">
        <f t="shared" si="2"/>
        <v/>
      </c>
      <c r="M34" s="1">
        <f>VLOOKUP(B34,'[1]Срок Годности'!$A$2:$B$4,2,0)</f>
        <v>500</v>
      </c>
      <c r="N34" s="60">
        <f t="shared" si="3"/>
        <v>367</v>
      </c>
      <c r="O34" s="1" t="str">
        <f t="shared" si="4"/>
        <v>26 2012</v>
      </c>
      <c r="P34" s="1">
        <f t="shared" si="5"/>
        <v>23</v>
      </c>
      <c r="Q34" s="1">
        <f t="shared" ca="1" si="6"/>
        <v>4045</v>
      </c>
      <c r="S34" s="1">
        <f t="shared" si="0"/>
        <v>2025</v>
      </c>
    </row>
    <row r="35" spans="1:19" x14ac:dyDescent="0.2">
      <c r="A35" s="57" t="s">
        <v>228</v>
      </c>
      <c r="B35" s="57" t="s">
        <v>225</v>
      </c>
      <c r="C35" s="57" t="s">
        <v>226</v>
      </c>
      <c r="D35" s="58">
        <v>317.08</v>
      </c>
      <c r="E35" s="59">
        <v>41089</v>
      </c>
      <c r="F35" s="58">
        <v>2025</v>
      </c>
      <c r="G35" s="58">
        <v>336</v>
      </c>
      <c r="H35" s="58">
        <v>543</v>
      </c>
      <c r="I35" s="58">
        <v>1816</v>
      </c>
      <c r="J35" s="58">
        <v>0</v>
      </c>
      <c r="K35" s="1">
        <f t="shared" si="1"/>
        <v>172174.44</v>
      </c>
      <c r="L35" s="1" t="str">
        <f t="shared" si="2"/>
        <v/>
      </c>
      <c r="M35" s="1">
        <f>VLOOKUP(B35,'[1]Срок Годности'!$A$2:$B$4,2,0)</f>
        <v>500</v>
      </c>
      <c r="N35" s="60">
        <f t="shared" si="3"/>
        <v>336</v>
      </c>
      <c r="O35" s="1" t="str">
        <f t="shared" si="4"/>
        <v>26 2012</v>
      </c>
      <c r="P35" s="1">
        <f t="shared" si="5"/>
        <v>23</v>
      </c>
      <c r="Q35" s="1">
        <f t="shared" ca="1" si="6"/>
        <v>4044</v>
      </c>
      <c r="S35" s="1">
        <f t="shared" si="0"/>
        <v>1816</v>
      </c>
    </row>
    <row r="36" spans="1:19" x14ac:dyDescent="0.2">
      <c r="A36" s="57" t="s">
        <v>228</v>
      </c>
      <c r="B36" s="57" t="s">
        <v>225</v>
      </c>
      <c r="C36" s="57" t="s">
        <v>226</v>
      </c>
      <c r="D36" s="58">
        <v>317.08</v>
      </c>
      <c r="E36" s="59">
        <v>41090</v>
      </c>
      <c r="F36" s="58">
        <v>1816</v>
      </c>
      <c r="G36" s="58">
        <v>31</v>
      </c>
      <c r="H36" s="58">
        <v>537</v>
      </c>
      <c r="I36" s="58">
        <v>1299</v>
      </c>
      <c r="J36" s="58">
        <v>0</v>
      </c>
      <c r="K36" s="1">
        <f t="shared" si="1"/>
        <v>170271.96</v>
      </c>
      <c r="L36" s="1" t="str">
        <f t="shared" si="2"/>
        <v/>
      </c>
      <c r="M36" s="1">
        <f>VLOOKUP(B36,'[1]Срок Годности'!$A$2:$B$4,2,0)</f>
        <v>500</v>
      </c>
      <c r="N36" s="60">
        <f t="shared" si="3"/>
        <v>31</v>
      </c>
      <c r="O36" s="1" t="str">
        <f t="shared" si="4"/>
        <v>26 2012</v>
      </c>
      <c r="P36" s="1">
        <f t="shared" si="5"/>
        <v>23</v>
      </c>
      <c r="Q36" s="1">
        <f t="shared" ca="1" si="6"/>
        <v>4043</v>
      </c>
      <c r="S36" s="1">
        <f t="shared" si="0"/>
        <v>1299</v>
      </c>
    </row>
    <row r="37" spans="1:19" x14ac:dyDescent="0.2">
      <c r="A37" s="57" t="s">
        <v>228</v>
      </c>
      <c r="B37" s="57" t="s">
        <v>225</v>
      </c>
      <c r="C37" s="57" t="s">
        <v>226</v>
      </c>
      <c r="D37" s="58">
        <v>317.08</v>
      </c>
      <c r="E37" s="59">
        <v>41091</v>
      </c>
      <c r="F37" s="58">
        <v>1299</v>
      </c>
      <c r="G37" s="58">
        <v>908</v>
      </c>
      <c r="H37" s="58">
        <v>365</v>
      </c>
      <c r="I37" s="58">
        <v>1834</v>
      </c>
      <c r="J37" s="58">
        <v>0</v>
      </c>
      <c r="K37" s="1">
        <f t="shared" si="1"/>
        <v>115734.2</v>
      </c>
      <c r="L37" s="1" t="str">
        <f t="shared" si="2"/>
        <v/>
      </c>
      <c r="M37" s="1">
        <f>VLOOKUP(B37,'[1]Срок Годности'!$A$2:$B$4,2,0)</f>
        <v>500</v>
      </c>
      <c r="N37" s="60">
        <f t="shared" si="3"/>
        <v>0</v>
      </c>
      <c r="O37" s="1" t="str">
        <f t="shared" si="4"/>
        <v>27 2012</v>
      </c>
      <c r="P37" s="1">
        <f t="shared" si="5"/>
        <v>23</v>
      </c>
      <c r="Q37" s="1">
        <f t="shared" ca="1" si="6"/>
        <v>4042</v>
      </c>
      <c r="S37" s="1">
        <f t="shared" si="0"/>
        <v>1834</v>
      </c>
    </row>
    <row r="38" spans="1:19" x14ac:dyDescent="0.2">
      <c r="A38" s="57" t="s">
        <v>228</v>
      </c>
      <c r="B38" s="57" t="s">
        <v>225</v>
      </c>
      <c r="C38" s="57" t="s">
        <v>226</v>
      </c>
      <c r="D38" s="58">
        <v>317.08</v>
      </c>
      <c r="E38" s="59">
        <v>41092</v>
      </c>
      <c r="F38" s="58">
        <v>1834</v>
      </c>
      <c r="G38" s="58">
        <v>968</v>
      </c>
      <c r="H38" s="58">
        <v>507</v>
      </c>
      <c r="I38" s="58">
        <v>2296</v>
      </c>
      <c r="J38" s="58">
        <v>0</v>
      </c>
      <c r="K38" s="1">
        <f t="shared" si="1"/>
        <v>160759.56</v>
      </c>
      <c r="L38" s="1" t="str">
        <f t="shared" si="2"/>
        <v/>
      </c>
      <c r="M38" s="1">
        <f>VLOOKUP(B38,'[1]Срок Годности'!$A$2:$B$4,2,0)</f>
        <v>500</v>
      </c>
      <c r="N38" s="60">
        <f t="shared" si="3"/>
        <v>968</v>
      </c>
      <c r="O38" s="1" t="str">
        <f t="shared" si="4"/>
        <v>27 2012</v>
      </c>
      <c r="P38" s="1">
        <f t="shared" si="5"/>
        <v>23</v>
      </c>
      <c r="Q38" s="1">
        <f t="shared" ca="1" si="6"/>
        <v>4041</v>
      </c>
      <c r="S38" s="1">
        <f t="shared" si="0"/>
        <v>2296</v>
      </c>
    </row>
    <row r="39" spans="1:19" x14ac:dyDescent="0.2">
      <c r="A39" s="57" t="s">
        <v>228</v>
      </c>
      <c r="B39" s="57" t="s">
        <v>225</v>
      </c>
      <c r="C39" s="57" t="s">
        <v>226</v>
      </c>
      <c r="D39" s="58">
        <v>317.08</v>
      </c>
      <c r="E39" s="59">
        <v>41093</v>
      </c>
      <c r="F39" s="58">
        <v>2296</v>
      </c>
      <c r="G39" s="58">
        <v>47</v>
      </c>
      <c r="H39" s="58">
        <v>495</v>
      </c>
      <c r="I39" s="58">
        <v>1843</v>
      </c>
      <c r="J39" s="58">
        <v>0</v>
      </c>
      <c r="K39" s="1">
        <f t="shared" si="1"/>
        <v>156954.6</v>
      </c>
      <c r="L39" s="1" t="str">
        <f t="shared" si="2"/>
        <v/>
      </c>
      <c r="M39" s="1">
        <f>VLOOKUP(B39,'[1]Срок Годности'!$A$2:$B$4,2,0)</f>
        <v>500</v>
      </c>
      <c r="N39" s="60">
        <f t="shared" si="3"/>
        <v>47</v>
      </c>
      <c r="O39" s="1" t="str">
        <f t="shared" si="4"/>
        <v>27 2012</v>
      </c>
      <c r="P39" s="1">
        <f t="shared" si="5"/>
        <v>23</v>
      </c>
      <c r="Q39" s="1">
        <f t="shared" ca="1" si="6"/>
        <v>4040</v>
      </c>
      <c r="S39" s="1">
        <f t="shared" si="0"/>
        <v>1843</v>
      </c>
    </row>
    <row r="40" spans="1:19" x14ac:dyDescent="0.2">
      <c r="A40" s="57" t="s">
        <v>228</v>
      </c>
      <c r="B40" s="57" t="s">
        <v>225</v>
      </c>
      <c r="C40" s="57" t="s">
        <v>226</v>
      </c>
      <c r="D40" s="58">
        <v>317.08</v>
      </c>
      <c r="E40" s="59">
        <v>41094</v>
      </c>
      <c r="F40" s="58">
        <v>1843</v>
      </c>
      <c r="G40" s="58">
        <v>29</v>
      </c>
      <c r="H40" s="58">
        <v>379</v>
      </c>
      <c r="I40" s="58">
        <v>1489</v>
      </c>
      <c r="J40" s="58">
        <v>0</v>
      </c>
      <c r="K40" s="1">
        <f t="shared" si="1"/>
        <v>120173.31999999999</v>
      </c>
      <c r="L40" s="1" t="str">
        <f t="shared" si="2"/>
        <v/>
      </c>
      <c r="M40" s="1">
        <f>VLOOKUP(B40,'[1]Срок Годности'!$A$2:$B$4,2,0)</f>
        <v>500</v>
      </c>
      <c r="N40" s="60">
        <f t="shared" si="3"/>
        <v>29</v>
      </c>
      <c r="O40" s="1" t="str">
        <f t="shared" si="4"/>
        <v>27 2012</v>
      </c>
      <c r="P40" s="1">
        <f t="shared" si="5"/>
        <v>23</v>
      </c>
      <c r="Q40" s="1">
        <f t="shared" ca="1" si="6"/>
        <v>4039</v>
      </c>
      <c r="S40" s="1">
        <f t="shared" si="0"/>
        <v>1489</v>
      </c>
    </row>
    <row r="41" spans="1:19" x14ac:dyDescent="0.2">
      <c r="A41" s="57" t="s">
        <v>228</v>
      </c>
      <c r="B41" s="57" t="s">
        <v>225</v>
      </c>
      <c r="C41" s="57" t="s">
        <v>226</v>
      </c>
      <c r="D41" s="58">
        <v>317.08</v>
      </c>
      <c r="E41" s="59">
        <v>41095</v>
      </c>
      <c r="F41" s="58">
        <v>1489</v>
      </c>
      <c r="G41" s="58">
        <v>910</v>
      </c>
      <c r="H41" s="58">
        <v>323</v>
      </c>
      <c r="I41" s="58">
        <v>2073</v>
      </c>
      <c r="J41" s="58">
        <v>0</v>
      </c>
      <c r="K41" s="1">
        <f t="shared" si="1"/>
        <v>102416.84</v>
      </c>
      <c r="L41" s="1" t="str">
        <f t="shared" si="2"/>
        <v/>
      </c>
      <c r="M41" s="1">
        <f>VLOOKUP(B41,'[1]Срок Годности'!$A$2:$B$4,2,0)</f>
        <v>500</v>
      </c>
      <c r="N41" s="60">
        <f t="shared" si="3"/>
        <v>910</v>
      </c>
      <c r="O41" s="1" t="str">
        <f t="shared" si="4"/>
        <v>27 2012</v>
      </c>
      <c r="P41" s="1">
        <f t="shared" si="5"/>
        <v>23</v>
      </c>
      <c r="Q41" s="1">
        <f t="shared" ca="1" si="6"/>
        <v>4038</v>
      </c>
      <c r="S41" s="1">
        <f t="shared" si="0"/>
        <v>2073</v>
      </c>
    </row>
    <row r="42" spans="1:19" x14ac:dyDescent="0.2">
      <c r="A42" s="57" t="s">
        <v>228</v>
      </c>
      <c r="B42" s="57" t="s">
        <v>225</v>
      </c>
      <c r="C42" s="57" t="s">
        <v>226</v>
      </c>
      <c r="D42" s="58">
        <v>317.08</v>
      </c>
      <c r="E42" s="59">
        <v>41096</v>
      </c>
      <c r="F42" s="58">
        <v>2073</v>
      </c>
      <c r="G42" s="58">
        <v>674</v>
      </c>
      <c r="H42" s="58">
        <v>439</v>
      </c>
      <c r="I42" s="58">
        <v>2301</v>
      </c>
      <c r="J42" s="58">
        <v>0</v>
      </c>
      <c r="K42" s="1">
        <f t="shared" si="1"/>
        <v>139198.12</v>
      </c>
      <c r="L42" s="1" t="str">
        <f t="shared" si="2"/>
        <v/>
      </c>
      <c r="M42" s="1">
        <f>VLOOKUP(B42,'[1]Срок Годности'!$A$2:$B$4,2,0)</f>
        <v>500</v>
      </c>
      <c r="N42" s="60">
        <f t="shared" si="3"/>
        <v>674</v>
      </c>
      <c r="O42" s="1" t="str">
        <f t="shared" si="4"/>
        <v>27 2012</v>
      </c>
      <c r="P42" s="1">
        <f t="shared" si="5"/>
        <v>23</v>
      </c>
      <c r="Q42" s="1">
        <f t="shared" ca="1" si="6"/>
        <v>4037</v>
      </c>
      <c r="S42" s="1">
        <f t="shared" si="0"/>
        <v>2301</v>
      </c>
    </row>
    <row r="43" spans="1:19" x14ac:dyDescent="0.2">
      <c r="A43" s="57" t="s">
        <v>228</v>
      </c>
      <c r="B43" s="57" t="s">
        <v>225</v>
      </c>
      <c r="C43" s="57" t="s">
        <v>226</v>
      </c>
      <c r="D43" s="58">
        <v>317.08</v>
      </c>
      <c r="E43" s="59">
        <v>41097</v>
      </c>
      <c r="F43" s="58">
        <v>2301</v>
      </c>
      <c r="G43" s="58">
        <v>312</v>
      </c>
      <c r="H43" s="58">
        <v>562</v>
      </c>
      <c r="I43" s="58">
        <v>2049</v>
      </c>
      <c r="J43" s="58">
        <v>0</v>
      </c>
      <c r="K43" s="1">
        <f t="shared" si="1"/>
        <v>178198.96</v>
      </c>
      <c r="L43" s="1" t="str">
        <f t="shared" si="2"/>
        <v/>
      </c>
      <c r="M43" s="1">
        <f>VLOOKUP(B43,'[1]Срок Годности'!$A$2:$B$4,2,0)</f>
        <v>500</v>
      </c>
      <c r="N43" s="60">
        <f t="shared" si="3"/>
        <v>312</v>
      </c>
      <c r="O43" s="1" t="str">
        <f t="shared" si="4"/>
        <v>27 2012</v>
      </c>
      <c r="P43" s="1">
        <f t="shared" si="5"/>
        <v>23</v>
      </c>
      <c r="Q43" s="1">
        <f t="shared" ca="1" si="6"/>
        <v>4036</v>
      </c>
      <c r="S43" s="1">
        <f t="shared" si="0"/>
        <v>2049</v>
      </c>
    </row>
    <row r="44" spans="1:19" x14ac:dyDescent="0.2">
      <c r="A44" s="57" t="s">
        <v>228</v>
      </c>
      <c r="B44" s="57" t="s">
        <v>225</v>
      </c>
      <c r="C44" s="57" t="s">
        <v>226</v>
      </c>
      <c r="D44" s="58">
        <v>317.08</v>
      </c>
      <c r="E44" s="59">
        <v>41098</v>
      </c>
      <c r="F44" s="58">
        <v>2049</v>
      </c>
      <c r="G44" s="58">
        <v>317</v>
      </c>
      <c r="H44" s="58">
        <v>412</v>
      </c>
      <c r="I44" s="58">
        <v>1952</v>
      </c>
      <c r="J44" s="58">
        <v>0</v>
      </c>
      <c r="K44" s="1">
        <f t="shared" si="1"/>
        <v>130636.95999999999</v>
      </c>
      <c r="L44" s="1" t="str">
        <f t="shared" si="2"/>
        <v/>
      </c>
      <c r="M44" s="1">
        <f>VLOOKUP(B44,'[1]Срок Годности'!$A$2:$B$4,2,0)</f>
        <v>500</v>
      </c>
      <c r="N44" s="60">
        <f t="shared" si="3"/>
        <v>0</v>
      </c>
      <c r="O44" s="1" t="str">
        <f t="shared" si="4"/>
        <v>28 2012</v>
      </c>
      <c r="P44" s="1">
        <f t="shared" si="5"/>
        <v>23</v>
      </c>
      <c r="Q44" s="1">
        <f t="shared" ca="1" si="6"/>
        <v>4035</v>
      </c>
      <c r="S44" s="1">
        <f t="shared" si="0"/>
        <v>1952</v>
      </c>
    </row>
    <row r="45" spans="1:19" x14ac:dyDescent="0.2">
      <c r="A45" s="57" t="s">
        <v>228</v>
      </c>
      <c r="B45" s="57" t="s">
        <v>225</v>
      </c>
      <c r="C45" s="57" t="s">
        <v>226</v>
      </c>
      <c r="D45" s="58">
        <v>317.08</v>
      </c>
      <c r="E45" s="59">
        <v>41099</v>
      </c>
      <c r="F45" s="58">
        <v>1952</v>
      </c>
      <c r="G45" s="58">
        <v>506</v>
      </c>
      <c r="H45" s="58">
        <v>372</v>
      </c>
      <c r="I45" s="58">
        <v>2075</v>
      </c>
      <c r="J45" s="58">
        <v>0</v>
      </c>
      <c r="K45" s="1">
        <f t="shared" si="1"/>
        <v>117953.76</v>
      </c>
      <c r="L45" s="1" t="str">
        <f t="shared" si="2"/>
        <v/>
      </c>
      <c r="M45" s="1">
        <f>VLOOKUP(B45,'[1]Срок Годности'!$A$2:$B$4,2,0)</f>
        <v>500</v>
      </c>
      <c r="N45" s="60">
        <f t="shared" si="3"/>
        <v>506</v>
      </c>
      <c r="O45" s="1" t="str">
        <f t="shared" si="4"/>
        <v>28 2012</v>
      </c>
      <c r="P45" s="1">
        <f t="shared" si="5"/>
        <v>23</v>
      </c>
      <c r="Q45" s="1">
        <f t="shared" ca="1" si="6"/>
        <v>4034</v>
      </c>
      <c r="S45" s="1">
        <f t="shared" si="0"/>
        <v>2075</v>
      </c>
    </row>
    <row r="46" spans="1:19" x14ac:dyDescent="0.2">
      <c r="A46" s="57" t="s">
        <v>228</v>
      </c>
      <c r="B46" s="57" t="s">
        <v>225</v>
      </c>
      <c r="C46" s="57" t="s">
        <v>226</v>
      </c>
      <c r="D46" s="58">
        <v>317.08</v>
      </c>
      <c r="E46" s="59">
        <v>41100</v>
      </c>
      <c r="F46" s="58">
        <v>2075</v>
      </c>
      <c r="G46" s="58">
        <v>418</v>
      </c>
      <c r="H46" s="58">
        <v>363</v>
      </c>
      <c r="I46" s="58">
        <v>2121</v>
      </c>
      <c r="J46" s="58">
        <v>0</v>
      </c>
      <c r="K46" s="1">
        <f t="shared" si="1"/>
        <v>115100.04</v>
      </c>
      <c r="L46" s="1" t="str">
        <f t="shared" si="2"/>
        <v/>
      </c>
      <c r="M46" s="1">
        <f>VLOOKUP(B46,'[1]Срок Годности'!$A$2:$B$4,2,0)</f>
        <v>500</v>
      </c>
      <c r="N46" s="60">
        <f t="shared" si="3"/>
        <v>418</v>
      </c>
      <c r="O46" s="1" t="str">
        <f t="shared" si="4"/>
        <v>28 2012</v>
      </c>
      <c r="P46" s="1">
        <f t="shared" si="5"/>
        <v>23</v>
      </c>
      <c r="Q46" s="1">
        <f t="shared" ca="1" si="6"/>
        <v>4033</v>
      </c>
      <c r="S46" s="1">
        <f t="shared" si="0"/>
        <v>2121</v>
      </c>
    </row>
    <row r="47" spans="1:19" x14ac:dyDescent="0.2">
      <c r="A47" s="57" t="s">
        <v>228</v>
      </c>
      <c r="B47" s="57" t="s">
        <v>225</v>
      </c>
      <c r="C47" s="57" t="s">
        <v>226</v>
      </c>
      <c r="D47" s="58">
        <v>317.08</v>
      </c>
      <c r="E47" s="59">
        <v>41101</v>
      </c>
      <c r="F47" s="58">
        <v>2121</v>
      </c>
      <c r="G47" s="58">
        <v>334</v>
      </c>
      <c r="H47" s="58">
        <v>360</v>
      </c>
      <c r="I47" s="58">
        <v>2084</v>
      </c>
      <c r="J47" s="58">
        <v>0</v>
      </c>
      <c r="K47" s="1">
        <f t="shared" si="1"/>
        <v>114148.79999999999</v>
      </c>
      <c r="L47" s="1" t="str">
        <f t="shared" si="2"/>
        <v/>
      </c>
      <c r="M47" s="1">
        <f>VLOOKUP(B47,'[1]Срок Годности'!$A$2:$B$4,2,0)</f>
        <v>500</v>
      </c>
      <c r="N47" s="60">
        <f t="shared" si="3"/>
        <v>334</v>
      </c>
      <c r="O47" s="1" t="str">
        <f t="shared" si="4"/>
        <v>28 2012</v>
      </c>
      <c r="P47" s="1">
        <f t="shared" si="5"/>
        <v>23</v>
      </c>
      <c r="Q47" s="1">
        <f t="shared" ca="1" si="6"/>
        <v>4032</v>
      </c>
      <c r="S47" s="1">
        <f t="shared" si="0"/>
        <v>2084</v>
      </c>
    </row>
    <row r="48" spans="1:19" x14ac:dyDescent="0.2">
      <c r="A48" s="57" t="s">
        <v>228</v>
      </c>
      <c r="B48" s="57" t="s">
        <v>225</v>
      </c>
      <c r="C48" s="57" t="s">
        <v>226</v>
      </c>
      <c r="D48" s="58">
        <v>317.08</v>
      </c>
      <c r="E48" s="59">
        <v>41102</v>
      </c>
      <c r="F48" s="58">
        <v>2084</v>
      </c>
      <c r="G48" s="58">
        <v>255</v>
      </c>
      <c r="H48" s="58">
        <v>390</v>
      </c>
      <c r="I48" s="58">
        <v>1939</v>
      </c>
      <c r="J48" s="58">
        <v>0</v>
      </c>
      <c r="K48" s="1">
        <f t="shared" si="1"/>
        <v>123661.2</v>
      </c>
      <c r="L48" s="1" t="str">
        <f t="shared" si="2"/>
        <v/>
      </c>
      <c r="M48" s="1">
        <f>VLOOKUP(B48,'[1]Срок Годности'!$A$2:$B$4,2,0)</f>
        <v>500</v>
      </c>
      <c r="N48" s="60">
        <f t="shared" si="3"/>
        <v>255</v>
      </c>
      <c r="O48" s="1" t="str">
        <f t="shared" si="4"/>
        <v>28 2012</v>
      </c>
      <c r="P48" s="1">
        <f t="shared" si="5"/>
        <v>23</v>
      </c>
      <c r="Q48" s="1">
        <f t="shared" ca="1" si="6"/>
        <v>4031</v>
      </c>
      <c r="S48" s="1">
        <f t="shared" si="0"/>
        <v>1939</v>
      </c>
    </row>
    <row r="49" spans="1:19" x14ac:dyDescent="0.2">
      <c r="A49" s="57" t="s">
        <v>228</v>
      </c>
      <c r="B49" s="57" t="s">
        <v>225</v>
      </c>
      <c r="C49" s="57" t="s">
        <v>226</v>
      </c>
      <c r="D49" s="58">
        <v>317.08</v>
      </c>
      <c r="E49" s="59">
        <v>41103</v>
      </c>
      <c r="F49" s="58">
        <v>1939</v>
      </c>
      <c r="G49" s="58">
        <v>294</v>
      </c>
      <c r="H49" s="58">
        <v>350</v>
      </c>
      <c r="I49" s="58">
        <v>1882</v>
      </c>
      <c r="J49" s="58">
        <v>0</v>
      </c>
      <c r="K49" s="1">
        <f t="shared" si="1"/>
        <v>110978</v>
      </c>
      <c r="L49" s="1" t="str">
        <f t="shared" si="2"/>
        <v/>
      </c>
      <c r="M49" s="1">
        <f>VLOOKUP(B49,'[1]Срок Годности'!$A$2:$B$4,2,0)</f>
        <v>500</v>
      </c>
      <c r="N49" s="60">
        <f t="shared" si="3"/>
        <v>294</v>
      </c>
      <c r="O49" s="1" t="str">
        <f t="shared" si="4"/>
        <v>28 2012</v>
      </c>
      <c r="P49" s="1">
        <f t="shared" si="5"/>
        <v>23</v>
      </c>
      <c r="Q49" s="1">
        <f t="shared" ca="1" si="6"/>
        <v>4030</v>
      </c>
      <c r="S49" s="1">
        <f t="shared" si="0"/>
        <v>1882</v>
      </c>
    </row>
    <row r="50" spans="1:19" x14ac:dyDescent="0.2">
      <c r="A50" s="57" t="s">
        <v>228</v>
      </c>
      <c r="B50" s="57" t="s">
        <v>225</v>
      </c>
      <c r="C50" s="57" t="s">
        <v>226</v>
      </c>
      <c r="D50" s="58">
        <v>317.08</v>
      </c>
      <c r="E50" s="59">
        <v>41104</v>
      </c>
      <c r="F50" s="58">
        <v>1882</v>
      </c>
      <c r="G50" s="58">
        <v>285</v>
      </c>
      <c r="H50" s="58">
        <v>363</v>
      </c>
      <c r="I50" s="58">
        <v>1802</v>
      </c>
      <c r="J50" s="58">
        <v>0</v>
      </c>
      <c r="K50" s="1">
        <f t="shared" si="1"/>
        <v>115100.04</v>
      </c>
      <c r="L50" s="1" t="str">
        <f t="shared" si="2"/>
        <v/>
      </c>
      <c r="M50" s="1">
        <f>VLOOKUP(B50,'[1]Срок Годности'!$A$2:$B$4,2,0)</f>
        <v>500</v>
      </c>
      <c r="N50" s="60">
        <f t="shared" si="3"/>
        <v>285</v>
      </c>
      <c r="O50" s="1" t="str">
        <f t="shared" si="4"/>
        <v>28 2012</v>
      </c>
      <c r="P50" s="1">
        <f t="shared" si="5"/>
        <v>23</v>
      </c>
      <c r="Q50" s="1">
        <f t="shared" ca="1" si="6"/>
        <v>4029</v>
      </c>
      <c r="S50" s="1">
        <f t="shared" si="0"/>
        <v>1802</v>
      </c>
    </row>
    <row r="51" spans="1:19" x14ac:dyDescent="0.2">
      <c r="A51" s="57" t="s">
        <v>228</v>
      </c>
      <c r="B51" s="57" t="s">
        <v>225</v>
      </c>
      <c r="C51" s="57" t="s">
        <v>226</v>
      </c>
      <c r="D51" s="58">
        <v>317.08</v>
      </c>
      <c r="E51" s="59">
        <v>41105</v>
      </c>
      <c r="F51" s="58">
        <v>1802</v>
      </c>
      <c r="G51" s="58">
        <v>355</v>
      </c>
      <c r="H51" s="58">
        <v>388</v>
      </c>
      <c r="I51" s="58">
        <v>1763</v>
      </c>
      <c r="J51" s="58">
        <v>0</v>
      </c>
      <c r="K51" s="1">
        <f t="shared" si="1"/>
        <v>123027.04</v>
      </c>
      <c r="L51" s="1" t="str">
        <f t="shared" si="2"/>
        <v/>
      </c>
      <c r="M51" s="1">
        <f>VLOOKUP(B51,'[1]Срок Годности'!$A$2:$B$4,2,0)</f>
        <v>500</v>
      </c>
      <c r="N51" s="60">
        <f t="shared" si="3"/>
        <v>0</v>
      </c>
      <c r="O51" s="1" t="str">
        <f t="shared" si="4"/>
        <v>29 2012</v>
      </c>
      <c r="P51" s="1">
        <f t="shared" si="5"/>
        <v>23</v>
      </c>
      <c r="Q51" s="1">
        <f t="shared" ca="1" si="6"/>
        <v>4028</v>
      </c>
      <c r="S51" s="1">
        <f t="shared" si="0"/>
        <v>1763</v>
      </c>
    </row>
    <row r="52" spans="1:19" x14ac:dyDescent="0.2">
      <c r="A52" s="57" t="s">
        <v>228</v>
      </c>
      <c r="B52" s="57" t="s">
        <v>225</v>
      </c>
      <c r="C52" s="57" t="s">
        <v>226</v>
      </c>
      <c r="D52" s="58">
        <v>317.08</v>
      </c>
      <c r="E52" s="59">
        <v>41106</v>
      </c>
      <c r="F52" s="58">
        <v>1763</v>
      </c>
      <c r="G52" s="58">
        <v>285</v>
      </c>
      <c r="H52" s="58">
        <v>302</v>
      </c>
      <c r="I52" s="58">
        <v>1741</v>
      </c>
      <c r="J52" s="58">
        <v>0</v>
      </c>
      <c r="K52" s="1">
        <f t="shared" si="1"/>
        <v>95758.159999999989</v>
      </c>
      <c r="L52" s="1" t="str">
        <f t="shared" si="2"/>
        <v/>
      </c>
      <c r="M52" s="1">
        <f>VLOOKUP(B52,'[1]Срок Годности'!$A$2:$B$4,2,0)</f>
        <v>500</v>
      </c>
      <c r="N52" s="60">
        <f t="shared" si="3"/>
        <v>285</v>
      </c>
      <c r="O52" s="1" t="str">
        <f t="shared" si="4"/>
        <v>29 2012</v>
      </c>
      <c r="P52" s="1">
        <f t="shared" si="5"/>
        <v>23</v>
      </c>
      <c r="Q52" s="1">
        <f t="shared" ca="1" si="6"/>
        <v>4027</v>
      </c>
      <c r="S52" s="1">
        <f t="shared" si="0"/>
        <v>1741</v>
      </c>
    </row>
    <row r="53" spans="1:19" x14ac:dyDescent="0.2">
      <c r="A53" s="57" t="s">
        <v>228</v>
      </c>
      <c r="B53" s="57" t="s">
        <v>225</v>
      </c>
      <c r="C53" s="57" t="s">
        <v>226</v>
      </c>
      <c r="D53" s="58">
        <v>317.08</v>
      </c>
      <c r="E53" s="59">
        <v>41107</v>
      </c>
      <c r="F53" s="58">
        <v>1741</v>
      </c>
      <c r="G53" s="58">
        <v>304</v>
      </c>
      <c r="H53" s="58">
        <v>295</v>
      </c>
      <c r="I53" s="58">
        <v>1734</v>
      </c>
      <c r="J53" s="58">
        <v>0</v>
      </c>
      <c r="K53" s="1">
        <f t="shared" si="1"/>
        <v>93538.599999999991</v>
      </c>
      <c r="L53" s="1" t="str">
        <f t="shared" si="2"/>
        <v/>
      </c>
      <c r="M53" s="1">
        <f>VLOOKUP(B53,'[1]Срок Годности'!$A$2:$B$4,2,0)</f>
        <v>500</v>
      </c>
      <c r="N53" s="60">
        <f t="shared" si="3"/>
        <v>304</v>
      </c>
      <c r="O53" s="1" t="str">
        <f t="shared" si="4"/>
        <v>29 2012</v>
      </c>
      <c r="P53" s="1">
        <f t="shared" si="5"/>
        <v>23</v>
      </c>
      <c r="Q53" s="1">
        <f t="shared" ca="1" si="6"/>
        <v>4026</v>
      </c>
      <c r="S53" s="1">
        <f t="shared" si="0"/>
        <v>1734</v>
      </c>
    </row>
    <row r="54" spans="1:19" x14ac:dyDescent="0.2">
      <c r="A54" s="57" t="s">
        <v>228</v>
      </c>
      <c r="B54" s="57" t="s">
        <v>244</v>
      </c>
      <c r="C54" s="57" t="s">
        <v>245</v>
      </c>
      <c r="D54" s="58">
        <v>33.659999999999997</v>
      </c>
      <c r="E54" s="59">
        <v>41061</v>
      </c>
      <c r="F54" s="58">
        <v>87061</v>
      </c>
      <c r="G54" s="58">
        <v>15364</v>
      </c>
      <c r="H54" s="58">
        <v>18363</v>
      </c>
      <c r="I54" s="58">
        <v>83824</v>
      </c>
      <c r="J54" s="58">
        <v>3</v>
      </c>
      <c r="K54" s="1">
        <f t="shared" si="1"/>
        <v>618098.57999999996</v>
      </c>
      <c r="L54" s="1">
        <f t="shared" si="2"/>
        <v>18363</v>
      </c>
      <c r="M54" s="1">
        <f>VLOOKUP(B54,'[1]Срок Годности'!$A$2:$B$4,2,0)</f>
        <v>1500</v>
      </c>
      <c r="N54" s="60">
        <f t="shared" si="3"/>
        <v>15364</v>
      </c>
      <c r="O54" s="1" t="str">
        <f t="shared" si="4"/>
        <v>22 2012</v>
      </c>
      <c r="P54" s="1">
        <f t="shared" si="5"/>
        <v>21</v>
      </c>
      <c r="Q54" s="1">
        <f t="shared" ca="1" si="6"/>
        <v>4072</v>
      </c>
      <c r="S54" s="1">
        <f t="shared" si="0"/>
        <v>83821</v>
      </c>
    </row>
    <row r="55" spans="1:19" x14ac:dyDescent="0.2">
      <c r="A55" s="57" t="s">
        <v>228</v>
      </c>
      <c r="B55" s="57" t="s">
        <v>244</v>
      </c>
      <c r="C55" s="57" t="s">
        <v>245</v>
      </c>
      <c r="D55" s="58">
        <v>33.659999999999997</v>
      </c>
      <c r="E55" s="59">
        <v>41062</v>
      </c>
      <c r="F55" s="58">
        <v>83824</v>
      </c>
      <c r="G55" s="58">
        <v>11987</v>
      </c>
      <c r="H55" s="58">
        <v>19380</v>
      </c>
      <c r="I55" s="58">
        <v>76396</v>
      </c>
      <c r="J55" s="58">
        <v>0</v>
      </c>
      <c r="K55" s="1">
        <f t="shared" si="1"/>
        <v>652330.79999999993</v>
      </c>
      <c r="L55" s="1">
        <f t="shared" si="2"/>
        <v>19380</v>
      </c>
      <c r="M55" s="1">
        <f>VLOOKUP(B55,'[1]Срок Годности'!$A$2:$B$4,2,0)</f>
        <v>1500</v>
      </c>
      <c r="N55" s="60">
        <f t="shared" si="3"/>
        <v>11987</v>
      </c>
      <c r="O55" s="1" t="str">
        <f t="shared" si="4"/>
        <v>22 2012</v>
      </c>
      <c r="P55" s="1">
        <f t="shared" si="5"/>
        <v>21</v>
      </c>
      <c r="Q55" s="1">
        <f t="shared" ca="1" si="6"/>
        <v>4071</v>
      </c>
      <c r="S55" s="1">
        <f t="shared" si="0"/>
        <v>76396</v>
      </c>
    </row>
    <row r="56" spans="1:19" x14ac:dyDescent="0.2">
      <c r="A56" s="57" t="s">
        <v>228</v>
      </c>
      <c r="B56" s="57" t="s">
        <v>244</v>
      </c>
      <c r="C56" s="57" t="s">
        <v>245</v>
      </c>
      <c r="D56" s="58">
        <v>33.659999999999997</v>
      </c>
      <c r="E56" s="59">
        <v>41063</v>
      </c>
      <c r="F56" s="58">
        <v>76396</v>
      </c>
      <c r="G56" s="58">
        <v>25357</v>
      </c>
      <c r="H56" s="58">
        <v>19412</v>
      </c>
      <c r="I56" s="58">
        <v>82395</v>
      </c>
      <c r="J56" s="58">
        <v>0</v>
      </c>
      <c r="K56" s="1">
        <f t="shared" si="1"/>
        <v>653407.91999999993</v>
      </c>
      <c r="L56" s="1">
        <f t="shared" si="2"/>
        <v>19412</v>
      </c>
      <c r="M56" s="1">
        <f>VLOOKUP(B56,'[1]Срок Годности'!$A$2:$B$4,2,0)</f>
        <v>1500</v>
      </c>
      <c r="N56" s="60">
        <f t="shared" si="3"/>
        <v>0</v>
      </c>
      <c r="O56" s="1" t="str">
        <f t="shared" si="4"/>
        <v>23 2012</v>
      </c>
      <c r="P56" s="1">
        <f t="shared" si="5"/>
        <v>21</v>
      </c>
      <c r="Q56" s="1">
        <f t="shared" ca="1" si="6"/>
        <v>4070</v>
      </c>
      <c r="S56" s="1">
        <f t="shared" si="0"/>
        <v>82395</v>
      </c>
    </row>
    <row r="57" spans="1:19" x14ac:dyDescent="0.2">
      <c r="A57" s="57" t="s">
        <v>228</v>
      </c>
      <c r="B57" s="57" t="s">
        <v>244</v>
      </c>
      <c r="C57" s="57" t="s">
        <v>245</v>
      </c>
      <c r="D57" s="58">
        <v>33.659999999999997</v>
      </c>
      <c r="E57" s="59">
        <v>41064</v>
      </c>
      <c r="F57" s="58">
        <v>82395</v>
      </c>
      <c r="G57" s="58">
        <v>24695</v>
      </c>
      <c r="H57" s="58">
        <v>19067</v>
      </c>
      <c r="I57" s="58">
        <v>87954</v>
      </c>
      <c r="J57" s="58">
        <v>0</v>
      </c>
      <c r="K57" s="1">
        <f t="shared" si="1"/>
        <v>641795.22</v>
      </c>
      <c r="L57" s="1">
        <f t="shared" si="2"/>
        <v>19067</v>
      </c>
      <c r="M57" s="1">
        <f>VLOOKUP(B57,'[1]Срок Годности'!$A$2:$B$4,2,0)</f>
        <v>1500</v>
      </c>
      <c r="N57" s="60">
        <f t="shared" si="3"/>
        <v>24695</v>
      </c>
      <c r="O57" s="1" t="str">
        <f t="shared" si="4"/>
        <v>23 2012</v>
      </c>
      <c r="P57" s="1">
        <f t="shared" si="5"/>
        <v>21</v>
      </c>
      <c r="Q57" s="1">
        <f t="shared" ca="1" si="6"/>
        <v>4069</v>
      </c>
      <c r="S57" s="1">
        <f t="shared" si="0"/>
        <v>87954</v>
      </c>
    </row>
    <row r="58" spans="1:19" x14ac:dyDescent="0.2">
      <c r="A58" s="57" t="s">
        <v>228</v>
      </c>
      <c r="B58" s="57" t="s">
        <v>244</v>
      </c>
      <c r="C58" s="57" t="s">
        <v>245</v>
      </c>
      <c r="D58" s="58">
        <v>33.659999999999997</v>
      </c>
      <c r="E58" s="59">
        <v>41065</v>
      </c>
      <c r="F58" s="58">
        <v>87954</v>
      </c>
      <c r="G58" s="58">
        <v>9795</v>
      </c>
      <c r="H58" s="58">
        <v>17300</v>
      </c>
      <c r="I58" s="58">
        <v>80492</v>
      </c>
      <c r="J58" s="58">
        <v>0</v>
      </c>
      <c r="K58" s="1">
        <f t="shared" si="1"/>
        <v>582317.99999999988</v>
      </c>
      <c r="L58" s="1">
        <f t="shared" si="2"/>
        <v>17300</v>
      </c>
      <c r="M58" s="1">
        <f>VLOOKUP(B58,'[1]Срок Годности'!$A$2:$B$4,2,0)</f>
        <v>1500</v>
      </c>
      <c r="N58" s="60">
        <f t="shared" si="3"/>
        <v>9795</v>
      </c>
      <c r="O58" s="1" t="str">
        <f t="shared" si="4"/>
        <v>23 2012</v>
      </c>
      <c r="P58" s="1">
        <f t="shared" si="5"/>
        <v>21</v>
      </c>
      <c r="Q58" s="1">
        <f t="shared" ca="1" si="6"/>
        <v>4068</v>
      </c>
      <c r="S58" s="1">
        <f t="shared" si="0"/>
        <v>80492</v>
      </c>
    </row>
    <row r="59" spans="1:19" x14ac:dyDescent="0.2">
      <c r="A59" s="57" t="s">
        <v>228</v>
      </c>
      <c r="B59" s="57" t="s">
        <v>244</v>
      </c>
      <c r="C59" s="57" t="s">
        <v>245</v>
      </c>
      <c r="D59" s="58">
        <v>33.659999999999997</v>
      </c>
      <c r="E59" s="59">
        <v>41066</v>
      </c>
      <c r="F59" s="58">
        <v>80492</v>
      </c>
      <c r="G59" s="58">
        <v>25536</v>
      </c>
      <c r="H59" s="58">
        <v>16932</v>
      </c>
      <c r="I59" s="58">
        <v>88997</v>
      </c>
      <c r="J59" s="58">
        <v>4</v>
      </c>
      <c r="K59" s="1">
        <f t="shared" si="1"/>
        <v>569931.12</v>
      </c>
      <c r="L59" s="1">
        <f t="shared" si="2"/>
        <v>16932</v>
      </c>
      <c r="M59" s="1">
        <f>VLOOKUP(B59,'[1]Срок Годности'!$A$2:$B$4,2,0)</f>
        <v>1500</v>
      </c>
      <c r="N59" s="60">
        <f t="shared" si="3"/>
        <v>25536</v>
      </c>
      <c r="O59" s="1" t="str">
        <f t="shared" si="4"/>
        <v>23 2012</v>
      </c>
      <c r="P59" s="1">
        <f t="shared" si="5"/>
        <v>21</v>
      </c>
      <c r="Q59" s="1">
        <f t="shared" ca="1" si="6"/>
        <v>4067</v>
      </c>
      <c r="S59" s="1">
        <f t="shared" si="0"/>
        <v>88993</v>
      </c>
    </row>
    <row r="60" spans="1:19" x14ac:dyDescent="0.2">
      <c r="A60" s="57" t="s">
        <v>228</v>
      </c>
      <c r="B60" s="57" t="s">
        <v>244</v>
      </c>
      <c r="C60" s="57" t="s">
        <v>245</v>
      </c>
      <c r="D60" s="58">
        <v>33.659999999999997</v>
      </c>
      <c r="E60" s="59">
        <v>41067</v>
      </c>
      <c r="F60" s="58">
        <v>88997</v>
      </c>
      <c r="G60" s="58">
        <v>9399</v>
      </c>
      <c r="H60" s="58">
        <v>16551</v>
      </c>
      <c r="I60" s="58">
        <v>82251</v>
      </c>
      <c r="J60" s="58">
        <v>1</v>
      </c>
      <c r="K60" s="1">
        <f t="shared" si="1"/>
        <v>557106.65999999992</v>
      </c>
      <c r="L60" s="1">
        <f t="shared" si="2"/>
        <v>16551</v>
      </c>
      <c r="M60" s="1">
        <f>VLOOKUP(B60,'[1]Срок Годности'!$A$2:$B$4,2,0)</f>
        <v>1500</v>
      </c>
      <c r="N60" s="60">
        <f t="shared" si="3"/>
        <v>9399</v>
      </c>
      <c r="O60" s="1" t="str">
        <f t="shared" si="4"/>
        <v>23 2012</v>
      </c>
      <c r="P60" s="1">
        <f t="shared" si="5"/>
        <v>21</v>
      </c>
      <c r="Q60" s="1">
        <f t="shared" ca="1" si="6"/>
        <v>4066</v>
      </c>
      <c r="S60" s="1">
        <f t="shared" si="0"/>
        <v>82250</v>
      </c>
    </row>
    <row r="61" spans="1:19" x14ac:dyDescent="0.2">
      <c r="A61" s="57" t="s">
        <v>228</v>
      </c>
      <c r="B61" s="57" t="s">
        <v>244</v>
      </c>
      <c r="C61" s="57" t="s">
        <v>245</v>
      </c>
      <c r="D61" s="58">
        <v>33.659999999999997</v>
      </c>
      <c r="E61" s="59">
        <v>41068</v>
      </c>
      <c r="F61" s="58">
        <v>82251</v>
      </c>
      <c r="G61" s="58">
        <v>23195</v>
      </c>
      <c r="H61" s="58">
        <v>16542</v>
      </c>
      <c r="I61" s="58">
        <v>88515</v>
      </c>
      <c r="J61" s="58">
        <v>0</v>
      </c>
      <c r="K61" s="1">
        <f t="shared" si="1"/>
        <v>556803.72</v>
      </c>
      <c r="L61" s="1">
        <f t="shared" si="2"/>
        <v>16542</v>
      </c>
      <c r="M61" s="1">
        <f>VLOOKUP(B61,'[1]Срок Годности'!$A$2:$B$4,2,0)</f>
        <v>1500</v>
      </c>
      <c r="N61" s="60">
        <f t="shared" si="3"/>
        <v>23195</v>
      </c>
      <c r="O61" s="1" t="str">
        <f t="shared" si="4"/>
        <v>23 2012</v>
      </c>
      <c r="P61" s="1">
        <f t="shared" si="5"/>
        <v>21</v>
      </c>
      <c r="Q61" s="1">
        <f t="shared" ca="1" si="6"/>
        <v>4065</v>
      </c>
      <c r="S61" s="1">
        <f t="shared" si="0"/>
        <v>88515</v>
      </c>
    </row>
    <row r="62" spans="1:19" x14ac:dyDescent="0.2">
      <c r="A62" s="57" t="s">
        <v>228</v>
      </c>
      <c r="B62" s="57" t="s">
        <v>244</v>
      </c>
      <c r="C62" s="57" t="s">
        <v>245</v>
      </c>
      <c r="D62" s="58">
        <v>33.659999999999997</v>
      </c>
      <c r="E62" s="59">
        <v>41069</v>
      </c>
      <c r="F62" s="58">
        <v>88515</v>
      </c>
      <c r="G62" s="58">
        <v>6984</v>
      </c>
      <c r="H62" s="58">
        <v>16223</v>
      </c>
      <c r="I62" s="58">
        <v>79295</v>
      </c>
      <c r="J62" s="58">
        <v>0</v>
      </c>
      <c r="K62" s="1">
        <f t="shared" si="1"/>
        <v>546066.17999999993</v>
      </c>
      <c r="L62" s="1">
        <f t="shared" si="2"/>
        <v>16223</v>
      </c>
      <c r="M62" s="1">
        <f>VLOOKUP(B62,'[1]Срок Годности'!$A$2:$B$4,2,0)</f>
        <v>1500</v>
      </c>
      <c r="N62" s="60">
        <f t="shared" si="3"/>
        <v>6984</v>
      </c>
      <c r="O62" s="1" t="str">
        <f t="shared" si="4"/>
        <v>23 2012</v>
      </c>
      <c r="P62" s="1">
        <f t="shared" si="5"/>
        <v>21</v>
      </c>
      <c r="Q62" s="1">
        <f t="shared" ca="1" si="6"/>
        <v>4064</v>
      </c>
      <c r="S62" s="1">
        <f t="shared" si="0"/>
        <v>79295</v>
      </c>
    </row>
    <row r="63" spans="1:19" x14ac:dyDescent="0.2">
      <c r="A63" s="57" t="s">
        <v>228</v>
      </c>
      <c r="B63" s="57" t="s">
        <v>244</v>
      </c>
      <c r="C63" s="57" t="s">
        <v>245</v>
      </c>
      <c r="D63" s="58">
        <v>33.659999999999997</v>
      </c>
      <c r="E63" s="59">
        <v>41070</v>
      </c>
      <c r="F63" s="58">
        <v>79295</v>
      </c>
      <c r="G63" s="58">
        <v>8235</v>
      </c>
      <c r="H63" s="58">
        <v>15379</v>
      </c>
      <c r="I63" s="58">
        <v>72691</v>
      </c>
      <c r="J63" s="58">
        <v>0</v>
      </c>
      <c r="K63" s="1">
        <f t="shared" si="1"/>
        <v>517657.13999999996</v>
      </c>
      <c r="L63" s="1">
        <f t="shared" si="2"/>
        <v>15379</v>
      </c>
      <c r="M63" s="1">
        <f>VLOOKUP(B63,'[1]Срок Годности'!$A$2:$B$4,2,0)</f>
        <v>1500</v>
      </c>
      <c r="N63" s="60">
        <f t="shared" si="3"/>
        <v>0</v>
      </c>
      <c r="O63" s="1" t="str">
        <f t="shared" si="4"/>
        <v>24 2012</v>
      </c>
      <c r="P63" s="1">
        <f t="shared" si="5"/>
        <v>21</v>
      </c>
      <c r="Q63" s="1">
        <f t="shared" ca="1" si="6"/>
        <v>4063</v>
      </c>
      <c r="S63" s="1">
        <f t="shared" si="0"/>
        <v>72691</v>
      </c>
    </row>
    <row r="64" spans="1:19" x14ac:dyDescent="0.2">
      <c r="A64" s="57" t="s">
        <v>228</v>
      </c>
      <c r="B64" s="57" t="s">
        <v>244</v>
      </c>
      <c r="C64" s="57" t="s">
        <v>245</v>
      </c>
      <c r="D64" s="58">
        <v>33.659999999999997</v>
      </c>
      <c r="E64" s="59">
        <v>41071</v>
      </c>
      <c r="F64" s="58">
        <v>72691</v>
      </c>
      <c r="G64" s="58">
        <v>19356</v>
      </c>
      <c r="H64" s="58">
        <v>14979</v>
      </c>
      <c r="I64" s="58">
        <v>77077</v>
      </c>
      <c r="J64" s="58">
        <v>1</v>
      </c>
      <c r="K64" s="1">
        <f t="shared" si="1"/>
        <v>504193.13999999996</v>
      </c>
      <c r="L64" s="1">
        <f t="shared" si="2"/>
        <v>14979</v>
      </c>
      <c r="M64" s="1">
        <f>VLOOKUP(B64,'[1]Срок Годности'!$A$2:$B$4,2,0)</f>
        <v>1500</v>
      </c>
      <c r="N64" s="60">
        <f t="shared" si="3"/>
        <v>19356</v>
      </c>
      <c r="O64" s="1" t="str">
        <f t="shared" si="4"/>
        <v>24 2012</v>
      </c>
      <c r="P64" s="1">
        <f t="shared" si="5"/>
        <v>21</v>
      </c>
      <c r="Q64" s="1">
        <f t="shared" ca="1" si="6"/>
        <v>4062</v>
      </c>
      <c r="S64" s="1">
        <f t="shared" si="0"/>
        <v>77076</v>
      </c>
    </row>
    <row r="65" spans="1:19" x14ac:dyDescent="0.2">
      <c r="A65" s="57" t="s">
        <v>228</v>
      </c>
      <c r="B65" s="57" t="s">
        <v>244</v>
      </c>
      <c r="C65" s="57" t="s">
        <v>245</v>
      </c>
      <c r="D65" s="58">
        <v>33.659999999999997</v>
      </c>
      <c r="E65" s="59">
        <v>41072</v>
      </c>
      <c r="F65" s="58">
        <v>77077</v>
      </c>
      <c r="G65" s="58">
        <v>18124</v>
      </c>
      <c r="H65" s="58">
        <v>16580</v>
      </c>
      <c r="I65" s="58">
        <v>78908</v>
      </c>
      <c r="J65" s="58">
        <v>0</v>
      </c>
      <c r="K65" s="1">
        <f t="shared" si="1"/>
        <v>558082.79999999993</v>
      </c>
      <c r="L65" s="1">
        <f t="shared" si="2"/>
        <v>16580</v>
      </c>
      <c r="M65" s="1">
        <f>VLOOKUP(B65,'[1]Срок Годности'!$A$2:$B$4,2,0)</f>
        <v>1500</v>
      </c>
      <c r="N65" s="60">
        <f t="shared" si="3"/>
        <v>18124</v>
      </c>
      <c r="O65" s="1" t="str">
        <f t="shared" si="4"/>
        <v>24 2012</v>
      </c>
      <c r="P65" s="1">
        <f t="shared" si="5"/>
        <v>21</v>
      </c>
      <c r="Q65" s="1">
        <f t="shared" ca="1" si="6"/>
        <v>4061</v>
      </c>
      <c r="S65" s="1">
        <f t="shared" si="0"/>
        <v>78908</v>
      </c>
    </row>
    <row r="66" spans="1:19" x14ac:dyDescent="0.2">
      <c r="A66" s="57" t="s">
        <v>228</v>
      </c>
      <c r="B66" s="57" t="s">
        <v>244</v>
      </c>
      <c r="C66" s="57" t="s">
        <v>245</v>
      </c>
      <c r="D66" s="58">
        <v>33.659999999999997</v>
      </c>
      <c r="E66" s="59">
        <v>41073</v>
      </c>
      <c r="F66" s="58">
        <v>78908</v>
      </c>
      <c r="G66" s="58">
        <v>19966</v>
      </c>
      <c r="H66" s="58">
        <v>17352</v>
      </c>
      <c r="I66" s="58">
        <v>82219</v>
      </c>
      <c r="J66" s="58">
        <v>1</v>
      </c>
      <c r="K66" s="1">
        <f t="shared" si="1"/>
        <v>584068.31999999995</v>
      </c>
      <c r="L66" s="1">
        <f t="shared" si="2"/>
        <v>17352</v>
      </c>
      <c r="M66" s="1">
        <f>VLOOKUP(B66,'[1]Срок Годности'!$A$2:$B$4,2,0)</f>
        <v>1500</v>
      </c>
      <c r="N66" s="60">
        <f t="shared" si="3"/>
        <v>19966</v>
      </c>
      <c r="O66" s="1" t="str">
        <f t="shared" si="4"/>
        <v>24 2012</v>
      </c>
      <c r="P66" s="1">
        <f t="shared" si="5"/>
        <v>21</v>
      </c>
      <c r="Q66" s="1">
        <f t="shared" ca="1" si="6"/>
        <v>4060</v>
      </c>
      <c r="S66" s="1">
        <f t="shared" si="0"/>
        <v>82218</v>
      </c>
    </row>
    <row r="67" spans="1:19" x14ac:dyDescent="0.2">
      <c r="A67" s="57" t="s">
        <v>228</v>
      </c>
      <c r="B67" s="57" t="s">
        <v>244</v>
      </c>
      <c r="C67" s="57" t="s">
        <v>245</v>
      </c>
      <c r="D67" s="58">
        <v>33.659999999999997</v>
      </c>
      <c r="E67" s="59">
        <v>41074</v>
      </c>
      <c r="F67" s="58">
        <v>82219</v>
      </c>
      <c r="G67" s="58">
        <v>6023</v>
      </c>
      <c r="H67" s="58">
        <v>15518</v>
      </c>
      <c r="I67" s="58">
        <v>73467</v>
      </c>
      <c r="J67" s="58">
        <v>3</v>
      </c>
      <c r="K67" s="1">
        <f t="shared" si="1"/>
        <v>522335.87999999995</v>
      </c>
      <c r="L67" s="1">
        <f t="shared" si="2"/>
        <v>15518</v>
      </c>
      <c r="M67" s="1">
        <f>VLOOKUP(B67,'[1]Срок Годности'!$A$2:$B$4,2,0)</f>
        <v>1500</v>
      </c>
      <c r="N67" s="60">
        <f t="shared" si="3"/>
        <v>6023</v>
      </c>
      <c r="O67" s="1" t="str">
        <f t="shared" si="4"/>
        <v>24 2012</v>
      </c>
      <c r="P67" s="1">
        <f t="shared" si="5"/>
        <v>21</v>
      </c>
      <c r="Q67" s="1">
        <f t="shared" ca="1" si="6"/>
        <v>4059</v>
      </c>
      <c r="S67" s="1">
        <f t="shared" si="0"/>
        <v>73464</v>
      </c>
    </row>
    <row r="68" spans="1:19" x14ac:dyDescent="0.2">
      <c r="A68" s="57" t="s">
        <v>228</v>
      </c>
      <c r="B68" s="57" t="s">
        <v>244</v>
      </c>
      <c r="C68" s="57" t="s">
        <v>245</v>
      </c>
      <c r="D68" s="58">
        <v>33.659999999999997</v>
      </c>
      <c r="E68" s="59">
        <v>41075</v>
      </c>
      <c r="F68" s="58">
        <v>73467</v>
      </c>
      <c r="G68" s="58">
        <v>19571</v>
      </c>
      <c r="H68" s="58">
        <v>16750</v>
      </c>
      <c r="I68" s="58">
        <v>76537</v>
      </c>
      <c r="J68" s="58">
        <v>1</v>
      </c>
      <c r="K68" s="1">
        <f t="shared" si="1"/>
        <v>563805</v>
      </c>
      <c r="L68" s="1">
        <f t="shared" si="2"/>
        <v>16750</v>
      </c>
      <c r="M68" s="1">
        <f>VLOOKUP(B68,'[1]Срок Годности'!$A$2:$B$4,2,0)</f>
        <v>1500</v>
      </c>
      <c r="N68" s="60">
        <f t="shared" si="3"/>
        <v>19571</v>
      </c>
      <c r="O68" s="1" t="str">
        <f t="shared" si="4"/>
        <v>24 2012</v>
      </c>
      <c r="P68" s="1">
        <f t="shared" si="5"/>
        <v>21</v>
      </c>
      <c r="Q68" s="1">
        <f t="shared" ca="1" si="6"/>
        <v>4058</v>
      </c>
      <c r="S68" s="1">
        <f t="shared" si="0"/>
        <v>76536</v>
      </c>
    </row>
    <row r="69" spans="1:19" x14ac:dyDescent="0.2">
      <c r="A69" s="57" t="s">
        <v>228</v>
      </c>
      <c r="B69" s="57" t="s">
        <v>244</v>
      </c>
      <c r="C69" s="57" t="s">
        <v>245</v>
      </c>
      <c r="D69" s="58">
        <v>33.659999999999997</v>
      </c>
      <c r="E69" s="59">
        <v>41076</v>
      </c>
      <c r="F69" s="58">
        <v>76537</v>
      </c>
      <c r="G69" s="58">
        <v>5572</v>
      </c>
      <c r="H69" s="58">
        <v>17369</v>
      </c>
      <c r="I69" s="58">
        <v>65830</v>
      </c>
      <c r="J69" s="58">
        <v>2</v>
      </c>
      <c r="K69" s="1">
        <f t="shared" si="1"/>
        <v>584640.53999999992</v>
      </c>
      <c r="L69" s="1">
        <f t="shared" si="2"/>
        <v>17369</v>
      </c>
      <c r="M69" s="1">
        <f>VLOOKUP(B69,'[1]Срок Годности'!$A$2:$B$4,2,0)</f>
        <v>1500</v>
      </c>
      <c r="N69" s="60">
        <f t="shared" si="3"/>
        <v>5572</v>
      </c>
      <c r="O69" s="1" t="str">
        <f t="shared" si="4"/>
        <v>24 2012</v>
      </c>
      <c r="P69" s="1">
        <f t="shared" si="5"/>
        <v>21</v>
      </c>
      <c r="Q69" s="1">
        <f t="shared" ca="1" si="6"/>
        <v>4057</v>
      </c>
      <c r="S69" s="1">
        <f t="shared" si="0"/>
        <v>65828</v>
      </c>
    </row>
    <row r="70" spans="1:19" x14ac:dyDescent="0.2">
      <c r="A70" s="57" t="s">
        <v>228</v>
      </c>
      <c r="B70" s="57" t="s">
        <v>244</v>
      </c>
      <c r="C70" s="57" t="s">
        <v>245</v>
      </c>
      <c r="D70" s="58">
        <v>33.659999999999997</v>
      </c>
      <c r="E70" s="59">
        <v>41077</v>
      </c>
      <c r="F70" s="58">
        <v>65830</v>
      </c>
      <c r="G70" s="58">
        <v>30605</v>
      </c>
      <c r="H70" s="58">
        <v>17431</v>
      </c>
      <c r="I70" s="58">
        <v>79599</v>
      </c>
      <c r="J70" s="58">
        <v>0</v>
      </c>
      <c r="K70" s="1">
        <f t="shared" si="1"/>
        <v>586727.46</v>
      </c>
      <c r="L70" s="1">
        <f t="shared" si="2"/>
        <v>17431</v>
      </c>
      <c r="M70" s="1">
        <f>VLOOKUP(B70,'[1]Срок Годности'!$A$2:$B$4,2,0)</f>
        <v>1500</v>
      </c>
      <c r="N70" s="60">
        <f t="shared" si="3"/>
        <v>0</v>
      </c>
      <c r="O70" s="1" t="str">
        <f t="shared" si="4"/>
        <v>25 2012</v>
      </c>
      <c r="P70" s="1">
        <f t="shared" si="5"/>
        <v>21</v>
      </c>
      <c r="Q70" s="1">
        <f t="shared" ca="1" si="6"/>
        <v>4056</v>
      </c>
      <c r="S70" s="1">
        <f t="shared" si="0"/>
        <v>79599</v>
      </c>
    </row>
    <row r="71" spans="1:19" x14ac:dyDescent="0.2">
      <c r="A71" s="57" t="s">
        <v>228</v>
      </c>
      <c r="B71" s="57" t="s">
        <v>244</v>
      </c>
      <c r="C71" s="57" t="s">
        <v>245</v>
      </c>
      <c r="D71" s="58">
        <v>33.659999999999997</v>
      </c>
      <c r="E71" s="59">
        <v>41078</v>
      </c>
      <c r="F71" s="58">
        <v>79599</v>
      </c>
      <c r="G71" s="58">
        <v>20794</v>
      </c>
      <c r="H71" s="58">
        <v>19450</v>
      </c>
      <c r="I71" s="58">
        <v>81033</v>
      </c>
      <c r="J71" s="58">
        <v>2</v>
      </c>
      <c r="K71" s="1">
        <f t="shared" si="1"/>
        <v>654686.99999999988</v>
      </c>
      <c r="L71" s="1">
        <f t="shared" si="2"/>
        <v>19450</v>
      </c>
      <c r="M71" s="1">
        <f>VLOOKUP(B71,'[1]Срок Годности'!$A$2:$B$4,2,0)</f>
        <v>1500</v>
      </c>
      <c r="N71" s="60">
        <f t="shared" si="3"/>
        <v>20794</v>
      </c>
      <c r="O71" s="1" t="str">
        <f t="shared" si="4"/>
        <v>25 2012</v>
      </c>
      <c r="P71" s="1">
        <f t="shared" si="5"/>
        <v>21</v>
      </c>
      <c r="Q71" s="1">
        <f t="shared" ca="1" si="6"/>
        <v>4055</v>
      </c>
      <c r="S71" s="1">
        <f t="shared" ref="S71:S134" si="7">I71-J71</f>
        <v>81031</v>
      </c>
    </row>
    <row r="72" spans="1:19" x14ac:dyDescent="0.2">
      <c r="A72" s="57" t="s">
        <v>228</v>
      </c>
      <c r="B72" s="57" t="s">
        <v>244</v>
      </c>
      <c r="C72" s="57" t="s">
        <v>245</v>
      </c>
      <c r="D72" s="58">
        <v>33.659999999999997</v>
      </c>
      <c r="E72" s="59">
        <v>41079</v>
      </c>
      <c r="F72" s="58">
        <v>81033</v>
      </c>
      <c r="G72" s="58">
        <v>22997</v>
      </c>
      <c r="H72" s="58">
        <v>21045</v>
      </c>
      <c r="I72" s="58">
        <v>82781</v>
      </c>
      <c r="J72" s="58">
        <v>1</v>
      </c>
      <c r="K72" s="1">
        <f t="shared" ref="K72:K135" si="8">H72*D72</f>
        <v>708374.7</v>
      </c>
      <c r="L72" s="1">
        <f t="shared" ref="L72:L135" si="9">IF(H72&gt;1000,H72,"")</f>
        <v>21045</v>
      </c>
      <c r="M72" s="1">
        <f>VLOOKUP(B72,'[1]Срок Годности'!$A$2:$B$4,2,0)</f>
        <v>1500</v>
      </c>
      <c r="N72" s="60">
        <f t="shared" ref="N72:N135" si="10">IF(WEEKDAY(E72) = 1, 0, G72)</f>
        <v>22997</v>
      </c>
      <c r="O72" s="1" t="str">
        <f t="shared" ref="O72:O135" si="11">WEEKNUM(E72) &amp; " " &amp; YEAR(E72)</f>
        <v>25 2012</v>
      </c>
      <c r="P72" s="1">
        <f t="shared" ref="P72:P135" si="12">LEN(C72)</f>
        <v>21</v>
      </c>
      <c r="Q72" s="1">
        <f t="shared" ref="Q72:Q135" ca="1" si="13">DATEDIF(E72,NOW(),"D")</f>
        <v>4054</v>
      </c>
      <c r="S72" s="1">
        <f t="shared" si="7"/>
        <v>82780</v>
      </c>
    </row>
    <row r="73" spans="1:19" x14ac:dyDescent="0.2">
      <c r="A73" s="57" t="s">
        <v>228</v>
      </c>
      <c r="B73" s="57" t="s">
        <v>244</v>
      </c>
      <c r="C73" s="57" t="s">
        <v>245</v>
      </c>
      <c r="D73" s="58">
        <v>33.659999999999997</v>
      </c>
      <c r="E73" s="59">
        <v>41080</v>
      </c>
      <c r="F73" s="58">
        <v>82781</v>
      </c>
      <c r="G73" s="58">
        <v>15960</v>
      </c>
      <c r="H73" s="58">
        <v>20298</v>
      </c>
      <c r="I73" s="58">
        <v>78586</v>
      </c>
      <c r="J73" s="58">
        <v>0</v>
      </c>
      <c r="K73" s="1">
        <f t="shared" si="8"/>
        <v>683230.67999999993</v>
      </c>
      <c r="L73" s="1">
        <f t="shared" si="9"/>
        <v>20298</v>
      </c>
      <c r="M73" s="1">
        <f>VLOOKUP(B73,'[1]Срок Годности'!$A$2:$B$4,2,0)</f>
        <v>1500</v>
      </c>
      <c r="N73" s="60">
        <f t="shared" si="10"/>
        <v>15960</v>
      </c>
      <c r="O73" s="1" t="str">
        <f t="shared" si="11"/>
        <v>25 2012</v>
      </c>
      <c r="P73" s="1">
        <f t="shared" si="12"/>
        <v>21</v>
      </c>
      <c r="Q73" s="1">
        <f t="shared" ca="1" si="13"/>
        <v>4053</v>
      </c>
      <c r="S73" s="1">
        <f t="shared" si="7"/>
        <v>78586</v>
      </c>
    </row>
    <row r="74" spans="1:19" x14ac:dyDescent="0.2">
      <c r="A74" s="57" t="s">
        <v>228</v>
      </c>
      <c r="B74" s="57" t="s">
        <v>244</v>
      </c>
      <c r="C74" s="57" t="s">
        <v>245</v>
      </c>
      <c r="D74" s="58">
        <v>33.659999999999997</v>
      </c>
      <c r="E74" s="59">
        <v>41081</v>
      </c>
      <c r="F74" s="58">
        <v>78586</v>
      </c>
      <c r="G74" s="58">
        <v>2368</v>
      </c>
      <c r="H74" s="58">
        <v>18581</v>
      </c>
      <c r="I74" s="58">
        <v>62514</v>
      </c>
      <c r="J74" s="58">
        <v>5</v>
      </c>
      <c r="K74" s="1">
        <f t="shared" si="8"/>
        <v>625436.46</v>
      </c>
      <c r="L74" s="1">
        <f t="shared" si="9"/>
        <v>18581</v>
      </c>
      <c r="M74" s="1">
        <f>VLOOKUP(B74,'[1]Срок Годности'!$A$2:$B$4,2,0)</f>
        <v>1500</v>
      </c>
      <c r="N74" s="60">
        <f t="shared" si="10"/>
        <v>2368</v>
      </c>
      <c r="O74" s="1" t="str">
        <f t="shared" si="11"/>
        <v>25 2012</v>
      </c>
      <c r="P74" s="1">
        <f t="shared" si="12"/>
        <v>21</v>
      </c>
      <c r="Q74" s="1">
        <f t="shared" ca="1" si="13"/>
        <v>4052</v>
      </c>
      <c r="S74" s="1">
        <f t="shared" si="7"/>
        <v>62509</v>
      </c>
    </row>
    <row r="75" spans="1:19" x14ac:dyDescent="0.2">
      <c r="A75" s="57" t="s">
        <v>228</v>
      </c>
      <c r="B75" s="57" t="s">
        <v>244</v>
      </c>
      <c r="C75" s="57" t="s">
        <v>245</v>
      </c>
      <c r="D75" s="58">
        <v>33.659999999999997</v>
      </c>
      <c r="E75" s="59">
        <v>41082</v>
      </c>
      <c r="F75" s="58">
        <v>62514</v>
      </c>
      <c r="G75" s="58">
        <v>15049</v>
      </c>
      <c r="H75" s="58">
        <v>16621</v>
      </c>
      <c r="I75" s="58">
        <v>61689</v>
      </c>
      <c r="J75" s="58">
        <v>3</v>
      </c>
      <c r="K75" s="1">
        <f t="shared" si="8"/>
        <v>559462.86</v>
      </c>
      <c r="L75" s="1">
        <f t="shared" si="9"/>
        <v>16621</v>
      </c>
      <c r="M75" s="1">
        <f>VLOOKUP(B75,'[1]Срок Годности'!$A$2:$B$4,2,0)</f>
        <v>1500</v>
      </c>
      <c r="N75" s="60">
        <f t="shared" si="10"/>
        <v>15049</v>
      </c>
      <c r="O75" s="1" t="str">
        <f t="shared" si="11"/>
        <v>25 2012</v>
      </c>
      <c r="P75" s="1">
        <f t="shared" si="12"/>
        <v>21</v>
      </c>
      <c r="Q75" s="1">
        <f t="shared" ca="1" si="13"/>
        <v>4051</v>
      </c>
      <c r="S75" s="1">
        <f t="shared" si="7"/>
        <v>61686</v>
      </c>
    </row>
    <row r="76" spans="1:19" x14ac:dyDescent="0.2">
      <c r="A76" s="57" t="s">
        <v>228</v>
      </c>
      <c r="B76" s="57" t="s">
        <v>244</v>
      </c>
      <c r="C76" s="57" t="s">
        <v>245</v>
      </c>
      <c r="D76" s="58">
        <v>33.659999999999997</v>
      </c>
      <c r="E76" s="59">
        <v>41083</v>
      </c>
      <c r="F76" s="58">
        <v>61689</v>
      </c>
      <c r="G76" s="58">
        <v>6153</v>
      </c>
      <c r="H76" s="58">
        <v>14971</v>
      </c>
      <c r="I76" s="58">
        <v>53988</v>
      </c>
      <c r="J76" s="58">
        <v>0</v>
      </c>
      <c r="K76" s="1">
        <f t="shared" si="8"/>
        <v>503923.85999999993</v>
      </c>
      <c r="L76" s="1">
        <f t="shared" si="9"/>
        <v>14971</v>
      </c>
      <c r="M76" s="1">
        <f>VLOOKUP(B76,'[1]Срок Годности'!$A$2:$B$4,2,0)</f>
        <v>1500</v>
      </c>
      <c r="N76" s="60">
        <f t="shared" si="10"/>
        <v>6153</v>
      </c>
      <c r="O76" s="1" t="str">
        <f t="shared" si="11"/>
        <v>25 2012</v>
      </c>
      <c r="P76" s="1">
        <f t="shared" si="12"/>
        <v>21</v>
      </c>
      <c r="Q76" s="1">
        <f t="shared" ca="1" si="13"/>
        <v>4050</v>
      </c>
      <c r="S76" s="1">
        <f t="shared" si="7"/>
        <v>53988</v>
      </c>
    </row>
    <row r="77" spans="1:19" x14ac:dyDescent="0.2">
      <c r="A77" s="57" t="s">
        <v>228</v>
      </c>
      <c r="B77" s="57" t="s">
        <v>244</v>
      </c>
      <c r="C77" s="57" t="s">
        <v>245</v>
      </c>
      <c r="D77" s="58">
        <v>33.659999999999997</v>
      </c>
      <c r="E77" s="59">
        <v>41084</v>
      </c>
      <c r="F77" s="58">
        <v>53988</v>
      </c>
      <c r="G77" s="58">
        <v>6594</v>
      </c>
      <c r="H77" s="58">
        <v>14204</v>
      </c>
      <c r="I77" s="58">
        <v>49265</v>
      </c>
      <c r="J77" s="58">
        <v>1</v>
      </c>
      <c r="K77" s="1">
        <f t="shared" si="8"/>
        <v>478106.63999999996</v>
      </c>
      <c r="L77" s="1">
        <f t="shared" si="9"/>
        <v>14204</v>
      </c>
      <c r="M77" s="1">
        <f>VLOOKUP(B77,'[1]Срок Годности'!$A$2:$B$4,2,0)</f>
        <v>1500</v>
      </c>
      <c r="N77" s="60">
        <f t="shared" si="10"/>
        <v>0</v>
      </c>
      <c r="O77" s="1" t="str">
        <f t="shared" si="11"/>
        <v>26 2012</v>
      </c>
      <c r="P77" s="1">
        <f t="shared" si="12"/>
        <v>21</v>
      </c>
      <c r="Q77" s="1">
        <f t="shared" ca="1" si="13"/>
        <v>4049</v>
      </c>
      <c r="S77" s="1">
        <f t="shared" si="7"/>
        <v>49264</v>
      </c>
    </row>
    <row r="78" spans="1:19" x14ac:dyDescent="0.2">
      <c r="A78" s="57" t="s">
        <v>228</v>
      </c>
      <c r="B78" s="57" t="s">
        <v>244</v>
      </c>
      <c r="C78" s="57" t="s">
        <v>245</v>
      </c>
      <c r="D78" s="58">
        <v>33.659999999999997</v>
      </c>
      <c r="E78" s="59">
        <v>41085</v>
      </c>
      <c r="F78" s="58">
        <v>49265</v>
      </c>
      <c r="G78" s="58">
        <v>4137</v>
      </c>
      <c r="H78" s="58">
        <v>12852</v>
      </c>
      <c r="I78" s="58">
        <v>43917</v>
      </c>
      <c r="J78" s="58">
        <v>2</v>
      </c>
      <c r="K78" s="1">
        <f t="shared" si="8"/>
        <v>432598.31999999995</v>
      </c>
      <c r="L78" s="1">
        <f t="shared" si="9"/>
        <v>12852</v>
      </c>
      <c r="M78" s="1">
        <f>VLOOKUP(B78,'[1]Срок Годности'!$A$2:$B$4,2,0)</f>
        <v>1500</v>
      </c>
      <c r="N78" s="60">
        <f t="shared" si="10"/>
        <v>4137</v>
      </c>
      <c r="O78" s="1" t="str">
        <f t="shared" si="11"/>
        <v>26 2012</v>
      </c>
      <c r="P78" s="1">
        <f t="shared" si="12"/>
        <v>21</v>
      </c>
      <c r="Q78" s="1">
        <f t="shared" ca="1" si="13"/>
        <v>4048</v>
      </c>
      <c r="S78" s="1">
        <f t="shared" si="7"/>
        <v>43915</v>
      </c>
    </row>
    <row r="79" spans="1:19" x14ac:dyDescent="0.2">
      <c r="A79" s="57" t="s">
        <v>228</v>
      </c>
      <c r="B79" s="57" t="s">
        <v>244</v>
      </c>
      <c r="C79" s="57" t="s">
        <v>245</v>
      </c>
      <c r="D79" s="58">
        <v>33.659999999999997</v>
      </c>
      <c r="E79" s="59">
        <v>41086</v>
      </c>
      <c r="F79" s="58">
        <v>43917</v>
      </c>
      <c r="G79" s="58">
        <v>2904</v>
      </c>
      <c r="H79" s="58">
        <v>10806</v>
      </c>
      <c r="I79" s="58">
        <v>39323</v>
      </c>
      <c r="J79" s="58">
        <v>0</v>
      </c>
      <c r="K79" s="1">
        <f t="shared" si="8"/>
        <v>363729.95999999996</v>
      </c>
      <c r="L79" s="1">
        <f t="shared" si="9"/>
        <v>10806</v>
      </c>
      <c r="M79" s="1">
        <f>VLOOKUP(B79,'[1]Срок Годности'!$A$2:$B$4,2,0)</f>
        <v>1500</v>
      </c>
      <c r="N79" s="60">
        <f t="shared" si="10"/>
        <v>2904</v>
      </c>
      <c r="O79" s="1" t="str">
        <f t="shared" si="11"/>
        <v>26 2012</v>
      </c>
      <c r="P79" s="1">
        <f t="shared" si="12"/>
        <v>21</v>
      </c>
      <c r="Q79" s="1">
        <f t="shared" ca="1" si="13"/>
        <v>4047</v>
      </c>
      <c r="S79" s="1">
        <f t="shared" si="7"/>
        <v>39323</v>
      </c>
    </row>
    <row r="80" spans="1:19" x14ac:dyDescent="0.2">
      <c r="A80" s="57" t="s">
        <v>228</v>
      </c>
      <c r="B80" s="57" t="s">
        <v>244</v>
      </c>
      <c r="C80" s="57" t="s">
        <v>245</v>
      </c>
      <c r="D80" s="58">
        <v>33.659999999999997</v>
      </c>
      <c r="E80" s="59">
        <v>41087</v>
      </c>
      <c r="F80" s="58">
        <v>39323</v>
      </c>
      <c r="G80" s="58">
        <v>18028</v>
      </c>
      <c r="H80" s="58">
        <v>12122</v>
      </c>
      <c r="I80" s="58">
        <v>47247</v>
      </c>
      <c r="J80" s="58">
        <v>2</v>
      </c>
      <c r="K80" s="1">
        <f t="shared" si="8"/>
        <v>408026.51999999996</v>
      </c>
      <c r="L80" s="1">
        <f t="shared" si="9"/>
        <v>12122</v>
      </c>
      <c r="M80" s="1">
        <f>VLOOKUP(B80,'[1]Срок Годности'!$A$2:$B$4,2,0)</f>
        <v>1500</v>
      </c>
      <c r="N80" s="60">
        <f t="shared" si="10"/>
        <v>18028</v>
      </c>
      <c r="O80" s="1" t="str">
        <f t="shared" si="11"/>
        <v>26 2012</v>
      </c>
      <c r="P80" s="1">
        <f t="shared" si="12"/>
        <v>21</v>
      </c>
      <c r="Q80" s="1">
        <f t="shared" ca="1" si="13"/>
        <v>4046</v>
      </c>
      <c r="S80" s="1">
        <f t="shared" si="7"/>
        <v>47245</v>
      </c>
    </row>
    <row r="81" spans="1:19" x14ac:dyDescent="0.2">
      <c r="A81" s="57" t="s">
        <v>228</v>
      </c>
      <c r="B81" s="57" t="s">
        <v>244</v>
      </c>
      <c r="C81" s="57" t="s">
        <v>245</v>
      </c>
      <c r="D81" s="58">
        <v>33.659999999999997</v>
      </c>
      <c r="E81" s="59">
        <v>41088</v>
      </c>
      <c r="F81" s="58">
        <v>47247</v>
      </c>
      <c r="G81" s="58">
        <v>19314</v>
      </c>
      <c r="H81" s="58">
        <v>13949</v>
      </c>
      <c r="I81" s="58">
        <v>54104</v>
      </c>
      <c r="J81" s="58">
        <v>2</v>
      </c>
      <c r="K81" s="1">
        <f t="shared" si="8"/>
        <v>469523.33999999997</v>
      </c>
      <c r="L81" s="1">
        <f t="shared" si="9"/>
        <v>13949</v>
      </c>
      <c r="M81" s="1">
        <f>VLOOKUP(B81,'[1]Срок Годности'!$A$2:$B$4,2,0)</f>
        <v>1500</v>
      </c>
      <c r="N81" s="60">
        <f t="shared" si="10"/>
        <v>19314</v>
      </c>
      <c r="O81" s="1" t="str">
        <f t="shared" si="11"/>
        <v>26 2012</v>
      </c>
      <c r="P81" s="1">
        <f t="shared" si="12"/>
        <v>21</v>
      </c>
      <c r="Q81" s="1">
        <f t="shared" ca="1" si="13"/>
        <v>4045</v>
      </c>
      <c r="S81" s="1">
        <f t="shared" si="7"/>
        <v>54102</v>
      </c>
    </row>
    <row r="82" spans="1:19" x14ac:dyDescent="0.2">
      <c r="A82" s="57" t="s">
        <v>228</v>
      </c>
      <c r="B82" s="57" t="s">
        <v>244</v>
      </c>
      <c r="C82" s="57" t="s">
        <v>245</v>
      </c>
      <c r="D82" s="58">
        <v>33.659999999999997</v>
      </c>
      <c r="E82" s="59">
        <v>41089</v>
      </c>
      <c r="F82" s="58">
        <v>54104</v>
      </c>
      <c r="G82" s="58">
        <v>18042</v>
      </c>
      <c r="H82" s="58">
        <v>15954</v>
      </c>
      <c r="I82" s="58">
        <v>57275</v>
      </c>
      <c r="J82" s="58">
        <v>1</v>
      </c>
      <c r="K82" s="1">
        <f t="shared" si="8"/>
        <v>537011.6399999999</v>
      </c>
      <c r="L82" s="1">
        <f t="shared" si="9"/>
        <v>15954</v>
      </c>
      <c r="M82" s="1">
        <f>VLOOKUP(B82,'[1]Срок Годности'!$A$2:$B$4,2,0)</f>
        <v>1500</v>
      </c>
      <c r="N82" s="60">
        <f t="shared" si="10"/>
        <v>18042</v>
      </c>
      <c r="O82" s="1" t="str">
        <f t="shared" si="11"/>
        <v>26 2012</v>
      </c>
      <c r="P82" s="1">
        <f t="shared" si="12"/>
        <v>21</v>
      </c>
      <c r="Q82" s="1">
        <f t="shared" ca="1" si="13"/>
        <v>4044</v>
      </c>
      <c r="S82" s="1">
        <f t="shared" si="7"/>
        <v>57274</v>
      </c>
    </row>
    <row r="83" spans="1:19" x14ac:dyDescent="0.2">
      <c r="A83" s="57" t="s">
        <v>228</v>
      </c>
      <c r="B83" s="57" t="s">
        <v>244</v>
      </c>
      <c r="C83" s="57" t="s">
        <v>245</v>
      </c>
      <c r="D83" s="58">
        <v>33.659999999999997</v>
      </c>
      <c r="E83" s="59">
        <v>41090</v>
      </c>
      <c r="F83" s="58">
        <v>57275</v>
      </c>
      <c r="G83" s="58">
        <v>24755</v>
      </c>
      <c r="H83" s="58">
        <v>16855</v>
      </c>
      <c r="I83" s="58">
        <v>66616</v>
      </c>
      <c r="J83" s="58">
        <v>9</v>
      </c>
      <c r="K83" s="1">
        <f t="shared" si="8"/>
        <v>567339.29999999993</v>
      </c>
      <c r="L83" s="1">
        <f t="shared" si="9"/>
        <v>16855</v>
      </c>
      <c r="M83" s="1">
        <f>VLOOKUP(B83,'[1]Срок Годности'!$A$2:$B$4,2,0)</f>
        <v>1500</v>
      </c>
      <c r="N83" s="60">
        <f t="shared" si="10"/>
        <v>24755</v>
      </c>
      <c r="O83" s="1" t="str">
        <f t="shared" si="11"/>
        <v>26 2012</v>
      </c>
      <c r="P83" s="1">
        <f t="shared" si="12"/>
        <v>21</v>
      </c>
      <c r="Q83" s="1">
        <f t="shared" ca="1" si="13"/>
        <v>4043</v>
      </c>
      <c r="S83" s="1">
        <f t="shared" si="7"/>
        <v>66607</v>
      </c>
    </row>
    <row r="84" spans="1:19" x14ac:dyDescent="0.2">
      <c r="A84" s="57" t="s">
        <v>228</v>
      </c>
      <c r="B84" s="57" t="s">
        <v>244</v>
      </c>
      <c r="C84" s="57" t="s">
        <v>245</v>
      </c>
      <c r="D84" s="58">
        <v>33.659999999999997</v>
      </c>
      <c r="E84" s="59">
        <v>41091</v>
      </c>
      <c r="F84" s="58">
        <v>66616</v>
      </c>
      <c r="G84" s="58">
        <v>22687</v>
      </c>
      <c r="H84" s="58">
        <v>16998</v>
      </c>
      <c r="I84" s="58">
        <v>72815</v>
      </c>
      <c r="J84" s="58">
        <v>7</v>
      </c>
      <c r="K84" s="1">
        <f t="shared" si="8"/>
        <v>572152.67999999993</v>
      </c>
      <c r="L84" s="1">
        <f t="shared" si="9"/>
        <v>16998</v>
      </c>
      <c r="M84" s="1">
        <f>VLOOKUP(B84,'[1]Срок Годности'!$A$2:$B$4,2,0)</f>
        <v>1500</v>
      </c>
      <c r="N84" s="60">
        <f t="shared" si="10"/>
        <v>0</v>
      </c>
      <c r="O84" s="1" t="str">
        <f t="shared" si="11"/>
        <v>27 2012</v>
      </c>
      <c r="P84" s="1">
        <f t="shared" si="12"/>
        <v>21</v>
      </c>
      <c r="Q84" s="1">
        <f t="shared" ca="1" si="13"/>
        <v>4042</v>
      </c>
      <c r="S84" s="1">
        <f t="shared" si="7"/>
        <v>72808</v>
      </c>
    </row>
    <row r="85" spans="1:19" x14ac:dyDescent="0.2">
      <c r="A85" s="57" t="s">
        <v>228</v>
      </c>
      <c r="B85" s="57" t="s">
        <v>244</v>
      </c>
      <c r="C85" s="57" t="s">
        <v>245</v>
      </c>
      <c r="D85" s="58">
        <v>33.659999999999997</v>
      </c>
      <c r="E85" s="59">
        <v>41092</v>
      </c>
      <c r="F85" s="58">
        <v>72815</v>
      </c>
      <c r="G85" s="58">
        <v>22685</v>
      </c>
      <c r="H85" s="58">
        <v>16853</v>
      </c>
      <c r="I85" s="58">
        <v>79702</v>
      </c>
      <c r="J85" s="58">
        <v>2</v>
      </c>
      <c r="K85" s="1">
        <f t="shared" si="8"/>
        <v>567271.98</v>
      </c>
      <c r="L85" s="1">
        <f t="shared" si="9"/>
        <v>16853</v>
      </c>
      <c r="M85" s="1">
        <f>VLOOKUP(B85,'[1]Срок Годности'!$A$2:$B$4,2,0)</f>
        <v>1500</v>
      </c>
      <c r="N85" s="60">
        <f t="shared" si="10"/>
        <v>22685</v>
      </c>
      <c r="O85" s="1" t="str">
        <f t="shared" si="11"/>
        <v>27 2012</v>
      </c>
      <c r="P85" s="1">
        <f t="shared" si="12"/>
        <v>21</v>
      </c>
      <c r="Q85" s="1">
        <f t="shared" ca="1" si="13"/>
        <v>4041</v>
      </c>
      <c r="S85" s="1">
        <f t="shared" si="7"/>
        <v>79700</v>
      </c>
    </row>
    <row r="86" spans="1:19" x14ac:dyDescent="0.2">
      <c r="A86" s="57" t="s">
        <v>228</v>
      </c>
      <c r="B86" s="57" t="s">
        <v>244</v>
      </c>
      <c r="C86" s="57" t="s">
        <v>245</v>
      </c>
      <c r="D86" s="58">
        <v>33.659999999999997</v>
      </c>
      <c r="E86" s="59">
        <v>41093</v>
      </c>
      <c r="F86" s="58">
        <v>79702</v>
      </c>
      <c r="G86" s="58">
        <v>23500</v>
      </c>
      <c r="H86" s="58">
        <v>17098</v>
      </c>
      <c r="I86" s="58">
        <v>86665</v>
      </c>
      <c r="J86" s="58">
        <v>2</v>
      </c>
      <c r="K86" s="1">
        <f t="shared" si="8"/>
        <v>575518.67999999993</v>
      </c>
      <c r="L86" s="1">
        <f t="shared" si="9"/>
        <v>17098</v>
      </c>
      <c r="M86" s="1">
        <f>VLOOKUP(B86,'[1]Срок Годности'!$A$2:$B$4,2,0)</f>
        <v>1500</v>
      </c>
      <c r="N86" s="60">
        <f t="shared" si="10"/>
        <v>23500</v>
      </c>
      <c r="O86" s="1" t="str">
        <f t="shared" si="11"/>
        <v>27 2012</v>
      </c>
      <c r="P86" s="1">
        <f t="shared" si="12"/>
        <v>21</v>
      </c>
      <c r="Q86" s="1">
        <f t="shared" ca="1" si="13"/>
        <v>4040</v>
      </c>
      <c r="S86" s="1">
        <f t="shared" si="7"/>
        <v>86663</v>
      </c>
    </row>
    <row r="87" spans="1:19" x14ac:dyDescent="0.2">
      <c r="A87" s="57" t="s">
        <v>228</v>
      </c>
      <c r="B87" s="57" t="s">
        <v>244</v>
      </c>
      <c r="C87" s="57" t="s">
        <v>245</v>
      </c>
      <c r="D87" s="58">
        <v>33.659999999999997</v>
      </c>
      <c r="E87" s="59">
        <v>41094</v>
      </c>
      <c r="F87" s="58">
        <v>86665</v>
      </c>
      <c r="G87" s="58">
        <v>23042</v>
      </c>
      <c r="H87" s="58">
        <v>16406</v>
      </c>
      <c r="I87" s="58">
        <v>94042</v>
      </c>
      <c r="J87" s="58">
        <v>1</v>
      </c>
      <c r="K87" s="1">
        <f t="shared" si="8"/>
        <v>552225.96</v>
      </c>
      <c r="L87" s="1">
        <f t="shared" si="9"/>
        <v>16406</v>
      </c>
      <c r="M87" s="1">
        <f>VLOOKUP(B87,'[1]Срок Годности'!$A$2:$B$4,2,0)</f>
        <v>1500</v>
      </c>
      <c r="N87" s="60">
        <f t="shared" si="10"/>
        <v>23042</v>
      </c>
      <c r="O87" s="1" t="str">
        <f t="shared" si="11"/>
        <v>27 2012</v>
      </c>
      <c r="P87" s="1">
        <f t="shared" si="12"/>
        <v>21</v>
      </c>
      <c r="Q87" s="1">
        <f t="shared" ca="1" si="13"/>
        <v>4039</v>
      </c>
      <c r="S87" s="1">
        <f t="shared" si="7"/>
        <v>94041</v>
      </c>
    </row>
    <row r="88" spans="1:19" x14ac:dyDescent="0.2">
      <c r="A88" s="57" t="s">
        <v>228</v>
      </c>
      <c r="B88" s="57" t="s">
        <v>244</v>
      </c>
      <c r="C88" s="57" t="s">
        <v>245</v>
      </c>
      <c r="D88" s="58">
        <v>33.659999999999997</v>
      </c>
      <c r="E88" s="59">
        <v>41095</v>
      </c>
      <c r="F88" s="58">
        <v>94042</v>
      </c>
      <c r="G88" s="58">
        <v>21087</v>
      </c>
      <c r="H88" s="58">
        <v>15999</v>
      </c>
      <c r="I88" s="58">
        <v>99514</v>
      </c>
      <c r="J88" s="58">
        <v>4</v>
      </c>
      <c r="K88" s="1">
        <f t="shared" si="8"/>
        <v>538526.34</v>
      </c>
      <c r="L88" s="1">
        <f t="shared" si="9"/>
        <v>15999</v>
      </c>
      <c r="M88" s="1">
        <f>VLOOKUP(B88,'[1]Срок Годности'!$A$2:$B$4,2,0)</f>
        <v>1500</v>
      </c>
      <c r="N88" s="60">
        <f t="shared" si="10"/>
        <v>21087</v>
      </c>
      <c r="O88" s="1" t="str">
        <f t="shared" si="11"/>
        <v>27 2012</v>
      </c>
      <c r="P88" s="1">
        <f t="shared" si="12"/>
        <v>21</v>
      </c>
      <c r="Q88" s="1">
        <f t="shared" ca="1" si="13"/>
        <v>4038</v>
      </c>
      <c r="S88" s="1">
        <f t="shared" si="7"/>
        <v>99510</v>
      </c>
    </row>
    <row r="89" spans="1:19" x14ac:dyDescent="0.2">
      <c r="A89" s="57" t="s">
        <v>228</v>
      </c>
      <c r="B89" s="57" t="s">
        <v>244</v>
      </c>
      <c r="C89" s="57" t="s">
        <v>245</v>
      </c>
      <c r="D89" s="58">
        <v>33.659999999999997</v>
      </c>
      <c r="E89" s="59">
        <v>41096</v>
      </c>
      <c r="F89" s="58">
        <v>99514</v>
      </c>
      <c r="G89" s="58">
        <v>19022</v>
      </c>
      <c r="H89" s="58">
        <v>15619</v>
      </c>
      <c r="I89" s="58">
        <v>103263</v>
      </c>
      <c r="J89" s="58">
        <v>0</v>
      </c>
      <c r="K89" s="1">
        <f t="shared" si="8"/>
        <v>525735.53999999992</v>
      </c>
      <c r="L89" s="1">
        <f t="shared" si="9"/>
        <v>15619</v>
      </c>
      <c r="M89" s="1">
        <f>VLOOKUP(B89,'[1]Срок Годности'!$A$2:$B$4,2,0)</f>
        <v>1500</v>
      </c>
      <c r="N89" s="60">
        <f t="shared" si="10"/>
        <v>19022</v>
      </c>
      <c r="O89" s="1" t="str">
        <f t="shared" si="11"/>
        <v>27 2012</v>
      </c>
      <c r="P89" s="1">
        <f t="shared" si="12"/>
        <v>21</v>
      </c>
      <c r="Q89" s="1">
        <f t="shared" ca="1" si="13"/>
        <v>4037</v>
      </c>
      <c r="S89" s="1">
        <f t="shared" si="7"/>
        <v>103263</v>
      </c>
    </row>
    <row r="90" spans="1:19" x14ac:dyDescent="0.2">
      <c r="A90" s="57" t="s">
        <v>228</v>
      </c>
      <c r="B90" s="57" t="s">
        <v>244</v>
      </c>
      <c r="C90" s="57" t="s">
        <v>245</v>
      </c>
      <c r="D90" s="58">
        <v>33.659999999999997</v>
      </c>
      <c r="E90" s="59">
        <v>41097</v>
      </c>
      <c r="F90" s="58">
        <v>103263</v>
      </c>
      <c r="G90" s="58">
        <v>15890</v>
      </c>
      <c r="H90" s="58">
        <v>16165</v>
      </c>
      <c r="I90" s="58">
        <v>103203</v>
      </c>
      <c r="J90" s="58">
        <v>0</v>
      </c>
      <c r="K90" s="1">
        <f t="shared" si="8"/>
        <v>544113.89999999991</v>
      </c>
      <c r="L90" s="1">
        <f t="shared" si="9"/>
        <v>16165</v>
      </c>
      <c r="M90" s="1">
        <f>VLOOKUP(B90,'[1]Срок Годности'!$A$2:$B$4,2,0)</f>
        <v>1500</v>
      </c>
      <c r="N90" s="60">
        <f t="shared" si="10"/>
        <v>15890</v>
      </c>
      <c r="O90" s="1" t="str">
        <f t="shared" si="11"/>
        <v>27 2012</v>
      </c>
      <c r="P90" s="1">
        <f t="shared" si="12"/>
        <v>21</v>
      </c>
      <c r="Q90" s="1">
        <f t="shared" ca="1" si="13"/>
        <v>4036</v>
      </c>
      <c r="S90" s="1">
        <f t="shared" si="7"/>
        <v>103203</v>
      </c>
    </row>
    <row r="91" spans="1:19" x14ac:dyDescent="0.2">
      <c r="A91" s="57" t="s">
        <v>228</v>
      </c>
      <c r="B91" s="57" t="s">
        <v>244</v>
      </c>
      <c r="C91" s="57" t="s">
        <v>245</v>
      </c>
      <c r="D91" s="58">
        <v>33.659999999999997</v>
      </c>
      <c r="E91" s="59">
        <v>41098</v>
      </c>
      <c r="F91" s="58">
        <v>103203</v>
      </c>
      <c r="G91" s="58">
        <v>15091</v>
      </c>
      <c r="H91" s="58">
        <v>14038</v>
      </c>
      <c r="I91" s="58">
        <v>104689</v>
      </c>
      <c r="J91" s="58">
        <v>1</v>
      </c>
      <c r="K91" s="1">
        <f t="shared" si="8"/>
        <v>472519.07999999996</v>
      </c>
      <c r="L91" s="1">
        <f t="shared" si="9"/>
        <v>14038</v>
      </c>
      <c r="M91" s="1">
        <f>VLOOKUP(B91,'[1]Срок Годности'!$A$2:$B$4,2,0)</f>
        <v>1500</v>
      </c>
      <c r="N91" s="60">
        <f t="shared" si="10"/>
        <v>0</v>
      </c>
      <c r="O91" s="1" t="str">
        <f t="shared" si="11"/>
        <v>28 2012</v>
      </c>
      <c r="P91" s="1">
        <f t="shared" si="12"/>
        <v>21</v>
      </c>
      <c r="Q91" s="1">
        <f t="shared" ca="1" si="13"/>
        <v>4035</v>
      </c>
      <c r="S91" s="1">
        <f t="shared" si="7"/>
        <v>104688</v>
      </c>
    </row>
    <row r="92" spans="1:19" x14ac:dyDescent="0.2">
      <c r="A92" s="57" t="s">
        <v>228</v>
      </c>
      <c r="B92" s="57" t="s">
        <v>244</v>
      </c>
      <c r="C92" s="57" t="s">
        <v>245</v>
      </c>
      <c r="D92" s="58">
        <v>33.659999999999997</v>
      </c>
      <c r="E92" s="59">
        <v>41099</v>
      </c>
      <c r="F92" s="58">
        <v>104689</v>
      </c>
      <c r="G92" s="58">
        <v>12224</v>
      </c>
      <c r="H92" s="58">
        <v>14775</v>
      </c>
      <c r="I92" s="58">
        <v>102315</v>
      </c>
      <c r="J92" s="58">
        <v>0</v>
      </c>
      <c r="K92" s="1">
        <f t="shared" si="8"/>
        <v>497326.49999999994</v>
      </c>
      <c r="L92" s="1">
        <f t="shared" si="9"/>
        <v>14775</v>
      </c>
      <c r="M92" s="1">
        <f>VLOOKUP(B92,'[1]Срок Годности'!$A$2:$B$4,2,0)</f>
        <v>1500</v>
      </c>
      <c r="N92" s="60">
        <f t="shared" si="10"/>
        <v>12224</v>
      </c>
      <c r="O92" s="1" t="str">
        <f t="shared" si="11"/>
        <v>28 2012</v>
      </c>
      <c r="P92" s="1">
        <f t="shared" si="12"/>
        <v>21</v>
      </c>
      <c r="Q92" s="1">
        <f t="shared" ca="1" si="13"/>
        <v>4034</v>
      </c>
      <c r="S92" s="1">
        <f t="shared" si="7"/>
        <v>102315</v>
      </c>
    </row>
    <row r="93" spans="1:19" x14ac:dyDescent="0.2">
      <c r="A93" s="57" t="s">
        <v>228</v>
      </c>
      <c r="B93" s="57" t="s">
        <v>244</v>
      </c>
      <c r="C93" s="57" t="s">
        <v>245</v>
      </c>
      <c r="D93" s="58">
        <v>33.659999999999997</v>
      </c>
      <c r="E93" s="59">
        <v>41100</v>
      </c>
      <c r="F93" s="58">
        <v>102315</v>
      </c>
      <c r="G93" s="58">
        <v>10066</v>
      </c>
      <c r="H93" s="58">
        <v>14761</v>
      </c>
      <c r="I93" s="58">
        <v>97673</v>
      </c>
      <c r="J93" s="58">
        <v>4</v>
      </c>
      <c r="K93" s="1">
        <f t="shared" si="8"/>
        <v>496855.25999999995</v>
      </c>
      <c r="L93" s="1">
        <f t="shared" si="9"/>
        <v>14761</v>
      </c>
      <c r="M93" s="1">
        <f>VLOOKUP(B93,'[1]Срок Годности'!$A$2:$B$4,2,0)</f>
        <v>1500</v>
      </c>
      <c r="N93" s="60">
        <f t="shared" si="10"/>
        <v>10066</v>
      </c>
      <c r="O93" s="1" t="str">
        <f t="shared" si="11"/>
        <v>28 2012</v>
      </c>
      <c r="P93" s="1">
        <f t="shared" si="12"/>
        <v>21</v>
      </c>
      <c r="Q93" s="1">
        <f t="shared" ca="1" si="13"/>
        <v>4033</v>
      </c>
      <c r="S93" s="1">
        <f t="shared" si="7"/>
        <v>97669</v>
      </c>
    </row>
    <row r="94" spans="1:19" x14ac:dyDescent="0.2">
      <c r="A94" s="57" t="s">
        <v>228</v>
      </c>
      <c r="B94" s="57" t="s">
        <v>244</v>
      </c>
      <c r="C94" s="57" t="s">
        <v>245</v>
      </c>
      <c r="D94" s="58">
        <v>33.659999999999997</v>
      </c>
      <c r="E94" s="59">
        <v>41101</v>
      </c>
      <c r="F94" s="58">
        <v>97673</v>
      </c>
      <c r="G94" s="58">
        <v>8258</v>
      </c>
      <c r="H94" s="58">
        <v>15166</v>
      </c>
      <c r="I94" s="58">
        <v>91261</v>
      </c>
      <c r="J94" s="58">
        <v>3</v>
      </c>
      <c r="K94" s="1">
        <f t="shared" si="8"/>
        <v>510487.55999999994</v>
      </c>
      <c r="L94" s="1">
        <f t="shared" si="9"/>
        <v>15166</v>
      </c>
      <c r="M94" s="1">
        <f>VLOOKUP(B94,'[1]Срок Годности'!$A$2:$B$4,2,0)</f>
        <v>1500</v>
      </c>
      <c r="N94" s="60">
        <f t="shared" si="10"/>
        <v>8258</v>
      </c>
      <c r="O94" s="1" t="str">
        <f t="shared" si="11"/>
        <v>28 2012</v>
      </c>
      <c r="P94" s="1">
        <f t="shared" si="12"/>
        <v>21</v>
      </c>
      <c r="Q94" s="1">
        <f t="shared" ca="1" si="13"/>
        <v>4032</v>
      </c>
      <c r="S94" s="1">
        <f t="shared" si="7"/>
        <v>91258</v>
      </c>
    </row>
    <row r="95" spans="1:19" x14ac:dyDescent="0.2">
      <c r="A95" s="57" t="s">
        <v>228</v>
      </c>
      <c r="B95" s="57" t="s">
        <v>244</v>
      </c>
      <c r="C95" s="57" t="s">
        <v>245</v>
      </c>
      <c r="D95" s="58">
        <v>33.659999999999997</v>
      </c>
      <c r="E95" s="59">
        <v>41102</v>
      </c>
      <c r="F95" s="58">
        <v>91261</v>
      </c>
      <c r="G95" s="58">
        <v>9983</v>
      </c>
      <c r="H95" s="58">
        <v>13420</v>
      </c>
      <c r="I95" s="58">
        <v>88488</v>
      </c>
      <c r="J95" s="58">
        <v>0</v>
      </c>
      <c r="K95" s="1">
        <f t="shared" si="8"/>
        <v>451717.19999999995</v>
      </c>
      <c r="L95" s="1">
        <f t="shared" si="9"/>
        <v>13420</v>
      </c>
      <c r="M95" s="1">
        <f>VLOOKUP(B95,'[1]Срок Годности'!$A$2:$B$4,2,0)</f>
        <v>1500</v>
      </c>
      <c r="N95" s="60">
        <f t="shared" si="10"/>
        <v>9983</v>
      </c>
      <c r="O95" s="1" t="str">
        <f t="shared" si="11"/>
        <v>28 2012</v>
      </c>
      <c r="P95" s="1">
        <f t="shared" si="12"/>
        <v>21</v>
      </c>
      <c r="Q95" s="1">
        <f t="shared" ca="1" si="13"/>
        <v>4031</v>
      </c>
      <c r="S95" s="1">
        <f t="shared" si="7"/>
        <v>88488</v>
      </c>
    </row>
    <row r="96" spans="1:19" x14ac:dyDescent="0.2">
      <c r="A96" s="57" t="s">
        <v>228</v>
      </c>
      <c r="B96" s="57" t="s">
        <v>244</v>
      </c>
      <c r="C96" s="57" t="s">
        <v>245</v>
      </c>
      <c r="D96" s="58">
        <v>33.659999999999997</v>
      </c>
      <c r="E96" s="59">
        <v>41103</v>
      </c>
      <c r="F96" s="58">
        <v>88488</v>
      </c>
      <c r="G96" s="58">
        <v>10065</v>
      </c>
      <c r="H96" s="58">
        <v>13323</v>
      </c>
      <c r="I96" s="58">
        <v>85635</v>
      </c>
      <c r="J96" s="58">
        <v>1</v>
      </c>
      <c r="K96" s="1">
        <f t="shared" si="8"/>
        <v>448452.17999999993</v>
      </c>
      <c r="L96" s="1">
        <f t="shared" si="9"/>
        <v>13323</v>
      </c>
      <c r="M96" s="1">
        <f>VLOOKUP(B96,'[1]Срок Годности'!$A$2:$B$4,2,0)</f>
        <v>1500</v>
      </c>
      <c r="N96" s="60">
        <f t="shared" si="10"/>
        <v>10065</v>
      </c>
      <c r="O96" s="1" t="str">
        <f t="shared" si="11"/>
        <v>28 2012</v>
      </c>
      <c r="P96" s="1">
        <f t="shared" si="12"/>
        <v>21</v>
      </c>
      <c r="Q96" s="1">
        <f t="shared" ca="1" si="13"/>
        <v>4030</v>
      </c>
      <c r="S96" s="1">
        <f t="shared" si="7"/>
        <v>85634</v>
      </c>
    </row>
    <row r="97" spans="1:19" x14ac:dyDescent="0.2">
      <c r="A97" s="57" t="s">
        <v>228</v>
      </c>
      <c r="B97" s="57" t="s">
        <v>244</v>
      </c>
      <c r="C97" s="57" t="s">
        <v>245</v>
      </c>
      <c r="D97" s="58">
        <v>33.659999999999997</v>
      </c>
      <c r="E97" s="59">
        <v>41104</v>
      </c>
      <c r="F97" s="58">
        <v>85635</v>
      </c>
      <c r="G97" s="58">
        <v>9910</v>
      </c>
      <c r="H97" s="58">
        <v>13011</v>
      </c>
      <c r="I97" s="58">
        <v>82956</v>
      </c>
      <c r="J97" s="58">
        <v>0</v>
      </c>
      <c r="K97" s="1">
        <f t="shared" si="8"/>
        <v>437950.25999999995</v>
      </c>
      <c r="L97" s="1">
        <f t="shared" si="9"/>
        <v>13011</v>
      </c>
      <c r="M97" s="1">
        <f>VLOOKUP(B97,'[1]Срок Годности'!$A$2:$B$4,2,0)</f>
        <v>1500</v>
      </c>
      <c r="N97" s="60">
        <f t="shared" si="10"/>
        <v>9910</v>
      </c>
      <c r="O97" s="1" t="str">
        <f t="shared" si="11"/>
        <v>28 2012</v>
      </c>
      <c r="P97" s="1">
        <f t="shared" si="12"/>
        <v>21</v>
      </c>
      <c r="Q97" s="1">
        <f t="shared" ca="1" si="13"/>
        <v>4029</v>
      </c>
      <c r="S97" s="1">
        <f t="shared" si="7"/>
        <v>82956</v>
      </c>
    </row>
    <row r="98" spans="1:19" x14ac:dyDescent="0.2">
      <c r="A98" s="57" t="s">
        <v>228</v>
      </c>
      <c r="B98" s="57" t="s">
        <v>244</v>
      </c>
      <c r="C98" s="57" t="s">
        <v>245</v>
      </c>
      <c r="D98" s="58">
        <v>33.659999999999997</v>
      </c>
      <c r="E98" s="59">
        <v>41105</v>
      </c>
      <c r="F98" s="58">
        <v>82956</v>
      </c>
      <c r="G98" s="58">
        <v>8860</v>
      </c>
      <c r="H98" s="58">
        <v>11428</v>
      </c>
      <c r="I98" s="58">
        <v>80438</v>
      </c>
      <c r="J98" s="58">
        <v>2</v>
      </c>
      <c r="K98" s="1">
        <f t="shared" si="8"/>
        <v>384666.48</v>
      </c>
      <c r="L98" s="1">
        <f t="shared" si="9"/>
        <v>11428</v>
      </c>
      <c r="M98" s="1">
        <f>VLOOKUP(B98,'[1]Срок Годности'!$A$2:$B$4,2,0)</f>
        <v>1500</v>
      </c>
      <c r="N98" s="60">
        <f t="shared" si="10"/>
        <v>0</v>
      </c>
      <c r="O98" s="1" t="str">
        <f t="shared" si="11"/>
        <v>29 2012</v>
      </c>
      <c r="P98" s="1">
        <f t="shared" si="12"/>
        <v>21</v>
      </c>
      <c r="Q98" s="1">
        <f t="shared" ca="1" si="13"/>
        <v>4028</v>
      </c>
      <c r="S98" s="1">
        <f t="shared" si="7"/>
        <v>80436</v>
      </c>
    </row>
    <row r="99" spans="1:19" x14ac:dyDescent="0.2">
      <c r="A99" s="57" t="s">
        <v>228</v>
      </c>
      <c r="B99" s="57" t="s">
        <v>244</v>
      </c>
      <c r="C99" s="57" t="s">
        <v>245</v>
      </c>
      <c r="D99" s="58">
        <v>33.659999999999997</v>
      </c>
      <c r="E99" s="59">
        <v>41106</v>
      </c>
      <c r="F99" s="58">
        <v>80438</v>
      </c>
      <c r="G99" s="58">
        <v>8238</v>
      </c>
      <c r="H99" s="58">
        <v>11667</v>
      </c>
      <c r="I99" s="58">
        <v>77037</v>
      </c>
      <c r="J99" s="58">
        <v>0</v>
      </c>
      <c r="K99" s="1">
        <f t="shared" si="8"/>
        <v>392711.22</v>
      </c>
      <c r="L99" s="1">
        <f t="shared" si="9"/>
        <v>11667</v>
      </c>
      <c r="M99" s="1">
        <f>VLOOKUP(B99,'[1]Срок Годности'!$A$2:$B$4,2,0)</f>
        <v>1500</v>
      </c>
      <c r="N99" s="60">
        <f t="shared" si="10"/>
        <v>8238</v>
      </c>
      <c r="O99" s="1" t="str">
        <f t="shared" si="11"/>
        <v>29 2012</v>
      </c>
      <c r="P99" s="1">
        <f t="shared" si="12"/>
        <v>21</v>
      </c>
      <c r="Q99" s="1">
        <f t="shared" ca="1" si="13"/>
        <v>4027</v>
      </c>
      <c r="S99" s="1">
        <f t="shared" si="7"/>
        <v>77037</v>
      </c>
    </row>
    <row r="100" spans="1:19" x14ac:dyDescent="0.2">
      <c r="A100" s="57" t="s">
        <v>228</v>
      </c>
      <c r="B100" s="57" t="s">
        <v>244</v>
      </c>
      <c r="C100" s="57" t="s">
        <v>245</v>
      </c>
      <c r="D100" s="58">
        <v>33.659999999999997</v>
      </c>
      <c r="E100" s="59">
        <v>41107</v>
      </c>
      <c r="F100" s="58">
        <v>77037</v>
      </c>
      <c r="G100" s="58">
        <v>9599</v>
      </c>
      <c r="H100" s="58">
        <v>11380</v>
      </c>
      <c r="I100" s="58">
        <v>75544</v>
      </c>
      <c r="J100" s="58">
        <v>1</v>
      </c>
      <c r="K100" s="1">
        <f t="shared" si="8"/>
        <v>383050.8</v>
      </c>
      <c r="L100" s="1">
        <f t="shared" si="9"/>
        <v>11380</v>
      </c>
      <c r="M100" s="1">
        <f>VLOOKUP(B100,'[1]Срок Годности'!$A$2:$B$4,2,0)</f>
        <v>1500</v>
      </c>
      <c r="N100" s="60">
        <f t="shared" si="10"/>
        <v>9599</v>
      </c>
      <c r="O100" s="1" t="str">
        <f t="shared" si="11"/>
        <v>29 2012</v>
      </c>
      <c r="P100" s="1">
        <f t="shared" si="12"/>
        <v>21</v>
      </c>
      <c r="Q100" s="1">
        <f t="shared" ca="1" si="13"/>
        <v>4026</v>
      </c>
      <c r="S100" s="1">
        <f t="shared" si="7"/>
        <v>75543</v>
      </c>
    </row>
    <row r="101" spans="1:19" x14ac:dyDescent="0.2">
      <c r="A101" s="57" t="s">
        <v>228</v>
      </c>
      <c r="B101" s="57" t="s">
        <v>237</v>
      </c>
      <c r="C101" s="57" t="s">
        <v>238</v>
      </c>
      <c r="D101" s="58">
        <v>165.05</v>
      </c>
      <c r="E101" s="59">
        <v>41061</v>
      </c>
      <c r="F101" s="58">
        <v>4437</v>
      </c>
      <c r="G101" s="58">
        <v>4716</v>
      </c>
      <c r="H101" s="58">
        <v>3208</v>
      </c>
      <c r="I101" s="58">
        <v>5916</v>
      </c>
      <c r="J101" s="58">
        <v>0</v>
      </c>
      <c r="K101" s="1">
        <f t="shared" si="8"/>
        <v>529480.4</v>
      </c>
      <c r="L101" s="1">
        <f t="shared" si="9"/>
        <v>3208</v>
      </c>
      <c r="M101" s="1">
        <f>VLOOKUP(B101,'[1]Срок Годности'!$A$2:$B$4,2,0)</f>
        <v>1000</v>
      </c>
      <c r="N101" s="60">
        <f t="shared" si="10"/>
        <v>4716</v>
      </c>
      <c r="O101" s="1" t="str">
        <f t="shared" si="11"/>
        <v>22 2012</v>
      </c>
      <c r="P101" s="1">
        <f t="shared" si="12"/>
        <v>22</v>
      </c>
      <c r="Q101" s="1">
        <f t="shared" ca="1" si="13"/>
        <v>4072</v>
      </c>
      <c r="S101" s="1">
        <f t="shared" si="7"/>
        <v>5916</v>
      </c>
    </row>
    <row r="102" spans="1:19" x14ac:dyDescent="0.2">
      <c r="A102" s="57" t="s">
        <v>228</v>
      </c>
      <c r="B102" s="57" t="s">
        <v>237</v>
      </c>
      <c r="C102" s="57" t="s">
        <v>238</v>
      </c>
      <c r="D102" s="58">
        <v>165.05</v>
      </c>
      <c r="E102" s="59">
        <v>41062</v>
      </c>
      <c r="F102" s="58">
        <v>5916</v>
      </c>
      <c r="G102" s="58">
        <v>4920</v>
      </c>
      <c r="H102" s="58">
        <v>4399</v>
      </c>
      <c r="I102" s="58">
        <v>6444</v>
      </c>
      <c r="J102" s="58">
        <v>0</v>
      </c>
      <c r="K102" s="1">
        <f t="shared" si="8"/>
        <v>726054.95000000007</v>
      </c>
      <c r="L102" s="1">
        <f t="shared" si="9"/>
        <v>4399</v>
      </c>
      <c r="M102" s="1">
        <f>VLOOKUP(B102,'[1]Срок Годности'!$A$2:$B$4,2,0)</f>
        <v>1000</v>
      </c>
      <c r="N102" s="60">
        <f t="shared" si="10"/>
        <v>4920</v>
      </c>
      <c r="O102" s="1" t="str">
        <f t="shared" si="11"/>
        <v>22 2012</v>
      </c>
      <c r="P102" s="1">
        <f t="shared" si="12"/>
        <v>22</v>
      </c>
      <c r="Q102" s="1">
        <f t="shared" ca="1" si="13"/>
        <v>4071</v>
      </c>
      <c r="S102" s="1">
        <f t="shared" si="7"/>
        <v>6444</v>
      </c>
    </row>
    <row r="103" spans="1:19" x14ac:dyDescent="0.2">
      <c r="A103" s="57" t="s">
        <v>228</v>
      </c>
      <c r="B103" s="57" t="s">
        <v>237</v>
      </c>
      <c r="C103" s="57" t="s">
        <v>238</v>
      </c>
      <c r="D103" s="58">
        <v>165.05</v>
      </c>
      <c r="E103" s="59">
        <v>41063</v>
      </c>
      <c r="F103" s="58">
        <v>6444</v>
      </c>
      <c r="G103" s="58">
        <v>8148</v>
      </c>
      <c r="H103" s="58">
        <v>4792</v>
      </c>
      <c r="I103" s="58">
        <v>9813</v>
      </c>
      <c r="J103" s="58">
        <v>0</v>
      </c>
      <c r="K103" s="1">
        <f t="shared" si="8"/>
        <v>790919.60000000009</v>
      </c>
      <c r="L103" s="1">
        <f t="shared" si="9"/>
        <v>4792</v>
      </c>
      <c r="M103" s="1">
        <f>VLOOKUP(B103,'[1]Срок Годности'!$A$2:$B$4,2,0)</f>
        <v>1000</v>
      </c>
      <c r="N103" s="60">
        <f t="shared" si="10"/>
        <v>0</v>
      </c>
      <c r="O103" s="1" t="str">
        <f t="shared" si="11"/>
        <v>23 2012</v>
      </c>
      <c r="P103" s="1">
        <f t="shared" si="12"/>
        <v>22</v>
      </c>
      <c r="Q103" s="1">
        <f t="shared" ca="1" si="13"/>
        <v>4070</v>
      </c>
      <c r="S103" s="1">
        <f t="shared" si="7"/>
        <v>9813</v>
      </c>
    </row>
    <row r="104" spans="1:19" x14ac:dyDescent="0.2">
      <c r="A104" s="57" t="s">
        <v>228</v>
      </c>
      <c r="B104" s="57" t="s">
        <v>237</v>
      </c>
      <c r="C104" s="57" t="s">
        <v>238</v>
      </c>
      <c r="D104" s="58">
        <v>165.05</v>
      </c>
      <c r="E104" s="59">
        <v>41064</v>
      </c>
      <c r="F104" s="58">
        <v>9813</v>
      </c>
      <c r="G104" s="58">
        <v>6234</v>
      </c>
      <c r="H104" s="58">
        <v>3947</v>
      </c>
      <c r="I104" s="58">
        <v>12056</v>
      </c>
      <c r="J104" s="58">
        <v>0</v>
      </c>
      <c r="K104" s="1">
        <f t="shared" si="8"/>
        <v>651452.35000000009</v>
      </c>
      <c r="L104" s="1">
        <f t="shared" si="9"/>
        <v>3947</v>
      </c>
      <c r="M104" s="1">
        <f>VLOOKUP(B104,'[1]Срок Годности'!$A$2:$B$4,2,0)</f>
        <v>1000</v>
      </c>
      <c r="N104" s="60">
        <f t="shared" si="10"/>
        <v>6234</v>
      </c>
      <c r="O104" s="1" t="str">
        <f t="shared" si="11"/>
        <v>23 2012</v>
      </c>
      <c r="P104" s="1">
        <f t="shared" si="12"/>
        <v>22</v>
      </c>
      <c r="Q104" s="1">
        <f t="shared" ca="1" si="13"/>
        <v>4069</v>
      </c>
      <c r="S104" s="1">
        <f t="shared" si="7"/>
        <v>12056</v>
      </c>
    </row>
    <row r="105" spans="1:19" x14ac:dyDescent="0.2">
      <c r="A105" s="57" t="s">
        <v>228</v>
      </c>
      <c r="B105" s="57" t="s">
        <v>237</v>
      </c>
      <c r="C105" s="57" t="s">
        <v>238</v>
      </c>
      <c r="D105" s="58">
        <v>165.05</v>
      </c>
      <c r="E105" s="59">
        <v>41065</v>
      </c>
      <c r="F105" s="58">
        <v>12056</v>
      </c>
      <c r="G105" s="58">
        <v>5854</v>
      </c>
      <c r="H105" s="58">
        <v>4721</v>
      </c>
      <c r="I105" s="58">
        <v>13134</v>
      </c>
      <c r="J105" s="58">
        <v>0</v>
      </c>
      <c r="K105" s="1">
        <f t="shared" si="8"/>
        <v>779201.05</v>
      </c>
      <c r="L105" s="1">
        <f t="shared" si="9"/>
        <v>4721</v>
      </c>
      <c r="M105" s="1">
        <f>VLOOKUP(B105,'[1]Срок Годности'!$A$2:$B$4,2,0)</f>
        <v>1000</v>
      </c>
      <c r="N105" s="60">
        <f t="shared" si="10"/>
        <v>5854</v>
      </c>
      <c r="O105" s="1" t="str">
        <f t="shared" si="11"/>
        <v>23 2012</v>
      </c>
      <c r="P105" s="1">
        <f t="shared" si="12"/>
        <v>22</v>
      </c>
      <c r="Q105" s="1">
        <f t="shared" ca="1" si="13"/>
        <v>4068</v>
      </c>
      <c r="S105" s="1">
        <f t="shared" si="7"/>
        <v>13134</v>
      </c>
    </row>
    <row r="106" spans="1:19" x14ac:dyDescent="0.2">
      <c r="A106" s="57" t="s">
        <v>228</v>
      </c>
      <c r="B106" s="57" t="s">
        <v>237</v>
      </c>
      <c r="C106" s="57" t="s">
        <v>238</v>
      </c>
      <c r="D106" s="58">
        <v>165.05</v>
      </c>
      <c r="E106" s="59">
        <v>41066</v>
      </c>
      <c r="F106" s="58">
        <v>13134</v>
      </c>
      <c r="G106" s="58">
        <v>4391</v>
      </c>
      <c r="H106" s="58">
        <v>4942</v>
      </c>
      <c r="I106" s="58">
        <v>12537</v>
      </c>
      <c r="J106" s="58">
        <v>1</v>
      </c>
      <c r="K106" s="1">
        <f t="shared" si="8"/>
        <v>815677.10000000009</v>
      </c>
      <c r="L106" s="1">
        <f t="shared" si="9"/>
        <v>4942</v>
      </c>
      <c r="M106" s="1">
        <f>VLOOKUP(B106,'[1]Срок Годности'!$A$2:$B$4,2,0)</f>
        <v>1000</v>
      </c>
      <c r="N106" s="60">
        <f t="shared" si="10"/>
        <v>4391</v>
      </c>
      <c r="O106" s="1" t="str">
        <f t="shared" si="11"/>
        <v>23 2012</v>
      </c>
      <c r="P106" s="1">
        <f t="shared" si="12"/>
        <v>22</v>
      </c>
      <c r="Q106" s="1">
        <f t="shared" ca="1" si="13"/>
        <v>4067</v>
      </c>
      <c r="S106" s="1">
        <f t="shared" si="7"/>
        <v>12536</v>
      </c>
    </row>
    <row r="107" spans="1:19" x14ac:dyDescent="0.2">
      <c r="A107" s="57" t="s">
        <v>228</v>
      </c>
      <c r="B107" s="57" t="s">
        <v>237</v>
      </c>
      <c r="C107" s="57" t="s">
        <v>238</v>
      </c>
      <c r="D107" s="58">
        <v>165.05</v>
      </c>
      <c r="E107" s="59">
        <v>41067</v>
      </c>
      <c r="F107" s="58">
        <v>12537</v>
      </c>
      <c r="G107" s="58">
        <v>8255</v>
      </c>
      <c r="H107" s="58">
        <v>4686</v>
      </c>
      <c r="I107" s="58">
        <v>16051</v>
      </c>
      <c r="J107" s="58">
        <v>0</v>
      </c>
      <c r="K107" s="1">
        <f t="shared" si="8"/>
        <v>773424.3</v>
      </c>
      <c r="L107" s="1">
        <f t="shared" si="9"/>
        <v>4686</v>
      </c>
      <c r="M107" s="1">
        <f>VLOOKUP(B107,'[1]Срок Годности'!$A$2:$B$4,2,0)</f>
        <v>1000</v>
      </c>
      <c r="N107" s="60">
        <f t="shared" si="10"/>
        <v>8255</v>
      </c>
      <c r="O107" s="1" t="str">
        <f t="shared" si="11"/>
        <v>23 2012</v>
      </c>
      <c r="P107" s="1">
        <f t="shared" si="12"/>
        <v>22</v>
      </c>
      <c r="Q107" s="1">
        <f t="shared" ca="1" si="13"/>
        <v>4066</v>
      </c>
      <c r="S107" s="1">
        <f t="shared" si="7"/>
        <v>16051</v>
      </c>
    </row>
    <row r="108" spans="1:19" x14ac:dyDescent="0.2">
      <c r="A108" s="57" t="s">
        <v>228</v>
      </c>
      <c r="B108" s="57" t="s">
        <v>237</v>
      </c>
      <c r="C108" s="57" t="s">
        <v>238</v>
      </c>
      <c r="D108" s="58">
        <v>165.05</v>
      </c>
      <c r="E108" s="59">
        <v>41068</v>
      </c>
      <c r="F108" s="58">
        <v>16051</v>
      </c>
      <c r="G108" s="58">
        <v>6971</v>
      </c>
      <c r="H108" s="58">
        <v>5253</v>
      </c>
      <c r="I108" s="58">
        <v>17686</v>
      </c>
      <c r="J108" s="58">
        <v>0</v>
      </c>
      <c r="K108" s="1">
        <f t="shared" si="8"/>
        <v>867007.65</v>
      </c>
      <c r="L108" s="1">
        <f t="shared" si="9"/>
        <v>5253</v>
      </c>
      <c r="M108" s="1">
        <f>VLOOKUP(B108,'[1]Срок Годности'!$A$2:$B$4,2,0)</f>
        <v>1000</v>
      </c>
      <c r="N108" s="60">
        <f t="shared" si="10"/>
        <v>6971</v>
      </c>
      <c r="O108" s="1" t="str">
        <f t="shared" si="11"/>
        <v>23 2012</v>
      </c>
      <c r="P108" s="1">
        <f t="shared" si="12"/>
        <v>22</v>
      </c>
      <c r="Q108" s="1">
        <f t="shared" ca="1" si="13"/>
        <v>4065</v>
      </c>
      <c r="S108" s="1">
        <f t="shared" si="7"/>
        <v>17686</v>
      </c>
    </row>
    <row r="109" spans="1:19" x14ac:dyDescent="0.2">
      <c r="A109" s="57" t="s">
        <v>228</v>
      </c>
      <c r="B109" s="57" t="s">
        <v>237</v>
      </c>
      <c r="C109" s="57" t="s">
        <v>238</v>
      </c>
      <c r="D109" s="58">
        <v>165.05</v>
      </c>
      <c r="E109" s="59">
        <v>41069</v>
      </c>
      <c r="F109" s="58">
        <v>17686</v>
      </c>
      <c r="G109" s="58">
        <v>3737</v>
      </c>
      <c r="H109" s="58">
        <v>6052</v>
      </c>
      <c r="I109" s="58">
        <v>15319</v>
      </c>
      <c r="J109" s="58">
        <v>0</v>
      </c>
      <c r="K109" s="1">
        <f t="shared" si="8"/>
        <v>998882.60000000009</v>
      </c>
      <c r="L109" s="1">
        <f t="shared" si="9"/>
        <v>6052</v>
      </c>
      <c r="M109" s="1">
        <f>VLOOKUP(B109,'[1]Срок Годности'!$A$2:$B$4,2,0)</f>
        <v>1000</v>
      </c>
      <c r="N109" s="60">
        <f t="shared" si="10"/>
        <v>3737</v>
      </c>
      <c r="O109" s="1" t="str">
        <f t="shared" si="11"/>
        <v>23 2012</v>
      </c>
      <c r="P109" s="1">
        <f t="shared" si="12"/>
        <v>22</v>
      </c>
      <c r="Q109" s="1">
        <f t="shared" ca="1" si="13"/>
        <v>4064</v>
      </c>
      <c r="S109" s="1">
        <f t="shared" si="7"/>
        <v>15319</v>
      </c>
    </row>
    <row r="110" spans="1:19" x14ac:dyDescent="0.2">
      <c r="A110" s="57" t="s">
        <v>228</v>
      </c>
      <c r="B110" s="57" t="s">
        <v>237</v>
      </c>
      <c r="C110" s="57" t="s">
        <v>238</v>
      </c>
      <c r="D110" s="58">
        <v>165.05</v>
      </c>
      <c r="E110" s="59">
        <v>41070</v>
      </c>
      <c r="F110" s="58">
        <v>15319</v>
      </c>
      <c r="G110" s="58">
        <v>5698</v>
      </c>
      <c r="H110" s="58">
        <v>5931</v>
      </c>
      <c r="I110" s="58">
        <v>15040</v>
      </c>
      <c r="J110" s="58">
        <v>0</v>
      </c>
      <c r="K110" s="1">
        <f t="shared" si="8"/>
        <v>978911.55</v>
      </c>
      <c r="L110" s="1">
        <f t="shared" si="9"/>
        <v>5931</v>
      </c>
      <c r="M110" s="1">
        <f>VLOOKUP(B110,'[1]Срок Годности'!$A$2:$B$4,2,0)</f>
        <v>1000</v>
      </c>
      <c r="N110" s="60">
        <f t="shared" si="10"/>
        <v>0</v>
      </c>
      <c r="O110" s="1" t="str">
        <f t="shared" si="11"/>
        <v>24 2012</v>
      </c>
      <c r="P110" s="1">
        <f t="shared" si="12"/>
        <v>22</v>
      </c>
      <c r="Q110" s="1">
        <f t="shared" ca="1" si="13"/>
        <v>4063</v>
      </c>
      <c r="S110" s="1">
        <f t="shared" si="7"/>
        <v>15040</v>
      </c>
    </row>
    <row r="111" spans="1:19" x14ac:dyDescent="0.2">
      <c r="A111" s="57" t="s">
        <v>228</v>
      </c>
      <c r="B111" s="57" t="s">
        <v>237</v>
      </c>
      <c r="C111" s="57" t="s">
        <v>238</v>
      </c>
      <c r="D111" s="58">
        <v>165.05</v>
      </c>
      <c r="E111" s="59">
        <v>41071</v>
      </c>
      <c r="F111" s="58">
        <v>15040</v>
      </c>
      <c r="G111" s="58">
        <v>4772</v>
      </c>
      <c r="H111" s="58">
        <v>5568</v>
      </c>
      <c r="I111" s="58">
        <v>14184</v>
      </c>
      <c r="J111" s="58">
        <v>0</v>
      </c>
      <c r="K111" s="1">
        <f t="shared" si="8"/>
        <v>918998.4</v>
      </c>
      <c r="L111" s="1">
        <f t="shared" si="9"/>
        <v>5568</v>
      </c>
      <c r="M111" s="1">
        <f>VLOOKUP(B111,'[1]Срок Годности'!$A$2:$B$4,2,0)</f>
        <v>1000</v>
      </c>
      <c r="N111" s="60">
        <f t="shared" si="10"/>
        <v>4772</v>
      </c>
      <c r="O111" s="1" t="str">
        <f t="shared" si="11"/>
        <v>24 2012</v>
      </c>
      <c r="P111" s="1">
        <f t="shared" si="12"/>
        <v>22</v>
      </c>
      <c r="Q111" s="1">
        <f t="shared" ca="1" si="13"/>
        <v>4062</v>
      </c>
      <c r="S111" s="1">
        <f t="shared" si="7"/>
        <v>14184</v>
      </c>
    </row>
    <row r="112" spans="1:19" x14ac:dyDescent="0.2">
      <c r="A112" s="57" t="s">
        <v>228</v>
      </c>
      <c r="B112" s="57" t="s">
        <v>237</v>
      </c>
      <c r="C112" s="57" t="s">
        <v>238</v>
      </c>
      <c r="D112" s="58">
        <v>165.05</v>
      </c>
      <c r="E112" s="59">
        <v>41072</v>
      </c>
      <c r="F112" s="58">
        <v>14184</v>
      </c>
      <c r="G112" s="58">
        <v>2948</v>
      </c>
      <c r="H112" s="58">
        <v>4664</v>
      </c>
      <c r="I112" s="58">
        <v>12432</v>
      </c>
      <c r="J112" s="58">
        <v>0</v>
      </c>
      <c r="K112" s="1">
        <f t="shared" si="8"/>
        <v>769793.20000000007</v>
      </c>
      <c r="L112" s="1">
        <f t="shared" si="9"/>
        <v>4664</v>
      </c>
      <c r="M112" s="1">
        <f>VLOOKUP(B112,'[1]Срок Годности'!$A$2:$B$4,2,0)</f>
        <v>1000</v>
      </c>
      <c r="N112" s="60">
        <f t="shared" si="10"/>
        <v>2948</v>
      </c>
      <c r="O112" s="1" t="str">
        <f t="shared" si="11"/>
        <v>24 2012</v>
      </c>
      <c r="P112" s="1">
        <f t="shared" si="12"/>
        <v>22</v>
      </c>
      <c r="Q112" s="1">
        <f t="shared" ca="1" si="13"/>
        <v>4061</v>
      </c>
      <c r="S112" s="1">
        <f t="shared" si="7"/>
        <v>12432</v>
      </c>
    </row>
    <row r="113" spans="1:19" x14ac:dyDescent="0.2">
      <c r="A113" s="57" t="s">
        <v>228</v>
      </c>
      <c r="B113" s="57" t="s">
        <v>237</v>
      </c>
      <c r="C113" s="57" t="s">
        <v>238</v>
      </c>
      <c r="D113" s="58">
        <v>165.05</v>
      </c>
      <c r="E113" s="59">
        <v>41073</v>
      </c>
      <c r="F113" s="58">
        <v>12432</v>
      </c>
      <c r="G113" s="58">
        <v>8183</v>
      </c>
      <c r="H113" s="58">
        <v>4252</v>
      </c>
      <c r="I113" s="58">
        <v>16289</v>
      </c>
      <c r="J113" s="58">
        <v>1</v>
      </c>
      <c r="K113" s="1">
        <f t="shared" si="8"/>
        <v>701792.60000000009</v>
      </c>
      <c r="L113" s="1">
        <f t="shared" si="9"/>
        <v>4252</v>
      </c>
      <c r="M113" s="1">
        <f>VLOOKUP(B113,'[1]Срок Годности'!$A$2:$B$4,2,0)</f>
        <v>1000</v>
      </c>
      <c r="N113" s="60">
        <f t="shared" si="10"/>
        <v>8183</v>
      </c>
      <c r="O113" s="1" t="str">
        <f t="shared" si="11"/>
        <v>24 2012</v>
      </c>
      <c r="P113" s="1">
        <f t="shared" si="12"/>
        <v>22</v>
      </c>
      <c r="Q113" s="1">
        <f t="shared" ca="1" si="13"/>
        <v>4060</v>
      </c>
      <c r="S113" s="1">
        <f t="shared" si="7"/>
        <v>16288</v>
      </c>
    </row>
    <row r="114" spans="1:19" x14ac:dyDescent="0.2">
      <c r="A114" s="57" t="s">
        <v>228</v>
      </c>
      <c r="B114" s="57" t="s">
        <v>237</v>
      </c>
      <c r="C114" s="57" t="s">
        <v>238</v>
      </c>
      <c r="D114" s="58">
        <v>165.05</v>
      </c>
      <c r="E114" s="59">
        <v>41074</v>
      </c>
      <c r="F114" s="58">
        <v>16289</v>
      </c>
      <c r="G114" s="58">
        <v>5793</v>
      </c>
      <c r="H114" s="58">
        <v>4055</v>
      </c>
      <c r="I114" s="58">
        <v>17994</v>
      </c>
      <c r="J114" s="58">
        <v>0</v>
      </c>
      <c r="K114" s="1">
        <f t="shared" si="8"/>
        <v>669277.75</v>
      </c>
      <c r="L114" s="1">
        <f t="shared" si="9"/>
        <v>4055</v>
      </c>
      <c r="M114" s="1">
        <f>VLOOKUP(B114,'[1]Срок Годности'!$A$2:$B$4,2,0)</f>
        <v>1000</v>
      </c>
      <c r="N114" s="60">
        <f t="shared" si="10"/>
        <v>5793</v>
      </c>
      <c r="O114" s="1" t="str">
        <f t="shared" si="11"/>
        <v>24 2012</v>
      </c>
      <c r="P114" s="1">
        <f t="shared" si="12"/>
        <v>22</v>
      </c>
      <c r="Q114" s="1">
        <f t="shared" ca="1" si="13"/>
        <v>4059</v>
      </c>
      <c r="S114" s="1">
        <f t="shared" si="7"/>
        <v>17994</v>
      </c>
    </row>
    <row r="115" spans="1:19" x14ac:dyDescent="0.2">
      <c r="A115" s="57" t="s">
        <v>228</v>
      </c>
      <c r="B115" s="57" t="s">
        <v>237</v>
      </c>
      <c r="C115" s="57" t="s">
        <v>238</v>
      </c>
      <c r="D115" s="58">
        <v>165.05</v>
      </c>
      <c r="E115" s="59">
        <v>41075</v>
      </c>
      <c r="F115" s="58">
        <v>17994</v>
      </c>
      <c r="G115" s="58">
        <v>4974</v>
      </c>
      <c r="H115" s="58">
        <v>4461</v>
      </c>
      <c r="I115" s="58">
        <v>18472</v>
      </c>
      <c r="J115" s="58">
        <v>0</v>
      </c>
      <c r="K115" s="1">
        <f t="shared" si="8"/>
        <v>736288.05</v>
      </c>
      <c r="L115" s="1">
        <f t="shared" si="9"/>
        <v>4461</v>
      </c>
      <c r="M115" s="1">
        <f>VLOOKUP(B115,'[1]Срок Годности'!$A$2:$B$4,2,0)</f>
        <v>1000</v>
      </c>
      <c r="N115" s="60">
        <f t="shared" si="10"/>
        <v>4974</v>
      </c>
      <c r="O115" s="1" t="str">
        <f t="shared" si="11"/>
        <v>24 2012</v>
      </c>
      <c r="P115" s="1">
        <f t="shared" si="12"/>
        <v>22</v>
      </c>
      <c r="Q115" s="1">
        <f t="shared" ca="1" si="13"/>
        <v>4058</v>
      </c>
      <c r="S115" s="1">
        <f t="shared" si="7"/>
        <v>18472</v>
      </c>
    </row>
    <row r="116" spans="1:19" x14ac:dyDescent="0.2">
      <c r="A116" s="57" t="s">
        <v>228</v>
      </c>
      <c r="B116" s="57" t="s">
        <v>237</v>
      </c>
      <c r="C116" s="57" t="s">
        <v>238</v>
      </c>
      <c r="D116" s="58">
        <v>165.05</v>
      </c>
      <c r="E116" s="59">
        <v>41076</v>
      </c>
      <c r="F116" s="58">
        <v>18472</v>
      </c>
      <c r="G116" s="58">
        <v>3900</v>
      </c>
      <c r="H116" s="58">
        <v>5370</v>
      </c>
      <c r="I116" s="58">
        <v>16959</v>
      </c>
      <c r="J116" s="58">
        <v>0</v>
      </c>
      <c r="K116" s="1">
        <f t="shared" si="8"/>
        <v>886318.50000000012</v>
      </c>
      <c r="L116" s="1">
        <f t="shared" si="9"/>
        <v>5370</v>
      </c>
      <c r="M116" s="1">
        <f>VLOOKUP(B116,'[1]Срок Годности'!$A$2:$B$4,2,0)</f>
        <v>1000</v>
      </c>
      <c r="N116" s="60">
        <f t="shared" si="10"/>
        <v>3900</v>
      </c>
      <c r="O116" s="1" t="str">
        <f t="shared" si="11"/>
        <v>24 2012</v>
      </c>
      <c r="P116" s="1">
        <f t="shared" si="12"/>
        <v>22</v>
      </c>
      <c r="Q116" s="1">
        <f t="shared" ca="1" si="13"/>
        <v>4057</v>
      </c>
      <c r="S116" s="1">
        <f t="shared" si="7"/>
        <v>16959</v>
      </c>
    </row>
    <row r="117" spans="1:19" x14ac:dyDescent="0.2">
      <c r="A117" s="57" t="s">
        <v>228</v>
      </c>
      <c r="B117" s="57" t="s">
        <v>237</v>
      </c>
      <c r="C117" s="57" t="s">
        <v>238</v>
      </c>
      <c r="D117" s="58">
        <v>165.05</v>
      </c>
      <c r="E117" s="59">
        <v>41077</v>
      </c>
      <c r="F117" s="58">
        <v>16959</v>
      </c>
      <c r="G117" s="58">
        <v>3952</v>
      </c>
      <c r="H117" s="58">
        <v>5583</v>
      </c>
      <c r="I117" s="58">
        <v>15283</v>
      </c>
      <c r="J117" s="58">
        <v>0</v>
      </c>
      <c r="K117" s="1">
        <f t="shared" si="8"/>
        <v>921474.15</v>
      </c>
      <c r="L117" s="1">
        <f t="shared" si="9"/>
        <v>5583</v>
      </c>
      <c r="M117" s="1">
        <f>VLOOKUP(B117,'[1]Срок Годности'!$A$2:$B$4,2,0)</f>
        <v>1000</v>
      </c>
      <c r="N117" s="60">
        <f t="shared" si="10"/>
        <v>0</v>
      </c>
      <c r="O117" s="1" t="str">
        <f t="shared" si="11"/>
        <v>25 2012</v>
      </c>
      <c r="P117" s="1">
        <f t="shared" si="12"/>
        <v>22</v>
      </c>
      <c r="Q117" s="1">
        <f t="shared" ca="1" si="13"/>
        <v>4056</v>
      </c>
      <c r="S117" s="1">
        <f t="shared" si="7"/>
        <v>15283</v>
      </c>
    </row>
    <row r="118" spans="1:19" x14ac:dyDescent="0.2">
      <c r="A118" s="57" t="s">
        <v>228</v>
      </c>
      <c r="B118" s="57" t="s">
        <v>237</v>
      </c>
      <c r="C118" s="57" t="s">
        <v>238</v>
      </c>
      <c r="D118" s="58">
        <v>165.05</v>
      </c>
      <c r="E118" s="59">
        <v>41078</v>
      </c>
      <c r="F118" s="58">
        <v>15283</v>
      </c>
      <c r="G118" s="58">
        <v>5548</v>
      </c>
      <c r="H118" s="58">
        <v>4975</v>
      </c>
      <c r="I118" s="58">
        <v>15834</v>
      </c>
      <c r="J118" s="58">
        <v>0</v>
      </c>
      <c r="K118" s="1">
        <f t="shared" si="8"/>
        <v>821123.75</v>
      </c>
      <c r="L118" s="1">
        <f t="shared" si="9"/>
        <v>4975</v>
      </c>
      <c r="M118" s="1">
        <f>VLOOKUP(B118,'[1]Срок Годности'!$A$2:$B$4,2,0)</f>
        <v>1000</v>
      </c>
      <c r="N118" s="60">
        <f t="shared" si="10"/>
        <v>5548</v>
      </c>
      <c r="O118" s="1" t="str">
        <f t="shared" si="11"/>
        <v>25 2012</v>
      </c>
      <c r="P118" s="1">
        <f t="shared" si="12"/>
        <v>22</v>
      </c>
      <c r="Q118" s="1">
        <f t="shared" ca="1" si="13"/>
        <v>4055</v>
      </c>
      <c r="S118" s="1">
        <f t="shared" si="7"/>
        <v>15834</v>
      </c>
    </row>
    <row r="119" spans="1:19" x14ac:dyDescent="0.2">
      <c r="A119" s="57" t="s">
        <v>228</v>
      </c>
      <c r="B119" s="57" t="s">
        <v>237</v>
      </c>
      <c r="C119" s="57" t="s">
        <v>238</v>
      </c>
      <c r="D119" s="58">
        <v>165.05</v>
      </c>
      <c r="E119" s="59">
        <v>41079</v>
      </c>
      <c r="F119" s="58">
        <v>15834</v>
      </c>
      <c r="G119" s="58">
        <v>6238</v>
      </c>
      <c r="H119" s="58">
        <v>5006</v>
      </c>
      <c r="I119" s="58">
        <v>17040</v>
      </c>
      <c r="J119" s="58">
        <v>0</v>
      </c>
      <c r="K119" s="1">
        <f t="shared" si="8"/>
        <v>826240.3</v>
      </c>
      <c r="L119" s="1">
        <f t="shared" si="9"/>
        <v>5006</v>
      </c>
      <c r="M119" s="1">
        <f>VLOOKUP(B119,'[1]Срок Годности'!$A$2:$B$4,2,0)</f>
        <v>1000</v>
      </c>
      <c r="N119" s="60">
        <f t="shared" si="10"/>
        <v>6238</v>
      </c>
      <c r="O119" s="1" t="str">
        <f t="shared" si="11"/>
        <v>25 2012</v>
      </c>
      <c r="P119" s="1">
        <f t="shared" si="12"/>
        <v>22</v>
      </c>
      <c r="Q119" s="1">
        <f t="shared" ca="1" si="13"/>
        <v>4054</v>
      </c>
      <c r="S119" s="1">
        <f t="shared" si="7"/>
        <v>17040</v>
      </c>
    </row>
    <row r="120" spans="1:19" x14ac:dyDescent="0.2">
      <c r="A120" s="57" t="s">
        <v>228</v>
      </c>
      <c r="B120" s="57" t="s">
        <v>237</v>
      </c>
      <c r="C120" s="57" t="s">
        <v>238</v>
      </c>
      <c r="D120" s="58">
        <v>165.05</v>
      </c>
      <c r="E120" s="59">
        <v>41080</v>
      </c>
      <c r="F120" s="58">
        <v>17040</v>
      </c>
      <c r="G120" s="58">
        <v>6029</v>
      </c>
      <c r="H120" s="58">
        <v>4626</v>
      </c>
      <c r="I120" s="58">
        <v>18382</v>
      </c>
      <c r="J120" s="58">
        <v>0</v>
      </c>
      <c r="K120" s="1">
        <f t="shared" si="8"/>
        <v>763521.3</v>
      </c>
      <c r="L120" s="1">
        <f t="shared" si="9"/>
        <v>4626</v>
      </c>
      <c r="M120" s="1">
        <f>VLOOKUP(B120,'[1]Срок Годности'!$A$2:$B$4,2,0)</f>
        <v>1000</v>
      </c>
      <c r="N120" s="60">
        <f t="shared" si="10"/>
        <v>6029</v>
      </c>
      <c r="O120" s="1" t="str">
        <f t="shared" si="11"/>
        <v>25 2012</v>
      </c>
      <c r="P120" s="1">
        <f t="shared" si="12"/>
        <v>22</v>
      </c>
      <c r="Q120" s="1">
        <f t="shared" ca="1" si="13"/>
        <v>4053</v>
      </c>
      <c r="S120" s="1">
        <f t="shared" si="7"/>
        <v>18382</v>
      </c>
    </row>
    <row r="121" spans="1:19" x14ac:dyDescent="0.2">
      <c r="A121" s="57" t="s">
        <v>228</v>
      </c>
      <c r="B121" s="57" t="s">
        <v>237</v>
      </c>
      <c r="C121" s="57" t="s">
        <v>238</v>
      </c>
      <c r="D121" s="58">
        <v>165.05</v>
      </c>
      <c r="E121" s="59">
        <v>41081</v>
      </c>
      <c r="F121" s="58">
        <v>18382</v>
      </c>
      <c r="G121" s="58">
        <v>5801</v>
      </c>
      <c r="H121" s="58">
        <v>4095</v>
      </c>
      <c r="I121" s="58">
        <v>20075</v>
      </c>
      <c r="J121" s="58">
        <v>0</v>
      </c>
      <c r="K121" s="1">
        <f t="shared" si="8"/>
        <v>675879.75</v>
      </c>
      <c r="L121" s="1">
        <f t="shared" si="9"/>
        <v>4095</v>
      </c>
      <c r="M121" s="1">
        <f>VLOOKUP(B121,'[1]Срок Годности'!$A$2:$B$4,2,0)</f>
        <v>1000</v>
      </c>
      <c r="N121" s="60">
        <f t="shared" si="10"/>
        <v>5801</v>
      </c>
      <c r="O121" s="1" t="str">
        <f t="shared" si="11"/>
        <v>25 2012</v>
      </c>
      <c r="P121" s="1">
        <f t="shared" si="12"/>
        <v>22</v>
      </c>
      <c r="Q121" s="1">
        <f t="shared" ca="1" si="13"/>
        <v>4052</v>
      </c>
      <c r="S121" s="1">
        <f t="shared" si="7"/>
        <v>20075</v>
      </c>
    </row>
    <row r="122" spans="1:19" x14ac:dyDescent="0.2">
      <c r="A122" s="57" t="s">
        <v>228</v>
      </c>
      <c r="B122" s="57" t="s">
        <v>237</v>
      </c>
      <c r="C122" s="57" t="s">
        <v>238</v>
      </c>
      <c r="D122" s="58">
        <v>165.05</v>
      </c>
      <c r="E122" s="59">
        <v>41082</v>
      </c>
      <c r="F122" s="58">
        <v>20075</v>
      </c>
      <c r="G122" s="58">
        <v>6812</v>
      </c>
      <c r="H122" s="58">
        <v>4203</v>
      </c>
      <c r="I122" s="58">
        <v>22621</v>
      </c>
      <c r="J122" s="58">
        <v>1</v>
      </c>
      <c r="K122" s="1">
        <f t="shared" si="8"/>
        <v>693705.15</v>
      </c>
      <c r="L122" s="1">
        <f t="shared" si="9"/>
        <v>4203</v>
      </c>
      <c r="M122" s="1">
        <f>VLOOKUP(B122,'[1]Срок Годности'!$A$2:$B$4,2,0)</f>
        <v>1000</v>
      </c>
      <c r="N122" s="60">
        <f t="shared" si="10"/>
        <v>6812</v>
      </c>
      <c r="O122" s="1" t="str">
        <f t="shared" si="11"/>
        <v>25 2012</v>
      </c>
      <c r="P122" s="1">
        <f t="shared" si="12"/>
        <v>22</v>
      </c>
      <c r="Q122" s="1">
        <f t="shared" ca="1" si="13"/>
        <v>4051</v>
      </c>
      <c r="S122" s="1">
        <f t="shared" si="7"/>
        <v>22620</v>
      </c>
    </row>
    <row r="123" spans="1:19" x14ac:dyDescent="0.2">
      <c r="A123" s="57" t="s">
        <v>228</v>
      </c>
      <c r="B123" s="57" t="s">
        <v>237</v>
      </c>
      <c r="C123" s="57" t="s">
        <v>238</v>
      </c>
      <c r="D123" s="58">
        <v>165.05</v>
      </c>
      <c r="E123" s="59">
        <v>41083</v>
      </c>
      <c r="F123" s="58">
        <v>22621</v>
      </c>
      <c r="G123" s="58">
        <v>4832</v>
      </c>
      <c r="H123" s="58">
        <v>4762</v>
      </c>
      <c r="I123" s="58">
        <v>22636</v>
      </c>
      <c r="J123" s="58">
        <v>0</v>
      </c>
      <c r="K123" s="1">
        <f t="shared" si="8"/>
        <v>785968.10000000009</v>
      </c>
      <c r="L123" s="1">
        <f t="shared" si="9"/>
        <v>4762</v>
      </c>
      <c r="M123" s="1">
        <f>VLOOKUP(B123,'[1]Срок Годности'!$A$2:$B$4,2,0)</f>
        <v>1000</v>
      </c>
      <c r="N123" s="60">
        <f t="shared" si="10"/>
        <v>4832</v>
      </c>
      <c r="O123" s="1" t="str">
        <f t="shared" si="11"/>
        <v>25 2012</v>
      </c>
      <c r="P123" s="1">
        <f t="shared" si="12"/>
        <v>22</v>
      </c>
      <c r="Q123" s="1">
        <f t="shared" ca="1" si="13"/>
        <v>4050</v>
      </c>
      <c r="S123" s="1">
        <f t="shared" si="7"/>
        <v>22636</v>
      </c>
    </row>
    <row r="124" spans="1:19" x14ac:dyDescent="0.2">
      <c r="A124" s="57" t="s">
        <v>228</v>
      </c>
      <c r="B124" s="57" t="s">
        <v>237</v>
      </c>
      <c r="C124" s="57" t="s">
        <v>238</v>
      </c>
      <c r="D124" s="58">
        <v>165.05</v>
      </c>
      <c r="E124" s="59">
        <v>41084</v>
      </c>
      <c r="F124" s="58">
        <v>22636</v>
      </c>
      <c r="G124" s="58">
        <v>4206</v>
      </c>
      <c r="H124" s="58">
        <v>4648</v>
      </c>
      <c r="I124" s="58">
        <v>22151</v>
      </c>
      <c r="J124" s="58">
        <v>0</v>
      </c>
      <c r="K124" s="1">
        <f t="shared" si="8"/>
        <v>767152.4</v>
      </c>
      <c r="L124" s="1">
        <f t="shared" si="9"/>
        <v>4648</v>
      </c>
      <c r="M124" s="1">
        <f>VLOOKUP(B124,'[1]Срок Годности'!$A$2:$B$4,2,0)</f>
        <v>1000</v>
      </c>
      <c r="N124" s="60">
        <f t="shared" si="10"/>
        <v>0</v>
      </c>
      <c r="O124" s="1" t="str">
        <f t="shared" si="11"/>
        <v>26 2012</v>
      </c>
      <c r="P124" s="1">
        <f t="shared" si="12"/>
        <v>22</v>
      </c>
      <c r="Q124" s="1">
        <f t="shared" ca="1" si="13"/>
        <v>4049</v>
      </c>
      <c r="S124" s="1">
        <f t="shared" si="7"/>
        <v>22151</v>
      </c>
    </row>
    <row r="125" spans="1:19" x14ac:dyDescent="0.2">
      <c r="A125" s="57" t="s">
        <v>228</v>
      </c>
      <c r="B125" s="57" t="s">
        <v>237</v>
      </c>
      <c r="C125" s="57" t="s">
        <v>238</v>
      </c>
      <c r="D125" s="58">
        <v>165.05</v>
      </c>
      <c r="E125" s="59">
        <v>41085</v>
      </c>
      <c r="F125" s="58">
        <v>22151</v>
      </c>
      <c r="G125" s="58">
        <v>4550</v>
      </c>
      <c r="H125" s="58">
        <v>4188</v>
      </c>
      <c r="I125" s="58">
        <v>22480</v>
      </c>
      <c r="J125" s="58">
        <v>0</v>
      </c>
      <c r="K125" s="1">
        <f t="shared" si="8"/>
        <v>691229.4</v>
      </c>
      <c r="L125" s="1">
        <f t="shared" si="9"/>
        <v>4188</v>
      </c>
      <c r="M125" s="1">
        <f>VLOOKUP(B125,'[1]Срок Годности'!$A$2:$B$4,2,0)</f>
        <v>1000</v>
      </c>
      <c r="N125" s="60">
        <f t="shared" si="10"/>
        <v>4550</v>
      </c>
      <c r="O125" s="1" t="str">
        <f t="shared" si="11"/>
        <v>26 2012</v>
      </c>
      <c r="P125" s="1">
        <f t="shared" si="12"/>
        <v>22</v>
      </c>
      <c r="Q125" s="1">
        <f t="shared" ca="1" si="13"/>
        <v>4048</v>
      </c>
      <c r="S125" s="1">
        <f t="shared" si="7"/>
        <v>22480</v>
      </c>
    </row>
    <row r="126" spans="1:19" x14ac:dyDescent="0.2">
      <c r="A126" s="57" t="s">
        <v>228</v>
      </c>
      <c r="B126" s="57" t="s">
        <v>237</v>
      </c>
      <c r="C126" s="57" t="s">
        <v>238</v>
      </c>
      <c r="D126" s="58">
        <v>165.05</v>
      </c>
      <c r="E126" s="59">
        <v>41086</v>
      </c>
      <c r="F126" s="58">
        <v>22480</v>
      </c>
      <c r="G126" s="58">
        <v>4306</v>
      </c>
      <c r="H126" s="58">
        <v>4317</v>
      </c>
      <c r="I126" s="58">
        <v>22395</v>
      </c>
      <c r="J126" s="58">
        <v>0</v>
      </c>
      <c r="K126" s="1">
        <f t="shared" si="8"/>
        <v>712520.85000000009</v>
      </c>
      <c r="L126" s="1">
        <f t="shared" si="9"/>
        <v>4317</v>
      </c>
      <c r="M126" s="1">
        <f>VLOOKUP(B126,'[1]Срок Годности'!$A$2:$B$4,2,0)</f>
        <v>1000</v>
      </c>
      <c r="N126" s="60">
        <f t="shared" si="10"/>
        <v>4306</v>
      </c>
      <c r="O126" s="1" t="str">
        <f t="shared" si="11"/>
        <v>26 2012</v>
      </c>
      <c r="P126" s="1">
        <f t="shared" si="12"/>
        <v>22</v>
      </c>
      <c r="Q126" s="1">
        <f t="shared" ca="1" si="13"/>
        <v>4047</v>
      </c>
      <c r="S126" s="1">
        <f t="shared" si="7"/>
        <v>22395</v>
      </c>
    </row>
    <row r="127" spans="1:19" x14ac:dyDescent="0.2">
      <c r="A127" s="57" t="s">
        <v>228</v>
      </c>
      <c r="B127" s="57" t="s">
        <v>237</v>
      </c>
      <c r="C127" s="57" t="s">
        <v>238</v>
      </c>
      <c r="D127" s="58">
        <v>165.05</v>
      </c>
      <c r="E127" s="59">
        <v>41087</v>
      </c>
      <c r="F127" s="58">
        <v>22395</v>
      </c>
      <c r="G127" s="58">
        <v>3095</v>
      </c>
      <c r="H127" s="58">
        <v>4595</v>
      </c>
      <c r="I127" s="58">
        <v>20798</v>
      </c>
      <c r="J127" s="58">
        <v>0</v>
      </c>
      <c r="K127" s="1">
        <f t="shared" si="8"/>
        <v>758404.75</v>
      </c>
      <c r="L127" s="1">
        <f t="shared" si="9"/>
        <v>4595</v>
      </c>
      <c r="M127" s="1">
        <f>VLOOKUP(B127,'[1]Срок Годности'!$A$2:$B$4,2,0)</f>
        <v>1000</v>
      </c>
      <c r="N127" s="60">
        <f t="shared" si="10"/>
        <v>3095</v>
      </c>
      <c r="O127" s="1" t="str">
        <f t="shared" si="11"/>
        <v>26 2012</v>
      </c>
      <c r="P127" s="1">
        <f t="shared" si="12"/>
        <v>22</v>
      </c>
      <c r="Q127" s="1">
        <f t="shared" ca="1" si="13"/>
        <v>4046</v>
      </c>
      <c r="S127" s="1">
        <f t="shared" si="7"/>
        <v>20798</v>
      </c>
    </row>
    <row r="128" spans="1:19" x14ac:dyDescent="0.2">
      <c r="A128" s="57" t="s">
        <v>228</v>
      </c>
      <c r="B128" s="57" t="s">
        <v>237</v>
      </c>
      <c r="C128" s="57" t="s">
        <v>238</v>
      </c>
      <c r="D128" s="58">
        <v>165.05</v>
      </c>
      <c r="E128" s="59">
        <v>41088</v>
      </c>
      <c r="F128" s="58">
        <v>20798</v>
      </c>
      <c r="G128" s="58">
        <v>3590</v>
      </c>
      <c r="H128" s="58">
        <v>4564</v>
      </c>
      <c r="I128" s="58">
        <v>19759</v>
      </c>
      <c r="J128" s="58">
        <v>2</v>
      </c>
      <c r="K128" s="1">
        <f t="shared" si="8"/>
        <v>753288.20000000007</v>
      </c>
      <c r="L128" s="1">
        <f t="shared" si="9"/>
        <v>4564</v>
      </c>
      <c r="M128" s="1">
        <f>VLOOKUP(B128,'[1]Срок Годности'!$A$2:$B$4,2,0)</f>
        <v>1000</v>
      </c>
      <c r="N128" s="60">
        <f t="shared" si="10"/>
        <v>3590</v>
      </c>
      <c r="O128" s="1" t="str">
        <f t="shared" si="11"/>
        <v>26 2012</v>
      </c>
      <c r="P128" s="1">
        <f t="shared" si="12"/>
        <v>22</v>
      </c>
      <c r="Q128" s="1">
        <f t="shared" ca="1" si="13"/>
        <v>4045</v>
      </c>
      <c r="S128" s="1">
        <f t="shared" si="7"/>
        <v>19757</v>
      </c>
    </row>
    <row r="129" spans="1:19" x14ac:dyDescent="0.2">
      <c r="A129" s="57" t="s">
        <v>228</v>
      </c>
      <c r="B129" s="57" t="s">
        <v>237</v>
      </c>
      <c r="C129" s="57" t="s">
        <v>238</v>
      </c>
      <c r="D129" s="58">
        <v>165.05</v>
      </c>
      <c r="E129" s="59">
        <v>41089</v>
      </c>
      <c r="F129" s="58">
        <v>19759</v>
      </c>
      <c r="G129" s="58">
        <v>4672</v>
      </c>
      <c r="H129" s="58">
        <v>4745</v>
      </c>
      <c r="I129" s="58">
        <v>19610</v>
      </c>
      <c r="J129" s="58">
        <v>0</v>
      </c>
      <c r="K129" s="1">
        <f t="shared" si="8"/>
        <v>783162.25</v>
      </c>
      <c r="L129" s="1">
        <f t="shared" si="9"/>
        <v>4745</v>
      </c>
      <c r="M129" s="1">
        <f>VLOOKUP(B129,'[1]Срок Годности'!$A$2:$B$4,2,0)</f>
        <v>1000</v>
      </c>
      <c r="N129" s="60">
        <f t="shared" si="10"/>
        <v>4672</v>
      </c>
      <c r="O129" s="1" t="str">
        <f t="shared" si="11"/>
        <v>26 2012</v>
      </c>
      <c r="P129" s="1">
        <f t="shared" si="12"/>
        <v>22</v>
      </c>
      <c r="Q129" s="1">
        <f t="shared" ca="1" si="13"/>
        <v>4044</v>
      </c>
      <c r="S129" s="1">
        <f t="shared" si="7"/>
        <v>19610</v>
      </c>
    </row>
    <row r="130" spans="1:19" x14ac:dyDescent="0.2">
      <c r="A130" s="57" t="s">
        <v>228</v>
      </c>
      <c r="B130" s="57" t="s">
        <v>237</v>
      </c>
      <c r="C130" s="57" t="s">
        <v>238</v>
      </c>
      <c r="D130" s="58">
        <v>165.05</v>
      </c>
      <c r="E130" s="59">
        <v>41090</v>
      </c>
      <c r="F130" s="58">
        <v>19610</v>
      </c>
      <c r="G130" s="58">
        <v>4995</v>
      </c>
      <c r="H130" s="58">
        <v>5713</v>
      </c>
      <c r="I130" s="58">
        <v>18863</v>
      </c>
      <c r="J130" s="58">
        <v>0</v>
      </c>
      <c r="K130" s="1">
        <f t="shared" si="8"/>
        <v>942930.65</v>
      </c>
      <c r="L130" s="1">
        <f t="shared" si="9"/>
        <v>5713</v>
      </c>
      <c r="M130" s="1">
        <f>VLOOKUP(B130,'[1]Срок Годности'!$A$2:$B$4,2,0)</f>
        <v>1000</v>
      </c>
      <c r="N130" s="60">
        <f t="shared" si="10"/>
        <v>4995</v>
      </c>
      <c r="O130" s="1" t="str">
        <f t="shared" si="11"/>
        <v>26 2012</v>
      </c>
      <c r="P130" s="1">
        <f t="shared" si="12"/>
        <v>22</v>
      </c>
      <c r="Q130" s="1">
        <f t="shared" ca="1" si="13"/>
        <v>4043</v>
      </c>
      <c r="S130" s="1">
        <f t="shared" si="7"/>
        <v>18863</v>
      </c>
    </row>
    <row r="131" spans="1:19" x14ac:dyDescent="0.2">
      <c r="A131" s="57" t="s">
        <v>228</v>
      </c>
      <c r="B131" s="57" t="s">
        <v>237</v>
      </c>
      <c r="C131" s="57" t="s">
        <v>238</v>
      </c>
      <c r="D131" s="58">
        <v>165.05</v>
      </c>
      <c r="E131" s="59">
        <v>41091</v>
      </c>
      <c r="F131" s="58">
        <v>18863</v>
      </c>
      <c r="G131" s="58">
        <v>5595</v>
      </c>
      <c r="H131" s="58">
        <v>5114</v>
      </c>
      <c r="I131" s="58">
        <v>19307</v>
      </c>
      <c r="J131" s="58">
        <v>0</v>
      </c>
      <c r="K131" s="1">
        <f t="shared" si="8"/>
        <v>844065.70000000007</v>
      </c>
      <c r="L131" s="1">
        <f t="shared" si="9"/>
        <v>5114</v>
      </c>
      <c r="M131" s="1">
        <f>VLOOKUP(B131,'[1]Срок Годности'!$A$2:$B$4,2,0)</f>
        <v>1000</v>
      </c>
      <c r="N131" s="60">
        <f t="shared" si="10"/>
        <v>0</v>
      </c>
      <c r="O131" s="1" t="str">
        <f t="shared" si="11"/>
        <v>27 2012</v>
      </c>
      <c r="P131" s="1">
        <f t="shared" si="12"/>
        <v>22</v>
      </c>
      <c r="Q131" s="1">
        <f t="shared" ca="1" si="13"/>
        <v>4042</v>
      </c>
      <c r="S131" s="1">
        <f t="shared" si="7"/>
        <v>19307</v>
      </c>
    </row>
    <row r="132" spans="1:19" x14ac:dyDescent="0.2">
      <c r="A132" s="57" t="s">
        <v>228</v>
      </c>
      <c r="B132" s="57" t="s">
        <v>237</v>
      </c>
      <c r="C132" s="57" t="s">
        <v>238</v>
      </c>
      <c r="D132" s="58">
        <v>165.05</v>
      </c>
      <c r="E132" s="59">
        <v>41092</v>
      </c>
      <c r="F132" s="58">
        <v>19307</v>
      </c>
      <c r="G132" s="58">
        <v>5977</v>
      </c>
      <c r="H132" s="58">
        <v>4609</v>
      </c>
      <c r="I132" s="58">
        <v>20626</v>
      </c>
      <c r="J132" s="58">
        <v>0</v>
      </c>
      <c r="K132" s="1">
        <f t="shared" si="8"/>
        <v>760715.45000000007</v>
      </c>
      <c r="L132" s="1">
        <f t="shared" si="9"/>
        <v>4609</v>
      </c>
      <c r="M132" s="1">
        <f>VLOOKUP(B132,'[1]Срок Годности'!$A$2:$B$4,2,0)</f>
        <v>1000</v>
      </c>
      <c r="N132" s="60">
        <f t="shared" si="10"/>
        <v>5977</v>
      </c>
      <c r="O132" s="1" t="str">
        <f t="shared" si="11"/>
        <v>27 2012</v>
      </c>
      <c r="P132" s="1">
        <f t="shared" si="12"/>
        <v>22</v>
      </c>
      <c r="Q132" s="1">
        <f t="shared" ca="1" si="13"/>
        <v>4041</v>
      </c>
      <c r="S132" s="1">
        <f t="shared" si="7"/>
        <v>20626</v>
      </c>
    </row>
    <row r="133" spans="1:19" x14ac:dyDescent="0.2">
      <c r="A133" s="57" t="s">
        <v>228</v>
      </c>
      <c r="B133" s="57" t="s">
        <v>237</v>
      </c>
      <c r="C133" s="57" t="s">
        <v>238</v>
      </c>
      <c r="D133" s="58">
        <v>165.05</v>
      </c>
      <c r="E133" s="59">
        <v>41093</v>
      </c>
      <c r="F133" s="58">
        <v>20626</v>
      </c>
      <c r="G133" s="58">
        <v>5317</v>
      </c>
      <c r="H133" s="58">
        <v>4527</v>
      </c>
      <c r="I133" s="58">
        <v>21392</v>
      </c>
      <c r="J133" s="58">
        <v>0</v>
      </c>
      <c r="K133" s="1">
        <f t="shared" si="8"/>
        <v>747181.35000000009</v>
      </c>
      <c r="L133" s="1">
        <f t="shared" si="9"/>
        <v>4527</v>
      </c>
      <c r="M133" s="1">
        <f>VLOOKUP(B133,'[1]Срок Годности'!$A$2:$B$4,2,0)</f>
        <v>1000</v>
      </c>
      <c r="N133" s="60">
        <f t="shared" si="10"/>
        <v>5317</v>
      </c>
      <c r="O133" s="1" t="str">
        <f t="shared" si="11"/>
        <v>27 2012</v>
      </c>
      <c r="P133" s="1">
        <f t="shared" si="12"/>
        <v>22</v>
      </c>
      <c r="Q133" s="1">
        <f t="shared" ca="1" si="13"/>
        <v>4040</v>
      </c>
      <c r="S133" s="1">
        <f t="shared" si="7"/>
        <v>21392</v>
      </c>
    </row>
    <row r="134" spans="1:19" x14ac:dyDescent="0.2">
      <c r="A134" s="57" t="s">
        <v>228</v>
      </c>
      <c r="B134" s="57" t="s">
        <v>237</v>
      </c>
      <c r="C134" s="57" t="s">
        <v>238</v>
      </c>
      <c r="D134" s="58">
        <v>165.05</v>
      </c>
      <c r="E134" s="59">
        <v>41094</v>
      </c>
      <c r="F134" s="58">
        <v>21392</v>
      </c>
      <c r="G134" s="58">
        <v>4863</v>
      </c>
      <c r="H134" s="58">
        <v>4501</v>
      </c>
      <c r="I134" s="58">
        <v>21656</v>
      </c>
      <c r="J134" s="58">
        <v>0</v>
      </c>
      <c r="K134" s="1">
        <f t="shared" si="8"/>
        <v>742890.05</v>
      </c>
      <c r="L134" s="1">
        <f t="shared" si="9"/>
        <v>4501</v>
      </c>
      <c r="M134" s="1">
        <f>VLOOKUP(B134,'[1]Срок Годности'!$A$2:$B$4,2,0)</f>
        <v>1000</v>
      </c>
      <c r="N134" s="60">
        <f t="shared" si="10"/>
        <v>4863</v>
      </c>
      <c r="O134" s="1" t="str">
        <f t="shared" si="11"/>
        <v>27 2012</v>
      </c>
      <c r="P134" s="1">
        <f t="shared" si="12"/>
        <v>22</v>
      </c>
      <c r="Q134" s="1">
        <f t="shared" ca="1" si="13"/>
        <v>4039</v>
      </c>
      <c r="S134" s="1">
        <f t="shared" si="7"/>
        <v>21656</v>
      </c>
    </row>
    <row r="135" spans="1:19" x14ac:dyDescent="0.2">
      <c r="A135" s="57" t="s">
        <v>228</v>
      </c>
      <c r="B135" s="57" t="s">
        <v>237</v>
      </c>
      <c r="C135" s="57" t="s">
        <v>238</v>
      </c>
      <c r="D135" s="58">
        <v>165.05</v>
      </c>
      <c r="E135" s="59">
        <v>41095</v>
      </c>
      <c r="F135" s="58">
        <v>21656</v>
      </c>
      <c r="G135" s="58">
        <v>4820</v>
      </c>
      <c r="H135" s="58">
        <v>4222</v>
      </c>
      <c r="I135" s="58">
        <v>22238</v>
      </c>
      <c r="J135" s="58">
        <v>0</v>
      </c>
      <c r="K135" s="1">
        <f t="shared" si="8"/>
        <v>696841.10000000009</v>
      </c>
      <c r="L135" s="1">
        <f t="shared" si="9"/>
        <v>4222</v>
      </c>
      <c r="M135" s="1">
        <f>VLOOKUP(B135,'[1]Срок Годности'!$A$2:$B$4,2,0)</f>
        <v>1000</v>
      </c>
      <c r="N135" s="60">
        <f t="shared" si="10"/>
        <v>4820</v>
      </c>
      <c r="O135" s="1" t="str">
        <f t="shared" si="11"/>
        <v>27 2012</v>
      </c>
      <c r="P135" s="1">
        <f t="shared" si="12"/>
        <v>22</v>
      </c>
      <c r="Q135" s="1">
        <f t="shared" ca="1" si="13"/>
        <v>4038</v>
      </c>
      <c r="S135" s="1">
        <f t="shared" ref="S135:S198" si="14">I135-J135</f>
        <v>22238</v>
      </c>
    </row>
    <row r="136" spans="1:19" x14ac:dyDescent="0.2">
      <c r="A136" s="57" t="s">
        <v>228</v>
      </c>
      <c r="B136" s="57" t="s">
        <v>237</v>
      </c>
      <c r="C136" s="57" t="s">
        <v>238</v>
      </c>
      <c r="D136" s="58">
        <v>165.05</v>
      </c>
      <c r="E136" s="59">
        <v>41096</v>
      </c>
      <c r="F136" s="58">
        <v>22238</v>
      </c>
      <c r="G136" s="58">
        <v>4223</v>
      </c>
      <c r="H136" s="58">
        <v>3833</v>
      </c>
      <c r="I136" s="58">
        <v>22555</v>
      </c>
      <c r="J136" s="58">
        <v>0</v>
      </c>
      <c r="K136" s="1">
        <f t="shared" ref="K136:K199" si="15">H136*D136</f>
        <v>632636.65</v>
      </c>
      <c r="L136" s="1">
        <f t="shared" ref="L136:L199" si="16">IF(H136&gt;1000,H136,"")</f>
        <v>3833</v>
      </c>
      <c r="M136" s="1">
        <f>VLOOKUP(B136,'[1]Срок Годности'!$A$2:$B$4,2,0)</f>
        <v>1000</v>
      </c>
      <c r="N136" s="60">
        <f t="shared" ref="N136:N199" si="17">IF(WEEKDAY(E136) = 1, 0, G136)</f>
        <v>4223</v>
      </c>
      <c r="O136" s="1" t="str">
        <f t="shared" ref="O136:O199" si="18">WEEKNUM(E136) &amp; " " &amp; YEAR(E136)</f>
        <v>27 2012</v>
      </c>
      <c r="P136" s="1">
        <f t="shared" ref="P136:P199" si="19">LEN(C136)</f>
        <v>22</v>
      </c>
      <c r="Q136" s="1">
        <f t="shared" ref="Q136:Q199" ca="1" si="20">DATEDIF(E136,NOW(),"D")</f>
        <v>4037</v>
      </c>
      <c r="S136" s="1">
        <f t="shared" si="14"/>
        <v>22555</v>
      </c>
    </row>
    <row r="137" spans="1:19" x14ac:dyDescent="0.2">
      <c r="A137" s="57" t="s">
        <v>228</v>
      </c>
      <c r="B137" s="57" t="s">
        <v>237</v>
      </c>
      <c r="C137" s="57" t="s">
        <v>238</v>
      </c>
      <c r="D137" s="58">
        <v>165.05</v>
      </c>
      <c r="E137" s="59">
        <v>41097</v>
      </c>
      <c r="F137" s="58">
        <v>22555</v>
      </c>
      <c r="G137" s="58">
        <v>4281</v>
      </c>
      <c r="H137" s="58">
        <v>4348</v>
      </c>
      <c r="I137" s="58">
        <v>22410</v>
      </c>
      <c r="J137" s="58">
        <v>0</v>
      </c>
      <c r="K137" s="1">
        <f t="shared" si="15"/>
        <v>717637.4</v>
      </c>
      <c r="L137" s="1">
        <f t="shared" si="16"/>
        <v>4348</v>
      </c>
      <c r="M137" s="1">
        <f>VLOOKUP(B137,'[1]Срок Годности'!$A$2:$B$4,2,0)</f>
        <v>1000</v>
      </c>
      <c r="N137" s="60">
        <f t="shared" si="17"/>
        <v>4281</v>
      </c>
      <c r="O137" s="1" t="str">
        <f t="shared" si="18"/>
        <v>27 2012</v>
      </c>
      <c r="P137" s="1">
        <f t="shared" si="19"/>
        <v>22</v>
      </c>
      <c r="Q137" s="1">
        <f t="shared" ca="1" si="20"/>
        <v>4036</v>
      </c>
      <c r="S137" s="1">
        <f t="shared" si="14"/>
        <v>22410</v>
      </c>
    </row>
    <row r="138" spans="1:19" x14ac:dyDescent="0.2">
      <c r="A138" s="57" t="s">
        <v>228</v>
      </c>
      <c r="B138" s="57" t="s">
        <v>237</v>
      </c>
      <c r="C138" s="57" t="s">
        <v>238</v>
      </c>
      <c r="D138" s="58">
        <v>165.05</v>
      </c>
      <c r="E138" s="59">
        <v>41098</v>
      </c>
      <c r="F138" s="58">
        <v>22410</v>
      </c>
      <c r="G138" s="58">
        <v>3772</v>
      </c>
      <c r="H138" s="58">
        <v>3873</v>
      </c>
      <c r="I138" s="58">
        <v>22239</v>
      </c>
      <c r="J138" s="58">
        <v>0</v>
      </c>
      <c r="K138" s="1">
        <f t="shared" si="15"/>
        <v>639238.65</v>
      </c>
      <c r="L138" s="1">
        <f t="shared" si="16"/>
        <v>3873</v>
      </c>
      <c r="M138" s="1">
        <f>VLOOKUP(B138,'[1]Срок Годности'!$A$2:$B$4,2,0)</f>
        <v>1000</v>
      </c>
      <c r="N138" s="60">
        <f t="shared" si="17"/>
        <v>0</v>
      </c>
      <c r="O138" s="1" t="str">
        <f t="shared" si="18"/>
        <v>28 2012</v>
      </c>
      <c r="P138" s="1">
        <f t="shared" si="19"/>
        <v>22</v>
      </c>
      <c r="Q138" s="1">
        <f t="shared" ca="1" si="20"/>
        <v>4035</v>
      </c>
      <c r="S138" s="1">
        <f t="shared" si="14"/>
        <v>22239</v>
      </c>
    </row>
    <row r="139" spans="1:19" x14ac:dyDescent="0.2">
      <c r="A139" s="57" t="s">
        <v>228</v>
      </c>
      <c r="B139" s="57" t="s">
        <v>237</v>
      </c>
      <c r="C139" s="57" t="s">
        <v>238</v>
      </c>
      <c r="D139" s="58">
        <v>165.05</v>
      </c>
      <c r="E139" s="59">
        <v>41099</v>
      </c>
      <c r="F139" s="58">
        <v>22239</v>
      </c>
      <c r="G139" s="58">
        <v>2758</v>
      </c>
      <c r="H139" s="58">
        <v>3682</v>
      </c>
      <c r="I139" s="58">
        <v>21228</v>
      </c>
      <c r="J139" s="58">
        <v>0</v>
      </c>
      <c r="K139" s="1">
        <f t="shared" si="15"/>
        <v>607714.10000000009</v>
      </c>
      <c r="L139" s="1">
        <f t="shared" si="16"/>
        <v>3682</v>
      </c>
      <c r="M139" s="1">
        <f>VLOOKUP(B139,'[1]Срок Годности'!$A$2:$B$4,2,0)</f>
        <v>1000</v>
      </c>
      <c r="N139" s="60">
        <f t="shared" si="17"/>
        <v>2758</v>
      </c>
      <c r="O139" s="1" t="str">
        <f t="shared" si="18"/>
        <v>28 2012</v>
      </c>
      <c r="P139" s="1">
        <f t="shared" si="19"/>
        <v>22</v>
      </c>
      <c r="Q139" s="1">
        <f t="shared" ca="1" si="20"/>
        <v>4034</v>
      </c>
      <c r="S139" s="1">
        <f t="shared" si="14"/>
        <v>21228</v>
      </c>
    </row>
    <row r="140" spans="1:19" x14ac:dyDescent="0.2">
      <c r="A140" s="57" t="s">
        <v>228</v>
      </c>
      <c r="B140" s="57" t="s">
        <v>237</v>
      </c>
      <c r="C140" s="57" t="s">
        <v>238</v>
      </c>
      <c r="D140" s="58">
        <v>165.05</v>
      </c>
      <c r="E140" s="59">
        <v>41100</v>
      </c>
      <c r="F140" s="58">
        <v>21228</v>
      </c>
      <c r="G140" s="58">
        <v>3045</v>
      </c>
      <c r="H140" s="58">
        <v>3281</v>
      </c>
      <c r="I140" s="58">
        <v>20867</v>
      </c>
      <c r="J140" s="58">
        <v>0</v>
      </c>
      <c r="K140" s="1">
        <f t="shared" si="15"/>
        <v>541529.05000000005</v>
      </c>
      <c r="L140" s="1">
        <f t="shared" si="16"/>
        <v>3281</v>
      </c>
      <c r="M140" s="1">
        <f>VLOOKUP(B140,'[1]Срок Годности'!$A$2:$B$4,2,0)</f>
        <v>1000</v>
      </c>
      <c r="N140" s="60">
        <f t="shared" si="17"/>
        <v>3045</v>
      </c>
      <c r="O140" s="1" t="str">
        <f t="shared" si="18"/>
        <v>28 2012</v>
      </c>
      <c r="P140" s="1">
        <f t="shared" si="19"/>
        <v>22</v>
      </c>
      <c r="Q140" s="1">
        <f t="shared" ca="1" si="20"/>
        <v>4033</v>
      </c>
      <c r="S140" s="1">
        <f t="shared" si="14"/>
        <v>20867</v>
      </c>
    </row>
    <row r="141" spans="1:19" x14ac:dyDescent="0.2">
      <c r="A141" s="57" t="s">
        <v>228</v>
      </c>
      <c r="B141" s="57" t="s">
        <v>237</v>
      </c>
      <c r="C141" s="57" t="s">
        <v>238</v>
      </c>
      <c r="D141" s="58">
        <v>165.05</v>
      </c>
      <c r="E141" s="59">
        <v>41101</v>
      </c>
      <c r="F141" s="58">
        <v>20867</v>
      </c>
      <c r="G141" s="58">
        <v>2597</v>
      </c>
      <c r="H141" s="58">
        <v>3308</v>
      </c>
      <c r="I141" s="58">
        <v>20089</v>
      </c>
      <c r="J141" s="58">
        <v>0</v>
      </c>
      <c r="K141" s="1">
        <f t="shared" si="15"/>
        <v>545985.4</v>
      </c>
      <c r="L141" s="1">
        <f t="shared" si="16"/>
        <v>3308</v>
      </c>
      <c r="M141" s="1">
        <f>VLOOKUP(B141,'[1]Срок Годности'!$A$2:$B$4,2,0)</f>
        <v>1000</v>
      </c>
      <c r="N141" s="60">
        <f t="shared" si="17"/>
        <v>2597</v>
      </c>
      <c r="O141" s="1" t="str">
        <f t="shared" si="18"/>
        <v>28 2012</v>
      </c>
      <c r="P141" s="1">
        <f t="shared" si="19"/>
        <v>22</v>
      </c>
      <c r="Q141" s="1">
        <f t="shared" ca="1" si="20"/>
        <v>4032</v>
      </c>
      <c r="S141" s="1">
        <f t="shared" si="14"/>
        <v>20089</v>
      </c>
    </row>
    <row r="142" spans="1:19" x14ac:dyDescent="0.2">
      <c r="A142" s="57" t="s">
        <v>228</v>
      </c>
      <c r="B142" s="57" t="s">
        <v>237</v>
      </c>
      <c r="C142" s="57" t="s">
        <v>238</v>
      </c>
      <c r="D142" s="58">
        <v>165.05</v>
      </c>
      <c r="E142" s="59">
        <v>41102</v>
      </c>
      <c r="F142" s="58">
        <v>20089</v>
      </c>
      <c r="G142" s="58">
        <v>2483</v>
      </c>
      <c r="H142" s="58">
        <v>3087</v>
      </c>
      <c r="I142" s="58">
        <v>19431</v>
      </c>
      <c r="J142" s="58">
        <v>0</v>
      </c>
      <c r="K142" s="1">
        <f t="shared" si="15"/>
        <v>509509.35000000003</v>
      </c>
      <c r="L142" s="1">
        <f t="shared" si="16"/>
        <v>3087</v>
      </c>
      <c r="M142" s="1">
        <f>VLOOKUP(B142,'[1]Срок Годности'!$A$2:$B$4,2,0)</f>
        <v>1000</v>
      </c>
      <c r="N142" s="60">
        <f t="shared" si="17"/>
        <v>2483</v>
      </c>
      <c r="O142" s="1" t="str">
        <f t="shared" si="18"/>
        <v>28 2012</v>
      </c>
      <c r="P142" s="1">
        <f t="shared" si="19"/>
        <v>22</v>
      </c>
      <c r="Q142" s="1">
        <f t="shared" ca="1" si="20"/>
        <v>4031</v>
      </c>
      <c r="S142" s="1">
        <f t="shared" si="14"/>
        <v>19431</v>
      </c>
    </row>
    <row r="143" spans="1:19" x14ac:dyDescent="0.2">
      <c r="A143" s="57" t="s">
        <v>228</v>
      </c>
      <c r="B143" s="57" t="s">
        <v>237</v>
      </c>
      <c r="C143" s="57" t="s">
        <v>238</v>
      </c>
      <c r="D143" s="58">
        <v>165.05</v>
      </c>
      <c r="E143" s="59">
        <v>41103</v>
      </c>
      <c r="F143" s="58">
        <v>19431</v>
      </c>
      <c r="G143" s="58">
        <v>2264</v>
      </c>
      <c r="H143" s="58">
        <v>3120</v>
      </c>
      <c r="I143" s="58">
        <v>18533</v>
      </c>
      <c r="J143" s="58">
        <v>0</v>
      </c>
      <c r="K143" s="1">
        <f t="shared" si="15"/>
        <v>514956.00000000006</v>
      </c>
      <c r="L143" s="1">
        <f t="shared" si="16"/>
        <v>3120</v>
      </c>
      <c r="M143" s="1">
        <f>VLOOKUP(B143,'[1]Срок Годности'!$A$2:$B$4,2,0)</f>
        <v>1000</v>
      </c>
      <c r="N143" s="60">
        <f t="shared" si="17"/>
        <v>2264</v>
      </c>
      <c r="O143" s="1" t="str">
        <f t="shared" si="18"/>
        <v>28 2012</v>
      </c>
      <c r="P143" s="1">
        <f t="shared" si="19"/>
        <v>22</v>
      </c>
      <c r="Q143" s="1">
        <f t="shared" ca="1" si="20"/>
        <v>4030</v>
      </c>
      <c r="S143" s="1">
        <f t="shared" si="14"/>
        <v>18533</v>
      </c>
    </row>
    <row r="144" spans="1:19" x14ac:dyDescent="0.2">
      <c r="A144" s="57" t="s">
        <v>228</v>
      </c>
      <c r="B144" s="57" t="s">
        <v>237</v>
      </c>
      <c r="C144" s="57" t="s">
        <v>238</v>
      </c>
      <c r="D144" s="58">
        <v>165.05</v>
      </c>
      <c r="E144" s="59">
        <v>41104</v>
      </c>
      <c r="F144" s="58">
        <v>18533</v>
      </c>
      <c r="G144" s="58">
        <v>2538</v>
      </c>
      <c r="H144" s="58">
        <v>3230</v>
      </c>
      <c r="I144" s="58">
        <v>17801</v>
      </c>
      <c r="J144" s="58">
        <v>0</v>
      </c>
      <c r="K144" s="1">
        <f t="shared" si="15"/>
        <v>533111.5</v>
      </c>
      <c r="L144" s="1">
        <f t="shared" si="16"/>
        <v>3230</v>
      </c>
      <c r="M144" s="1">
        <f>VLOOKUP(B144,'[1]Срок Годности'!$A$2:$B$4,2,0)</f>
        <v>1000</v>
      </c>
      <c r="N144" s="60">
        <f t="shared" si="17"/>
        <v>2538</v>
      </c>
      <c r="O144" s="1" t="str">
        <f t="shared" si="18"/>
        <v>28 2012</v>
      </c>
      <c r="P144" s="1">
        <f t="shared" si="19"/>
        <v>22</v>
      </c>
      <c r="Q144" s="1">
        <f t="shared" ca="1" si="20"/>
        <v>4029</v>
      </c>
      <c r="S144" s="1">
        <f t="shared" si="14"/>
        <v>17801</v>
      </c>
    </row>
    <row r="145" spans="1:19" x14ac:dyDescent="0.2">
      <c r="A145" s="57" t="s">
        <v>228</v>
      </c>
      <c r="B145" s="57" t="s">
        <v>237</v>
      </c>
      <c r="C145" s="57" t="s">
        <v>238</v>
      </c>
      <c r="D145" s="58">
        <v>165.05</v>
      </c>
      <c r="E145" s="59">
        <v>41105</v>
      </c>
      <c r="F145" s="58">
        <v>17801</v>
      </c>
      <c r="G145" s="58">
        <v>2470</v>
      </c>
      <c r="H145" s="58">
        <v>2896</v>
      </c>
      <c r="I145" s="58">
        <v>17355</v>
      </c>
      <c r="J145" s="58">
        <v>0</v>
      </c>
      <c r="K145" s="1">
        <f t="shared" si="15"/>
        <v>477984.80000000005</v>
      </c>
      <c r="L145" s="1">
        <f t="shared" si="16"/>
        <v>2896</v>
      </c>
      <c r="M145" s="1">
        <f>VLOOKUP(B145,'[1]Срок Годности'!$A$2:$B$4,2,0)</f>
        <v>1000</v>
      </c>
      <c r="N145" s="60">
        <f t="shared" si="17"/>
        <v>0</v>
      </c>
      <c r="O145" s="1" t="str">
        <f t="shared" si="18"/>
        <v>29 2012</v>
      </c>
      <c r="P145" s="1">
        <f t="shared" si="19"/>
        <v>22</v>
      </c>
      <c r="Q145" s="1">
        <f t="shared" ca="1" si="20"/>
        <v>4028</v>
      </c>
      <c r="S145" s="1">
        <f t="shared" si="14"/>
        <v>17355</v>
      </c>
    </row>
    <row r="146" spans="1:19" x14ac:dyDescent="0.2">
      <c r="A146" s="57" t="s">
        <v>228</v>
      </c>
      <c r="B146" s="57" t="s">
        <v>237</v>
      </c>
      <c r="C146" s="57" t="s">
        <v>238</v>
      </c>
      <c r="D146" s="58">
        <v>165.05</v>
      </c>
      <c r="E146" s="59">
        <v>41106</v>
      </c>
      <c r="F146" s="58">
        <v>17355</v>
      </c>
      <c r="G146" s="58">
        <v>2245</v>
      </c>
      <c r="H146" s="58">
        <v>2442</v>
      </c>
      <c r="I146" s="58">
        <v>17125</v>
      </c>
      <c r="J146" s="58">
        <v>0</v>
      </c>
      <c r="K146" s="1">
        <f t="shared" si="15"/>
        <v>403052.10000000003</v>
      </c>
      <c r="L146" s="1">
        <f t="shared" si="16"/>
        <v>2442</v>
      </c>
      <c r="M146" s="1">
        <f>VLOOKUP(B146,'[1]Срок Годности'!$A$2:$B$4,2,0)</f>
        <v>1000</v>
      </c>
      <c r="N146" s="60">
        <f t="shared" si="17"/>
        <v>2245</v>
      </c>
      <c r="O146" s="1" t="str">
        <f t="shared" si="18"/>
        <v>29 2012</v>
      </c>
      <c r="P146" s="1">
        <f t="shared" si="19"/>
        <v>22</v>
      </c>
      <c r="Q146" s="1">
        <f t="shared" ca="1" si="20"/>
        <v>4027</v>
      </c>
      <c r="S146" s="1">
        <f t="shared" si="14"/>
        <v>17125</v>
      </c>
    </row>
    <row r="147" spans="1:19" x14ac:dyDescent="0.2">
      <c r="A147" s="57" t="s">
        <v>228</v>
      </c>
      <c r="B147" s="57" t="s">
        <v>237</v>
      </c>
      <c r="C147" s="57" t="s">
        <v>238</v>
      </c>
      <c r="D147" s="58">
        <v>165.05</v>
      </c>
      <c r="E147" s="59">
        <v>41107</v>
      </c>
      <c r="F147" s="58">
        <v>17125</v>
      </c>
      <c r="G147" s="58">
        <v>2065</v>
      </c>
      <c r="H147" s="58">
        <v>2456</v>
      </c>
      <c r="I147" s="58">
        <v>16759</v>
      </c>
      <c r="J147" s="58">
        <v>0</v>
      </c>
      <c r="K147" s="1">
        <f t="shared" si="15"/>
        <v>405362.80000000005</v>
      </c>
      <c r="L147" s="1">
        <f t="shared" si="16"/>
        <v>2456</v>
      </c>
      <c r="M147" s="1">
        <f>VLOOKUP(B147,'[1]Срок Годности'!$A$2:$B$4,2,0)</f>
        <v>1000</v>
      </c>
      <c r="N147" s="60">
        <f t="shared" si="17"/>
        <v>2065</v>
      </c>
      <c r="O147" s="1" t="str">
        <f t="shared" si="18"/>
        <v>29 2012</v>
      </c>
      <c r="P147" s="1">
        <f t="shared" si="19"/>
        <v>22</v>
      </c>
      <c r="Q147" s="1">
        <f t="shared" ca="1" si="20"/>
        <v>4026</v>
      </c>
      <c r="S147" s="1">
        <f t="shared" si="14"/>
        <v>16759</v>
      </c>
    </row>
    <row r="148" spans="1:19" x14ac:dyDescent="0.2">
      <c r="A148" s="57" t="s">
        <v>246</v>
      </c>
      <c r="B148" s="57" t="s">
        <v>244</v>
      </c>
      <c r="C148" s="57" t="s">
        <v>245</v>
      </c>
      <c r="D148" s="58">
        <v>33.659999999999997</v>
      </c>
      <c r="E148" s="59">
        <v>41061</v>
      </c>
      <c r="F148" s="58">
        <v>68163</v>
      </c>
      <c r="G148" s="58">
        <v>11297</v>
      </c>
      <c r="H148" s="58">
        <v>10997</v>
      </c>
      <c r="I148" s="58">
        <v>68377</v>
      </c>
      <c r="J148" s="58">
        <v>1</v>
      </c>
      <c r="K148" s="1">
        <f t="shared" si="15"/>
        <v>370159.01999999996</v>
      </c>
      <c r="L148" s="1">
        <f t="shared" si="16"/>
        <v>10997</v>
      </c>
      <c r="M148" s="1">
        <f>VLOOKUP(B148,'[1]Срок Годности'!$A$2:$B$4,2,0)</f>
        <v>1500</v>
      </c>
      <c r="N148" s="60">
        <f t="shared" si="17"/>
        <v>11297</v>
      </c>
      <c r="O148" s="1" t="str">
        <f t="shared" si="18"/>
        <v>22 2012</v>
      </c>
      <c r="P148" s="1">
        <f t="shared" si="19"/>
        <v>21</v>
      </c>
      <c r="Q148" s="1">
        <f t="shared" ca="1" si="20"/>
        <v>4072</v>
      </c>
      <c r="S148" s="1">
        <f t="shared" si="14"/>
        <v>68376</v>
      </c>
    </row>
    <row r="149" spans="1:19" x14ac:dyDescent="0.2">
      <c r="A149" s="57" t="s">
        <v>246</v>
      </c>
      <c r="B149" s="57" t="s">
        <v>244</v>
      </c>
      <c r="C149" s="57" t="s">
        <v>245</v>
      </c>
      <c r="D149" s="58">
        <v>33.659999999999997</v>
      </c>
      <c r="E149" s="59">
        <v>41062</v>
      </c>
      <c r="F149" s="58">
        <v>68377</v>
      </c>
      <c r="G149" s="58">
        <v>12003</v>
      </c>
      <c r="H149" s="58">
        <v>11060</v>
      </c>
      <c r="I149" s="58">
        <v>69262</v>
      </c>
      <c r="J149" s="58">
        <v>0</v>
      </c>
      <c r="K149" s="1">
        <f t="shared" si="15"/>
        <v>372279.6</v>
      </c>
      <c r="L149" s="1">
        <f t="shared" si="16"/>
        <v>11060</v>
      </c>
      <c r="M149" s="1">
        <f>VLOOKUP(B149,'[1]Срок Годности'!$A$2:$B$4,2,0)</f>
        <v>1500</v>
      </c>
      <c r="N149" s="60">
        <f t="shared" si="17"/>
        <v>12003</v>
      </c>
      <c r="O149" s="1" t="str">
        <f t="shared" si="18"/>
        <v>22 2012</v>
      </c>
      <c r="P149" s="1">
        <f t="shared" si="19"/>
        <v>21</v>
      </c>
      <c r="Q149" s="1">
        <f t="shared" ca="1" si="20"/>
        <v>4071</v>
      </c>
      <c r="S149" s="1">
        <f t="shared" si="14"/>
        <v>69262</v>
      </c>
    </row>
    <row r="150" spans="1:19" x14ac:dyDescent="0.2">
      <c r="A150" s="57" t="s">
        <v>246</v>
      </c>
      <c r="B150" s="57" t="s">
        <v>244</v>
      </c>
      <c r="C150" s="57" t="s">
        <v>245</v>
      </c>
      <c r="D150" s="58">
        <v>33.659999999999997</v>
      </c>
      <c r="E150" s="59">
        <v>41063</v>
      </c>
      <c r="F150" s="58">
        <v>69262</v>
      </c>
      <c r="G150" s="58">
        <v>13320</v>
      </c>
      <c r="H150" s="58">
        <v>10957</v>
      </c>
      <c r="I150" s="58">
        <v>71564</v>
      </c>
      <c r="J150" s="58">
        <v>0</v>
      </c>
      <c r="K150" s="1">
        <f t="shared" si="15"/>
        <v>368812.61999999994</v>
      </c>
      <c r="L150" s="1">
        <f t="shared" si="16"/>
        <v>10957</v>
      </c>
      <c r="M150" s="1">
        <f>VLOOKUP(B150,'[1]Срок Годности'!$A$2:$B$4,2,0)</f>
        <v>1500</v>
      </c>
      <c r="N150" s="60">
        <f t="shared" si="17"/>
        <v>0</v>
      </c>
      <c r="O150" s="1" t="str">
        <f t="shared" si="18"/>
        <v>23 2012</v>
      </c>
      <c r="P150" s="1">
        <f t="shared" si="19"/>
        <v>21</v>
      </c>
      <c r="Q150" s="1">
        <f t="shared" ca="1" si="20"/>
        <v>4070</v>
      </c>
      <c r="S150" s="1">
        <f t="shared" si="14"/>
        <v>71564</v>
      </c>
    </row>
    <row r="151" spans="1:19" x14ac:dyDescent="0.2">
      <c r="A151" s="57" t="s">
        <v>246</v>
      </c>
      <c r="B151" s="57" t="s">
        <v>244</v>
      </c>
      <c r="C151" s="57" t="s">
        <v>245</v>
      </c>
      <c r="D151" s="58">
        <v>33.659999999999997</v>
      </c>
      <c r="E151" s="59">
        <v>41064</v>
      </c>
      <c r="F151" s="58">
        <v>71564</v>
      </c>
      <c r="G151" s="58">
        <v>12204</v>
      </c>
      <c r="H151" s="58">
        <v>11157</v>
      </c>
      <c r="I151" s="58">
        <v>72489</v>
      </c>
      <c r="J151" s="58">
        <v>0</v>
      </c>
      <c r="K151" s="1">
        <f t="shared" si="15"/>
        <v>375544.61999999994</v>
      </c>
      <c r="L151" s="1">
        <f t="shared" si="16"/>
        <v>11157</v>
      </c>
      <c r="M151" s="1">
        <f>VLOOKUP(B151,'[1]Срок Годности'!$A$2:$B$4,2,0)</f>
        <v>1500</v>
      </c>
      <c r="N151" s="60">
        <f t="shared" si="17"/>
        <v>12204</v>
      </c>
      <c r="O151" s="1" t="str">
        <f t="shared" si="18"/>
        <v>23 2012</v>
      </c>
      <c r="P151" s="1">
        <f t="shared" si="19"/>
        <v>21</v>
      </c>
      <c r="Q151" s="1">
        <f t="shared" ca="1" si="20"/>
        <v>4069</v>
      </c>
      <c r="S151" s="1">
        <f t="shared" si="14"/>
        <v>72489</v>
      </c>
    </row>
    <row r="152" spans="1:19" x14ac:dyDescent="0.2">
      <c r="A152" s="57" t="s">
        <v>246</v>
      </c>
      <c r="B152" s="57" t="s">
        <v>244</v>
      </c>
      <c r="C152" s="57" t="s">
        <v>245</v>
      </c>
      <c r="D152" s="58">
        <v>33.659999999999997</v>
      </c>
      <c r="E152" s="59">
        <v>41065</v>
      </c>
      <c r="F152" s="58">
        <v>72489</v>
      </c>
      <c r="G152" s="58">
        <v>11554</v>
      </c>
      <c r="H152" s="58">
        <v>11076</v>
      </c>
      <c r="I152" s="58">
        <v>72947</v>
      </c>
      <c r="J152" s="58">
        <v>0</v>
      </c>
      <c r="K152" s="1">
        <f t="shared" si="15"/>
        <v>372818.16</v>
      </c>
      <c r="L152" s="1">
        <f t="shared" si="16"/>
        <v>11076</v>
      </c>
      <c r="M152" s="1">
        <f>VLOOKUP(B152,'[1]Срок Годности'!$A$2:$B$4,2,0)</f>
        <v>1500</v>
      </c>
      <c r="N152" s="60">
        <f t="shared" si="17"/>
        <v>11554</v>
      </c>
      <c r="O152" s="1" t="str">
        <f t="shared" si="18"/>
        <v>23 2012</v>
      </c>
      <c r="P152" s="1">
        <f t="shared" si="19"/>
        <v>21</v>
      </c>
      <c r="Q152" s="1">
        <f t="shared" ca="1" si="20"/>
        <v>4068</v>
      </c>
      <c r="S152" s="1">
        <f t="shared" si="14"/>
        <v>72947</v>
      </c>
    </row>
    <row r="153" spans="1:19" x14ac:dyDescent="0.2">
      <c r="A153" s="57" t="s">
        <v>246</v>
      </c>
      <c r="B153" s="57" t="s">
        <v>244</v>
      </c>
      <c r="C153" s="57" t="s">
        <v>245</v>
      </c>
      <c r="D153" s="58">
        <v>33.659999999999997</v>
      </c>
      <c r="E153" s="59">
        <v>41066</v>
      </c>
      <c r="F153" s="58">
        <v>72947</v>
      </c>
      <c r="G153" s="58">
        <v>14400</v>
      </c>
      <c r="H153" s="58">
        <v>11289</v>
      </c>
      <c r="I153" s="58">
        <v>76030</v>
      </c>
      <c r="J153" s="58">
        <v>0</v>
      </c>
      <c r="K153" s="1">
        <f t="shared" si="15"/>
        <v>379987.73999999993</v>
      </c>
      <c r="L153" s="1">
        <f t="shared" si="16"/>
        <v>11289</v>
      </c>
      <c r="M153" s="1">
        <f>VLOOKUP(B153,'[1]Срок Годности'!$A$2:$B$4,2,0)</f>
        <v>1500</v>
      </c>
      <c r="N153" s="60">
        <f t="shared" si="17"/>
        <v>14400</v>
      </c>
      <c r="O153" s="1" t="str">
        <f t="shared" si="18"/>
        <v>23 2012</v>
      </c>
      <c r="P153" s="1">
        <f t="shared" si="19"/>
        <v>21</v>
      </c>
      <c r="Q153" s="1">
        <f t="shared" ca="1" si="20"/>
        <v>4067</v>
      </c>
      <c r="S153" s="1">
        <f t="shared" si="14"/>
        <v>76030</v>
      </c>
    </row>
    <row r="154" spans="1:19" x14ac:dyDescent="0.2">
      <c r="A154" s="57" t="s">
        <v>246</v>
      </c>
      <c r="B154" s="57" t="s">
        <v>244</v>
      </c>
      <c r="C154" s="57" t="s">
        <v>245</v>
      </c>
      <c r="D154" s="58">
        <v>33.659999999999997</v>
      </c>
      <c r="E154" s="59">
        <v>41067</v>
      </c>
      <c r="F154" s="58">
        <v>76030</v>
      </c>
      <c r="G154" s="58">
        <v>13256</v>
      </c>
      <c r="H154" s="58">
        <v>12219</v>
      </c>
      <c r="I154" s="58">
        <v>77034</v>
      </c>
      <c r="J154" s="58">
        <v>1</v>
      </c>
      <c r="K154" s="1">
        <f t="shared" si="15"/>
        <v>411291.54</v>
      </c>
      <c r="L154" s="1">
        <f t="shared" si="16"/>
        <v>12219</v>
      </c>
      <c r="M154" s="1">
        <f>VLOOKUP(B154,'[1]Срок Годности'!$A$2:$B$4,2,0)</f>
        <v>1500</v>
      </c>
      <c r="N154" s="60">
        <f t="shared" si="17"/>
        <v>13256</v>
      </c>
      <c r="O154" s="1" t="str">
        <f t="shared" si="18"/>
        <v>23 2012</v>
      </c>
      <c r="P154" s="1">
        <f t="shared" si="19"/>
        <v>21</v>
      </c>
      <c r="Q154" s="1">
        <f t="shared" ca="1" si="20"/>
        <v>4066</v>
      </c>
      <c r="S154" s="1">
        <f t="shared" si="14"/>
        <v>77033</v>
      </c>
    </row>
    <row r="155" spans="1:19" x14ac:dyDescent="0.2">
      <c r="A155" s="57" t="s">
        <v>246</v>
      </c>
      <c r="B155" s="57" t="s">
        <v>244</v>
      </c>
      <c r="C155" s="57" t="s">
        <v>245</v>
      </c>
      <c r="D155" s="58">
        <v>33.659999999999997</v>
      </c>
      <c r="E155" s="59">
        <v>41068</v>
      </c>
      <c r="F155" s="58">
        <v>77034</v>
      </c>
      <c r="G155" s="58">
        <v>12094</v>
      </c>
      <c r="H155" s="58">
        <v>13228</v>
      </c>
      <c r="I155" s="58">
        <v>75797</v>
      </c>
      <c r="J155" s="58">
        <v>0</v>
      </c>
      <c r="K155" s="1">
        <f t="shared" si="15"/>
        <v>445254.48</v>
      </c>
      <c r="L155" s="1">
        <f t="shared" si="16"/>
        <v>13228</v>
      </c>
      <c r="M155" s="1">
        <f>VLOOKUP(B155,'[1]Срок Годности'!$A$2:$B$4,2,0)</f>
        <v>1500</v>
      </c>
      <c r="N155" s="60">
        <f t="shared" si="17"/>
        <v>12094</v>
      </c>
      <c r="O155" s="1" t="str">
        <f t="shared" si="18"/>
        <v>23 2012</v>
      </c>
      <c r="P155" s="1">
        <f t="shared" si="19"/>
        <v>21</v>
      </c>
      <c r="Q155" s="1">
        <f t="shared" ca="1" si="20"/>
        <v>4065</v>
      </c>
      <c r="S155" s="1">
        <f t="shared" si="14"/>
        <v>75797</v>
      </c>
    </row>
    <row r="156" spans="1:19" x14ac:dyDescent="0.2">
      <c r="A156" s="57" t="s">
        <v>246</v>
      </c>
      <c r="B156" s="57" t="s">
        <v>244</v>
      </c>
      <c r="C156" s="57" t="s">
        <v>245</v>
      </c>
      <c r="D156" s="58">
        <v>33.659999999999997</v>
      </c>
      <c r="E156" s="59">
        <v>41069</v>
      </c>
      <c r="F156" s="58">
        <v>75797</v>
      </c>
      <c r="G156" s="58">
        <v>13674</v>
      </c>
      <c r="H156" s="58">
        <v>12075</v>
      </c>
      <c r="I156" s="58">
        <v>77274</v>
      </c>
      <c r="J156" s="58">
        <v>0</v>
      </c>
      <c r="K156" s="1">
        <f t="shared" si="15"/>
        <v>406444.49999999994</v>
      </c>
      <c r="L156" s="1">
        <f t="shared" si="16"/>
        <v>12075</v>
      </c>
      <c r="M156" s="1">
        <f>VLOOKUP(B156,'[1]Срок Годности'!$A$2:$B$4,2,0)</f>
        <v>1500</v>
      </c>
      <c r="N156" s="60">
        <f t="shared" si="17"/>
        <v>13674</v>
      </c>
      <c r="O156" s="1" t="str">
        <f t="shared" si="18"/>
        <v>23 2012</v>
      </c>
      <c r="P156" s="1">
        <f t="shared" si="19"/>
        <v>21</v>
      </c>
      <c r="Q156" s="1">
        <f t="shared" ca="1" si="20"/>
        <v>4064</v>
      </c>
      <c r="S156" s="1">
        <f t="shared" si="14"/>
        <v>77274</v>
      </c>
    </row>
    <row r="157" spans="1:19" x14ac:dyDescent="0.2">
      <c r="A157" s="57" t="s">
        <v>246</v>
      </c>
      <c r="B157" s="57" t="s">
        <v>244</v>
      </c>
      <c r="C157" s="57" t="s">
        <v>245</v>
      </c>
      <c r="D157" s="58">
        <v>33.659999999999997</v>
      </c>
      <c r="E157" s="59">
        <v>41070</v>
      </c>
      <c r="F157" s="58">
        <v>77274</v>
      </c>
      <c r="G157" s="58">
        <v>13266</v>
      </c>
      <c r="H157" s="58">
        <v>10347</v>
      </c>
      <c r="I157" s="58">
        <v>80104</v>
      </c>
      <c r="J157" s="58">
        <v>0</v>
      </c>
      <c r="K157" s="1">
        <f t="shared" si="15"/>
        <v>348280.01999999996</v>
      </c>
      <c r="L157" s="1">
        <f t="shared" si="16"/>
        <v>10347</v>
      </c>
      <c r="M157" s="1">
        <f>VLOOKUP(B157,'[1]Срок Годности'!$A$2:$B$4,2,0)</f>
        <v>1500</v>
      </c>
      <c r="N157" s="60">
        <f t="shared" si="17"/>
        <v>0</v>
      </c>
      <c r="O157" s="1" t="str">
        <f t="shared" si="18"/>
        <v>24 2012</v>
      </c>
      <c r="P157" s="1">
        <f t="shared" si="19"/>
        <v>21</v>
      </c>
      <c r="Q157" s="1">
        <f t="shared" ca="1" si="20"/>
        <v>4063</v>
      </c>
      <c r="S157" s="1">
        <f t="shared" si="14"/>
        <v>80104</v>
      </c>
    </row>
    <row r="158" spans="1:19" x14ac:dyDescent="0.2">
      <c r="A158" s="57" t="s">
        <v>246</v>
      </c>
      <c r="B158" s="57" t="s">
        <v>244</v>
      </c>
      <c r="C158" s="57" t="s">
        <v>245</v>
      </c>
      <c r="D158" s="58">
        <v>33.659999999999997</v>
      </c>
      <c r="E158" s="59">
        <v>41071</v>
      </c>
      <c r="F158" s="58">
        <v>80104</v>
      </c>
      <c r="G158" s="58">
        <v>9883</v>
      </c>
      <c r="H158" s="58">
        <v>9538</v>
      </c>
      <c r="I158" s="58">
        <v>80354</v>
      </c>
      <c r="J158" s="58">
        <v>0</v>
      </c>
      <c r="K158" s="1">
        <f t="shared" si="15"/>
        <v>321049.07999999996</v>
      </c>
      <c r="L158" s="1">
        <f t="shared" si="16"/>
        <v>9538</v>
      </c>
      <c r="M158" s="1">
        <f>VLOOKUP(B158,'[1]Срок Годности'!$A$2:$B$4,2,0)</f>
        <v>1500</v>
      </c>
      <c r="N158" s="60">
        <f t="shared" si="17"/>
        <v>9883</v>
      </c>
      <c r="O158" s="1" t="str">
        <f t="shared" si="18"/>
        <v>24 2012</v>
      </c>
      <c r="P158" s="1">
        <f t="shared" si="19"/>
        <v>21</v>
      </c>
      <c r="Q158" s="1">
        <f t="shared" ca="1" si="20"/>
        <v>4062</v>
      </c>
      <c r="S158" s="1">
        <f t="shared" si="14"/>
        <v>80354</v>
      </c>
    </row>
    <row r="159" spans="1:19" x14ac:dyDescent="0.2">
      <c r="A159" s="57" t="s">
        <v>246</v>
      </c>
      <c r="B159" s="57" t="s">
        <v>244</v>
      </c>
      <c r="C159" s="57" t="s">
        <v>245</v>
      </c>
      <c r="D159" s="58">
        <v>33.659999999999997</v>
      </c>
      <c r="E159" s="59">
        <v>41072</v>
      </c>
      <c r="F159" s="58">
        <v>80354</v>
      </c>
      <c r="G159" s="58">
        <v>9396</v>
      </c>
      <c r="H159" s="58">
        <v>8811</v>
      </c>
      <c r="I159" s="58">
        <v>80834</v>
      </c>
      <c r="J159" s="58">
        <v>0</v>
      </c>
      <c r="K159" s="1">
        <f t="shared" si="15"/>
        <v>296578.25999999995</v>
      </c>
      <c r="L159" s="1">
        <f t="shared" si="16"/>
        <v>8811</v>
      </c>
      <c r="M159" s="1">
        <f>VLOOKUP(B159,'[1]Срок Годности'!$A$2:$B$4,2,0)</f>
        <v>1500</v>
      </c>
      <c r="N159" s="60">
        <f t="shared" si="17"/>
        <v>9396</v>
      </c>
      <c r="O159" s="1" t="str">
        <f t="shared" si="18"/>
        <v>24 2012</v>
      </c>
      <c r="P159" s="1">
        <f t="shared" si="19"/>
        <v>21</v>
      </c>
      <c r="Q159" s="1">
        <f t="shared" ca="1" si="20"/>
        <v>4061</v>
      </c>
      <c r="S159" s="1">
        <f t="shared" si="14"/>
        <v>80834</v>
      </c>
    </row>
    <row r="160" spans="1:19" x14ac:dyDescent="0.2">
      <c r="A160" s="57" t="s">
        <v>246</v>
      </c>
      <c r="B160" s="57" t="s">
        <v>244</v>
      </c>
      <c r="C160" s="57" t="s">
        <v>245</v>
      </c>
      <c r="D160" s="58">
        <v>33.659999999999997</v>
      </c>
      <c r="E160" s="59">
        <v>41073</v>
      </c>
      <c r="F160" s="58">
        <v>80834</v>
      </c>
      <c r="G160" s="58">
        <v>9936</v>
      </c>
      <c r="H160" s="58">
        <v>10275</v>
      </c>
      <c r="I160" s="58">
        <v>80439</v>
      </c>
      <c r="J160" s="58">
        <v>0</v>
      </c>
      <c r="K160" s="1">
        <f t="shared" si="15"/>
        <v>345856.49999999994</v>
      </c>
      <c r="L160" s="1">
        <f t="shared" si="16"/>
        <v>10275</v>
      </c>
      <c r="M160" s="1">
        <f>VLOOKUP(B160,'[1]Срок Годности'!$A$2:$B$4,2,0)</f>
        <v>1500</v>
      </c>
      <c r="N160" s="60">
        <f t="shared" si="17"/>
        <v>9936</v>
      </c>
      <c r="O160" s="1" t="str">
        <f t="shared" si="18"/>
        <v>24 2012</v>
      </c>
      <c r="P160" s="1">
        <f t="shared" si="19"/>
        <v>21</v>
      </c>
      <c r="Q160" s="1">
        <f t="shared" ca="1" si="20"/>
        <v>4060</v>
      </c>
      <c r="S160" s="1">
        <f t="shared" si="14"/>
        <v>80439</v>
      </c>
    </row>
    <row r="161" spans="1:19" x14ac:dyDescent="0.2">
      <c r="A161" s="57" t="s">
        <v>246</v>
      </c>
      <c r="B161" s="57" t="s">
        <v>244</v>
      </c>
      <c r="C161" s="57" t="s">
        <v>245</v>
      </c>
      <c r="D161" s="58">
        <v>33.659999999999997</v>
      </c>
      <c r="E161" s="59">
        <v>41074</v>
      </c>
      <c r="F161" s="58">
        <v>80439</v>
      </c>
      <c r="G161" s="58">
        <v>8316</v>
      </c>
      <c r="H161" s="58">
        <v>10292</v>
      </c>
      <c r="I161" s="58">
        <v>78441</v>
      </c>
      <c r="J161" s="58">
        <v>0</v>
      </c>
      <c r="K161" s="1">
        <f t="shared" si="15"/>
        <v>346428.72</v>
      </c>
      <c r="L161" s="1">
        <f t="shared" si="16"/>
        <v>10292</v>
      </c>
      <c r="M161" s="1">
        <f>VLOOKUP(B161,'[1]Срок Годности'!$A$2:$B$4,2,0)</f>
        <v>1500</v>
      </c>
      <c r="N161" s="60">
        <f t="shared" si="17"/>
        <v>8316</v>
      </c>
      <c r="O161" s="1" t="str">
        <f t="shared" si="18"/>
        <v>24 2012</v>
      </c>
      <c r="P161" s="1">
        <f t="shared" si="19"/>
        <v>21</v>
      </c>
      <c r="Q161" s="1">
        <f t="shared" ca="1" si="20"/>
        <v>4059</v>
      </c>
      <c r="S161" s="1">
        <f t="shared" si="14"/>
        <v>78441</v>
      </c>
    </row>
    <row r="162" spans="1:19" x14ac:dyDescent="0.2">
      <c r="A162" s="57" t="s">
        <v>246</v>
      </c>
      <c r="B162" s="57" t="s">
        <v>244</v>
      </c>
      <c r="C162" s="57" t="s">
        <v>245</v>
      </c>
      <c r="D162" s="58">
        <v>33.659999999999997</v>
      </c>
      <c r="E162" s="59">
        <v>41075</v>
      </c>
      <c r="F162" s="58">
        <v>78441</v>
      </c>
      <c r="G162" s="58">
        <v>9994</v>
      </c>
      <c r="H162" s="58">
        <v>10745</v>
      </c>
      <c r="I162" s="58">
        <v>77575</v>
      </c>
      <c r="J162" s="58">
        <v>0</v>
      </c>
      <c r="K162" s="1">
        <f t="shared" si="15"/>
        <v>361676.69999999995</v>
      </c>
      <c r="L162" s="1">
        <f t="shared" si="16"/>
        <v>10745</v>
      </c>
      <c r="M162" s="1">
        <f>VLOOKUP(B162,'[1]Срок Годности'!$A$2:$B$4,2,0)</f>
        <v>1500</v>
      </c>
      <c r="N162" s="60">
        <f t="shared" si="17"/>
        <v>9994</v>
      </c>
      <c r="O162" s="1" t="str">
        <f t="shared" si="18"/>
        <v>24 2012</v>
      </c>
      <c r="P162" s="1">
        <f t="shared" si="19"/>
        <v>21</v>
      </c>
      <c r="Q162" s="1">
        <f t="shared" ca="1" si="20"/>
        <v>4058</v>
      </c>
      <c r="S162" s="1">
        <f t="shared" si="14"/>
        <v>77575</v>
      </c>
    </row>
    <row r="163" spans="1:19" x14ac:dyDescent="0.2">
      <c r="A163" s="57" t="s">
        <v>246</v>
      </c>
      <c r="B163" s="57" t="s">
        <v>244</v>
      </c>
      <c r="C163" s="57" t="s">
        <v>245</v>
      </c>
      <c r="D163" s="58">
        <v>33.659999999999997</v>
      </c>
      <c r="E163" s="59">
        <v>41076</v>
      </c>
      <c r="F163" s="58">
        <v>77575</v>
      </c>
      <c r="G163" s="58">
        <v>9108</v>
      </c>
      <c r="H163" s="58">
        <v>9659</v>
      </c>
      <c r="I163" s="58">
        <v>76896</v>
      </c>
      <c r="J163" s="58">
        <v>0</v>
      </c>
      <c r="K163" s="1">
        <f t="shared" si="15"/>
        <v>325121.93999999994</v>
      </c>
      <c r="L163" s="1">
        <f t="shared" si="16"/>
        <v>9659</v>
      </c>
      <c r="M163" s="1">
        <f>VLOOKUP(B163,'[1]Срок Годности'!$A$2:$B$4,2,0)</f>
        <v>1500</v>
      </c>
      <c r="N163" s="60">
        <f t="shared" si="17"/>
        <v>9108</v>
      </c>
      <c r="O163" s="1" t="str">
        <f t="shared" si="18"/>
        <v>24 2012</v>
      </c>
      <c r="P163" s="1">
        <f t="shared" si="19"/>
        <v>21</v>
      </c>
      <c r="Q163" s="1">
        <f t="shared" ca="1" si="20"/>
        <v>4057</v>
      </c>
      <c r="S163" s="1">
        <f t="shared" si="14"/>
        <v>76896</v>
      </c>
    </row>
    <row r="164" spans="1:19" x14ac:dyDescent="0.2">
      <c r="A164" s="57" t="s">
        <v>246</v>
      </c>
      <c r="B164" s="57" t="s">
        <v>244</v>
      </c>
      <c r="C164" s="57" t="s">
        <v>245</v>
      </c>
      <c r="D164" s="58">
        <v>33.659999999999997</v>
      </c>
      <c r="E164" s="59">
        <v>41077</v>
      </c>
      <c r="F164" s="58">
        <v>76896</v>
      </c>
      <c r="G164" s="58">
        <v>8403</v>
      </c>
      <c r="H164" s="58">
        <v>9522</v>
      </c>
      <c r="I164" s="58">
        <v>75726</v>
      </c>
      <c r="J164" s="58">
        <v>1</v>
      </c>
      <c r="K164" s="1">
        <f t="shared" si="15"/>
        <v>320510.51999999996</v>
      </c>
      <c r="L164" s="1">
        <f t="shared" si="16"/>
        <v>9522</v>
      </c>
      <c r="M164" s="1">
        <f>VLOOKUP(B164,'[1]Срок Годности'!$A$2:$B$4,2,0)</f>
        <v>1500</v>
      </c>
      <c r="N164" s="60">
        <f t="shared" si="17"/>
        <v>0</v>
      </c>
      <c r="O164" s="1" t="str">
        <f t="shared" si="18"/>
        <v>25 2012</v>
      </c>
      <c r="P164" s="1">
        <f t="shared" si="19"/>
        <v>21</v>
      </c>
      <c r="Q164" s="1">
        <f t="shared" ca="1" si="20"/>
        <v>4056</v>
      </c>
      <c r="S164" s="1">
        <f t="shared" si="14"/>
        <v>75725</v>
      </c>
    </row>
    <row r="165" spans="1:19" x14ac:dyDescent="0.2">
      <c r="A165" s="57" t="s">
        <v>246</v>
      </c>
      <c r="B165" s="57" t="s">
        <v>244</v>
      </c>
      <c r="C165" s="57" t="s">
        <v>245</v>
      </c>
      <c r="D165" s="58">
        <v>33.659999999999997</v>
      </c>
      <c r="E165" s="59">
        <v>41078</v>
      </c>
      <c r="F165" s="58">
        <v>75726</v>
      </c>
      <c r="G165" s="58">
        <v>12308</v>
      </c>
      <c r="H165" s="58">
        <v>10828</v>
      </c>
      <c r="I165" s="58">
        <v>77222</v>
      </c>
      <c r="J165" s="58">
        <v>0</v>
      </c>
      <c r="K165" s="1">
        <f t="shared" si="15"/>
        <v>364470.48</v>
      </c>
      <c r="L165" s="1">
        <f t="shared" si="16"/>
        <v>10828</v>
      </c>
      <c r="M165" s="1">
        <f>VLOOKUP(B165,'[1]Срок Годности'!$A$2:$B$4,2,0)</f>
        <v>1500</v>
      </c>
      <c r="N165" s="60">
        <f t="shared" si="17"/>
        <v>12308</v>
      </c>
      <c r="O165" s="1" t="str">
        <f t="shared" si="18"/>
        <v>25 2012</v>
      </c>
      <c r="P165" s="1">
        <f t="shared" si="19"/>
        <v>21</v>
      </c>
      <c r="Q165" s="1">
        <f t="shared" ca="1" si="20"/>
        <v>4055</v>
      </c>
      <c r="S165" s="1">
        <f t="shared" si="14"/>
        <v>77222</v>
      </c>
    </row>
    <row r="166" spans="1:19" x14ac:dyDescent="0.2">
      <c r="A166" s="57" t="s">
        <v>246</v>
      </c>
      <c r="B166" s="57" t="s">
        <v>244</v>
      </c>
      <c r="C166" s="57" t="s">
        <v>245</v>
      </c>
      <c r="D166" s="58">
        <v>33.659999999999997</v>
      </c>
      <c r="E166" s="59">
        <v>41079</v>
      </c>
      <c r="F166" s="58">
        <v>77222</v>
      </c>
      <c r="G166" s="58">
        <v>10492</v>
      </c>
      <c r="H166" s="58">
        <v>10728</v>
      </c>
      <c r="I166" s="58">
        <v>76945</v>
      </c>
      <c r="J166" s="58">
        <v>0</v>
      </c>
      <c r="K166" s="1">
        <f t="shared" si="15"/>
        <v>361104.48</v>
      </c>
      <c r="L166" s="1">
        <f t="shared" si="16"/>
        <v>10728</v>
      </c>
      <c r="M166" s="1">
        <f>VLOOKUP(B166,'[1]Срок Годности'!$A$2:$B$4,2,0)</f>
        <v>1500</v>
      </c>
      <c r="N166" s="60">
        <f t="shared" si="17"/>
        <v>10492</v>
      </c>
      <c r="O166" s="1" t="str">
        <f t="shared" si="18"/>
        <v>25 2012</v>
      </c>
      <c r="P166" s="1">
        <f t="shared" si="19"/>
        <v>21</v>
      </c>
      <c r="Q166" s="1">
        <f t="shared" ca="1" si="20"/>
        <v>4054</v>
      </c>
      <c r="S166" s="1">
        <f t="shared" si="14"/>
        <v>76945</v>
      </c>
    </row>
    <row r="167" spans="1:19" x14ac:dyDescent="0.2">
      <c r="A167" s="57" t="s">
        <v>246</v>
      </c>
      <c r="B167" s="57" t="s">
        <v>244</v>
      </c>
      <c r="C167" s="57" t="s">
        <v>245</v>
      </c>
      <c r="D167" s="58">
        <v>33.659999999999997</v>
      </c>
      <c r="E167" s="59">
        <v>41080</v>
      </c>
      <c r="F167" s="58">
        <v>76945</v>
      </c>
      <c r="G167" s="58">
        <v>10449</v>
      </c>
      <c r="H167" s="58">
        <v>11239</v>
      </c>
      <c r="I167" s="58">
        <v>76031</v>
      </c>
      <c r="J167" s="58">
        <v>1</v>
      </c>
      <c r="K167" s="1">
        <f t="shared" si="15"/>
        <v>378304.74</v>
      </c>
      <c r="L167" s="1">
        <f t="shared" si="16"/>
        <v>11239</v>
      </c>
      <c r="M167" s="1">
        <f>VLOOKUP(B167,'[1]Срок Годности'!$A$2:$B$4,2,0)</f>
        <v>1500</v>
      </c>
      <c r="N167" s="60">
        <f t="shared" si="17"/>
        <v>10449</v>
      </c>
      <c r="O167" s="1" t="str">
        <f t="shared" si="18"/>
        <v>25 2012</v>
      </c>
      <c r="P167" s="1">
        <f t="shared" si="19"/>
        <v>21</v>
      </c>
      <c r="Q167" s="1">
        <f t="shared" ca="1" si="20"/>
        <v>4053</v>
      </c>
      <c r="S167" s="1">
        <f t="shared" si="14"/>
        <v>76030</v>
      </c>
    </row>
    <row r="168" spans="1:19" x14ac:dyDescent="0.2">
      <c r="A168" s="57" t="s">
        <v>246</v>
      </c>
      <c r="B168" s="57" t="s">
        <v>244</v>
      </c>
      <c r="C168" s="57" t="s">
        <v>245</v>
      </c>
      <c r="D168" s="58">
        <v>33.659999999999997</v>
      </c>
      <c r="E168" s="59">
        <v>41081</v>
      </c>
      <c r="F168" s="58">
        <v>76031</v>
      </c>
      <c r="G168" s="58">
        <v>12180</v>
      </c>
      <c r="H168" s="58">
        <v>11449</v>
      </c>
      <c r="I168" s="58">
        <v>76747</v>
      </c>
      <c r="J168" s="58">
        <v>0</v>
      </c>
      <c r="K168" s="1">
        <f t="shared" si="15"/>
        <v>385373.33999999997</v>
      </c>
      <c r="L168" s="1">
        <f t="shared" si="16"/>
        <v>11449</v>
      </c>
      <c r="M168" s="1">
        <f>VLOOKUP(B168,'[1]Срок Годности'!$A$2:$B$4,2,0)</f>
        <v>1500</v>
      </c>
      <c r="N168" s="60">
        <f t="shared" si="17"/>
        <v>12180</v>
      </c>
      <c r="O168" s="1" t="str">
        <f t="shared" si="18"/>
        <v>25 2012</v>
      </c>
      <c r="P168" s="1">
        <f t="shared" si="19"/>
        <v>21</v>
      </c>
      <c r="Q168" s="1">
        <f t="shared" ca="1" si="20"/>
        <v>4052</v>
      </c>
      <c r="S168" s="1">
        <f t="shared" si="14"/>
        <v>76747</v>
      </c>
    </row>
    <row r="169" spans="1:19" x14ac:dyDescent="0.2">
      <c r="A169" s="57" t="s">
        <v>246</v>
      </c>
      <c r="B169" s="57" t="s">
        <v>244</v>
      </c>
      <c r="C169" s="57" t="s">
        <v>245</v>
      </c>
      <c r="D169" s="58">
        <v>33.659999999999997</v>
      </c>
      <c r="E169" s="59">
        <v>41082</v>
      </c>
      <c r="F169" s="58">
        <v>76747</v>
      </c>
      <c r="G169" s="58">
        <v>11155</v>
      </c>
      <c r="H169" s="58">
        <v>12505</v>
      </c>
      <c r="I169" s="58">
        <v>75325</v>
      </c>
      <c r="J169" s="58">
        <v>0</v>
      </c>
      <c r="K169" s="1">
        <f t="shared" si="15"/>
        <v>420918.29999999993</v>
      </c>
      <c r="L169" s="1">
        <f t="shared" si="16"/>
        <v>12505</v>
      </c>
      <c r="M169" s="1">
        <f>VLOOKUP(B169,'[1]Срок Годности'!$A$2:$B$4,2,0)</f>
        <v>1500</v>
      </c>
      <c r="N169" s="60">
        <f t="shared" si="17"/>
        <v>11155</v>
      </c>
      <c r="O169" s="1" t="str">
        <f t="shared" si="18"/>
        <v>25 2012</v>
      </c>
      <c r="P169" s="1">
        <f t="shared" si="19"/>
        <v>21</v>
      </c>
      <c r="Q169" s="1">
        <f t="shared" ca="1" si="20"/>
        <v>4051</v>
      </c>
      <c r="S169" s="1">
        <f t="shared" si="14"/>
        <v>75325</v>
      </c>
    </row>
    <row r="170" spans="1:19" x14ac:dyDescent="0.2">
      <c r="A170" s="57" t="s">
        <v>246</v>
      </c>
      <c r="B170" s="57" t="s">
        <v>244</v>
      </c>
      <c r="C170" s="57" t="s">
        <v>245</v>
      </c>
      <c r="D170" s="58">
        <v>33.659999999999997</v>
      </c>
      <c r="E170" s="59">
        <v>41083</v>
      </c>
      <c r="F170" s="58">
        <v>75325</v>
      </c>
      <c r="G170" s="58">
        <v>11217</v>
      </c>
      <c r="H170" s="58">
        <v>13236</v>
      </c>
      <c r="I170" s="58">
        <v>73223</v>
      </c>
      <c r="J170" s="58">
        <v>0</v>
      </c>
      <c r="K170" s="1">
        <f t="shared" si="15"/>
        <v>445523.75999999995</v>
      </c>
      <c r="L170" s="1">
        <f t="shared" si="16"/>
        <v>13236</v>
      </c>
      <c r="M170" s="1">
        <f>VLOOKUP(B170,'[1]Срок Годности'!$A$2:$B$4,2,0)</f>
        <v>1500</v>
      </c>
      <c r="N170" s="60">
        <f t="shared" si="17"/>
        <v>11217</v>
      </c>
      <c r="O170" s="1" t="str">
        <f t="shared" si="18"/>
        <v>25 2012</v>
      </c>
      <c r="P170" s="1">
        <f t="shared" si="19"/>
        <v>21</v>
      </c>
      <c r="Q170" s="1">
        <f t="shared" ca="1" si="20"/>
        <v>4050</v>
      </c>
      <c r="S170" s="1">
        <f t="shared" si="14"/>
        <v>73223</v>
      </c>
    </row>
    <row r="171" spans="1:19" x14ac:dyDescent="0.2">
      <c r="A171" s="57" t="s">
        <v>246</v>
      </c>
      <c r="B171" s="57" t="s">
        <v>244</v>
      </c>
      <c r="C171" s="57" t="s">
        <v>245</v>
      </c>
      <c r="D171" s="58">
        <v>33.659999999999997</v>
      </c>
      <c r="E171" s="59">
        <v>41084</v>
      </c>
      <c r="F171" s="58">
        <v>73223</v>
      </c>
      <c r="G171" s="58">
        <v>13599</v>
      </c>
      <c r="H171" s="58">
        <v>14628</v>
      </c>
      <c r="I171" s="58">
        <v>72180</v>
      </c>
      <c r="J171" s="58">
        <v>0</v>
      </c>
      <c r="K171" s="1">
        <f t="shared" si="15"/>
        <v>492378.47999999992</v>
      </c>
      <c r="L171" s="1">
        <f t="shared" si="16"/>
        <v>14628</v>
      </c>
      <c r="M171" s="1">
        <f>VLOOKUP(B171,'[1]Срок Годности'!$A$2:$B$4,2,0)</f>
        <v>1500</v>
      </c>
      <c r="N171" s="60">
        <f t="shared" si="17"/>
        <v>0</v>
      </c>
      <c r="O171" s="1" t="str">
        <f t="shared" si="18"/>
        <v>26 2012</v>
      </c>
      <c r="P171" s="1">
        <f t="shared" si="19"/>
        <v>21</v>
      </c>
      <c r="Q171" s="1">
        <f t="shared" ca="1" si="20"/>
        <v>4049</v>
      </c>
      <c r="S171" s="1">
        <f t="shared" si="14"/>
        <v>72180</v>
      </c>
    </row>
    <row r="172" spans="1:19" x14ac:dyDescent="0.2">
      <c r="A172" s="57" t="s">
        <v>246</v>
      </c>
      <c r="B172" s="57" t="s">
        <v>244</v>
      </c>
      <c r="C172" s="57" t="s">
        <v>245</v>
      </c>
      <c r="D172" s="58">
        <v>33.659999999999997</v>
      </c>
      <c r="E172" s="59">
        <v>41085</v>
      </c>
      <c r="F172" s="58">
        <v>72180</v>
      </c>
      <c r="G172" s="58">
        <v>14345</v>
      </c>
      <c r="H172" s="58">
        <v>15511</v>
      </c>
      <c r="I172" s="58">
        <v>71012</v>
      </c>
      <c r="J172" s="58">
        <v>0</v>
      </c>
      <c r="K172" s="1">
        <f t="shared" si="15"/>
        <v>522100.25999999995</v>
      </c>
      <c r="L172" s="1">
        <f t="shared" si="16"/>
        <v>15511</v>
      </c>
      <c r="M172" s="1">
        <f>VLOOKUP(B172,'[1]Срок Годности'!$A$2:$B$4,2,0)</f>
        <v>1500</v>
      </c>
      <c r="N172" s="60">
        <f t="shared" si="17"/>
        <v>14345</v>
      </c>
      <c r="O172" s="1" t="str">
        <f t="shared" si="18"/>
        <v>26 2012</v>
      </c>
      <c r="P172" s="1">
        <f t="shared" si="19"/>
        <v>21</v>
      </c>
      <c r="Q172" s="1">
        <f t="shared" ca="1" si="20"/>
        <v>4048</v>
      </c>
      <c r="S172" s="1">
        <f t="shared" si="14"/>
        <v>71012</v>
      </c>
    </row>
    <row r="173" spans="1:19" x14ac:dyDescent="0.2">
      <c r="A173" s="57" t="s">
        <v>246</v>
      </c>
      <c r="B173" s="57" t="s">
        <v>244</v>
      </c>
      <c r="C173" s="57" t="s">
        <v>245</v>
      </c>
      <c r="D173" s="58">
        <v>33.659999999999997</v>
      </c>
      <c r="E173" s="59">
        <v>41086</v>
      </c>
      <c r="F173" s="58">
        <v>71012</v>
      </c>
      <c r="G173" s="58">
        <v>17771</v>
      </c>
      <c r="H173" s="58">
        <v>14829</v>
      </c>
      <c r="I173" s="58">
        <v>73963</v>
      </c>
      <c r="J173" s="58">
        <v>0</v>
      </c>
      <c r="K173" s="1">
        <f t="shared" si="15"/>
        <v>499144.13999999996</v>
      </c>
      <c r="L173" s="1">
        <f t="shared" si="16"/>
        <v>14829</v>
      </c>
      <c r="M173" s="1">
        <f>VLOOKUP(B173,'[1]Срок Годности'!$A$2:$B$4,2,0)</f>
        <v>1500</v>
      </c>
      <c r="N173" s="60">
        <f t="shared" si="17"/>
        <v>17771</v>
      </c>
      <c r="O173" s="1" t="str">
        <f t="shared" si="18"/>
        <v>26 2012</v>
      </c>
      <c r="P173" s="1">
        <f t="shared" si="19"/>
        <v>21</v>
      </c>
      <c r="Q173" s="1">
        <f t="shared" ca="1" si="20"/>
        <v>4047</v>
      </c>
      <c r="S173" s="1">
        <f t="shared" si="14"/>
        <v>73963</v>
      </c>
    </row>
    <row r="174" spans="1:19" x14ac:dyDescent="0.2">
      <c r="A174" s="57" t="s">
        <v>246</v>
      </c>
      <c r="B174" s="57" t="s">
        <v>244</v>
      </c>
      <c r="C174" s="57" t="s">
        <v>245</v>
      </c>
      <c r="D174" s="58">
        <v>33.659999999999997</v>
      </c>
      <c r="E174" s="59">
        <v>41087</v>
      </c>
      <c r="F174" s="58">
        <v>73963</v>
      </c>
      <c r="G174" s="58">
        <v>21064</v>
      </c>
      <c r="H174" s="58">
        <v>16322</v>
      </c>
      <c r="I174" s="58">
        <v>78723</v>
      </c>
      <c r="J174" s="58">
        <v>1</v>
      </c>
      <c r="K174" s="1">
        <f t="shared" si="15"/>
        <v>549398.5199999999</v>
      </c>
      <c r="L174" s="1">
        <f t="shared" si="16"/>
        <v>16322</v>
      </c>
      <c r="M174" s="1">
        <f>VLOOKUP(B174,'[1]Срок Годности'!$A$2:$B$4,2,0)</f>
        <v>1500</v>
      </c>
      <c r="N174" s="60">
        <f t="shared" si="17"/>
        <v>21064</v>
      </c>
      <c r="O174" s="1" t="str">
        <f t="shared" si="18"/>
        <v>26 2012</v>
      </c>
      <c r="P174" s="1">
        <f t="shared" si="19"/>
        <v>21</v>
      </c>
      <c r="Q174" s="1">
        <f t="shared" ca="1" si="20"/>
        <v>4046</v>
      </c>
      <c r="S174" s="1">
        <f t="shared" si="14"/>
        <v>78722</v>
      </c>
    </row>
    <row r="175" spans="1:19" x14ac:dyDescent="0.2">
      <c r="A175" s="57" t="s">
        <v>246</v>
      </c>
      <c r="B175" s="57" t="s">
        <v>244</v>
      </c>
      <c r="C175" s="57" t="s">
        <v>245</v>
      </c>
      <c r="D175" s="58">
        <v>33.659999999999997</v>
      </c>
      <c r="E175" s="59">
        <v>41088</v>
      </c>
      <c r="F175" s="58">
        <v>78723</v>
      </c>
      <c r="G175" s="58">
        <v>19256</v>
      </c>
      <c r="H175" s="58">
        <v>17406</v>
      </c>
      <c r="I175" s="58">
        <v>80582</v>
      </c>
      <c r="J175" s="58">
        <v>0</v>
      </c>
      <c r="K175" s="1">
        <f t="shared" si="15"/>
        <v>585885.96</v>
      </c>
      <c r="L175" s="1">
        <f t="shared" si="16"/>
        <v>17406</v>
      </c>
      <c r="M175" s="1">
        <f>VLOOKUP(B175,'[1]Срок Годности'!$A$2:$B$4,2,0)</f>
        <v>1500</v>
      </c>
      <c r="N175" s="60">
        <f t="shared" si="17"/>
        <v>19256</v>
      </c>
      <c r="O175" s="1" t="str">
        <f t="shared" si="18"/>
        <v>26 2012</v>
      </c>
      <c r="P175" s="1">
        <f t="shared" si="19"/>
        <v>21</v>
      </c>
      <c r="Q175" s="1">
        <f t="shared" ca="1" si="20"/>
        <v>4045</v>
      </c>
      <c r="S175" s="1">
        <f t="shared" si="14"/>
        <v>80582</v>
      </c>
    </row>
    <row r="176" spans="1:19" x14ac:dyDescent="0.2">
      <c r="A176" s="57" t="s">
        <v>246</v>
      </c>
      <c r="B176" s="57" t="s">
        <v>244</v>
      </c>
      <c r="C176" s="57" t="s">
        <v>245</v>
      </c>
      <c r="D176" s="58">
        <v>33.659999999999997</v>
      </c>
      <c r="E176" s="59">
        <v>41089</v>
      </c>
      <c r="F176" s="58">
        <v>80582</v>
      </c>
      <c r="G176" s="58">
        <v>22491</v>
      </c>
      <c r="H176" s="58">
        <v>19856</v>
      </c>
      <c r="I176" s="58">
        <v>83485</v>
      </c>
      <c r="J176" s="58">
        <v>3</v>
      </c>
      <c r="K176" s="1">
        <f t="shared" si="15"/>
        <v>668352.96</v>
      </c>
      <c r="L176" s="1">
        <f t="shared" si="16"/>
        <v>19856</v>
      </c>
      <c r="M176" s="1">
        <f>VLOOKUP(B176,'[1]Срок Годности'!$A$2:$B$4,2,0)</f>
        <v>1500</v>
      </c>
      <c r="N176" s="60">
        <f t="shared" si="17"/>
        <v>22491</v>
      </c>
      <c r="O176" s="1" t="str">
        <f t="shared" si="18"/>
        <v>26 2012</v>
      </c>
      <c r="P176" s="1">
        <f t="shared" si="19"/>
        <v>21</v>
      </c>
      <c r="Q176" s="1">
        <f t="shared" ca="1" si="20"/>
        <v>4044</v>
      </c>
      <c r="S176" s="1">
        <f t="shared" si="14"/>
        <v>83482</v>
      </c>
    </row>
    <row r="177" spans="1:19" x14ac:dyDescent="0.2">
      <c r="A177" s="57" t="s">
        <v>246</v>
      </c>
      <c r="B177" s="57" t="s">
        <v>244</v>
      </c>
      <c r="C177" s="57" t="s">
        <v>245</v>
      </c>
      <c r="D177" s="58">
        <v>33.659999999999997</v>
      </c>
      <c r="E177" s="59">
        <v>41090</v>
      </c>
      <c r="F177" s="58">
        <v>83485</v>
      </c>
      <c r="G177" s="58">
        <v>23296</v>
      </c>
      <c r="H177" s="58">
        <v>20028</v>
      </c>
      <c r="I177" s="58">
        <v>87048</v>
      </c>
      <c r="J177" s="58">
        <v>3</v>
      </c>
      <c r="K177" s="1">
        <f t="shared" si="15"/>
        <v>674142.48</v>
      </c>
      <c r="L177" s="1">
        <f t="shared" si="16"/>
        <v>20028</v>
      </c>
      <c r="M177" s="1">
        <f>VLOOKUP(B177,'[1]Срок Годности'!$A$2:$B$4,2,0)</f>
        <v>1500</v>
      </c>
      <c r="N177" s="60">
        <f t="shared" si="17"/>
        <v>23296</v>
      </c>
      <c r="O177" s="1" t="str">
        <f t="shared" si="18"/>
        <v>26 2012</v>
      </c>
      <c r="P177" s="1">
        <f t="shared" si="19"/>
        <v>21</v>
      </c>
      <c r="Q177" s="1">
        <f t="shared" ca="1" si="20"/>
        <v>4043</v>
      </c>
      <c r="S177" s="1">
        <f t="shared" si="14"/>
        <v>87045</v>
      </c>
    </row>
    <row r="178" spans="1:19" x14ac:dyDescent="0.2">
      <c r="A178" s="57" t="s">
        <v>246</v>
      </c>
      <c r="B178" s="57" t="s">
        <v>244</v>
      </c>
      <c r="C178" s="57" t="s">
        <v>245</v>
      </c>
      <c r="D178" s="58">
        <v>33.659999999999997</v>
      </c>
      <c r="E178" s="59">
        <v>41091</v>
      </c>
      <c r="F178" s="58">
        <v>87048</v>
      </c>
      <c r="G178" s="58">
        <v>25866</v>
      </c>
      <c r="H178" s="58">
        <v>19414</v>
      </c>
      <c r="I178" s="58">
        <v>93396</v>
      </c>
      <c r="J178" s="58">
        <v>1</v>
      </c>
      <c r="K178" s="1">
        <f t="shared" si="15"/>
        <v>653475.24</v>
      </c>
      <c r="L178" s="1">
        <f t="shared" si="16"/>
        <v>19414</v>
      </c>
      <c r="M178" s="1">
        <f>VLOOKUP(B178,'[1]Срок Годности'!$A$2:$B$4,2,0)</f>
        <v>1500</v>
      </c>
      <c r="N178" s="60">
        <f t="shared" si="17"/>
        <v>0</v>
      </c>
      <c r="O178" s="1" t="str">
        <f t="shared" si="18"/>
        <v>27 2012</v>
      </c>
      <c r="P178" s="1">
        <f t="shared" si="19"/>
        <v>21</v>
      </c>
      <c r="Q178" s="1">
        <f t="shared" ca="1" si="20"/>
        <v>4042</v>
      </c>
      <c r="S178" s="1">
        <f t="shared" si="14"/>
        <v>93395</v>
      </c>
    </row>
    <row r="179" spans="1:19" x14ac:dyDescent="0.2">
      <c r="A179" s="57" t="s">
        <v>246</v>
      </c>
      <c r="B179" s="57" t="s">
        <v>244</v>
      </c>
      <c r="C179" s="57" t="s">
        <v>245</v>
      </c>
      <c r="D179" s="58">
        <v>33.659999999999997</v>
      </c>
      <c r="E179" s="59">
        <v>41092</v>
      </c>
      <c r="F179" s="58">
        <v>93396</v>
      </c>
      <c r="G179" s="58">
        <v>30171</v>
      </c>
      <c r="H179" s="58">
        <v>20224</v>
      </c>
      <c r="I179" s="58">
        <v>103191</v>
      </c>
      <c r="J179" s="58">
        <v>1</v>
      </c>
      <c r="K179" s="1">
        <f t="shared" si="15"/>
        <v>680739.83999999997</v>
      </c>
      <c r="L179" s="1">
        <f t="shared" si="16"/>
        <v>20224</v>
      </c>
      <c r="M179" s="1">
        <f>VLOOKUP(B179,'[1]Срок Годности'!$A$2:$B$4,2,0)</f>
        <v>1500</v>
      </c>
      <c r="N179" s="60">
        <f t="shared" si="17"/>
        <v>30171</v>
      </c>
      <c r="O179" s="1" t="str">
        <f t="shared" si="18"/>
        <v>27 2012</v>
      </c>
      <c r="P179" s="1">
        <f t="shared" si="19"/>
        <v>21</v>
      </c>
      <c r="Q179" s="1">
        <f t="shared" ca="1" si="20"/>
        <v>4041</v>
      </c>
      <c r="S179" s="1">
        <f t="shared" si="14"/>
        <v>103190</v>
      </c>
    </row>
    <row r="180" spans="1:19" x14ac:dyDescent="0.2">
      <c r="A180" s="57" t="s">
        <v>246</v>
      </c>
      <c r="B180" s="57" t="s">
        <v>244</v>
      </c>
      <c r="C180" s="57" t="s">
        <v>245</v>
      </c>
      <c r="D180" s="58">
        <v>33.659999999999997</v>
      </c>
      <c r="E180" s="59">
        <v>41093</v>
      </c>
      <c r="F180" s="58">
        <v>103191</v>
      </c>
      <c r="G180" s="58">
        <v>22445</v>
      </c>
      <c r="H180" s="58">
        <v>20648</v>
      </c>
      <c r="I180" s="58">
        <v>105190</v>
      </c>
      <c r="J180" s="58">
        <v>0</v>
      </c>
      <c r="K180" s="1">
        <f t="shared" si="15"/>
        <v>695011.67999999993</v>
      </c>
      <c r="L180" s="1">
        <f t="shared" si="16"/>
        <v>20648</v>
      </c>
      <c r="M180" s="1">
        <f>VLOOKUP(B180,'[1]Срок Годности'!$A$2:$B$4,2,0)</f>
        <v>1500</v>
      </c>
      <c r="N180" s="60">
        <f t="shared" si="17"/>
        <v>22445</v>
      </c>
      <c r="O180" s="1" t="str">
        <f t="shared" si="18"/>
        <v>27 2012</v>
      </c>
      <c r="P180" s="1">
        <f t="shared" si="19"/>
        <v>21</v>
      </c>
      <c r="Q180" s="1">
        <f t="shared" ca="1" si="20"/>
        <v>4040</v>
      </c>
      <c r="S180" s="1">
        <f t="shared" si="14"/>
        <v>105190</v>
      </c>
    </row>
    <row r="181" spans="1:19" x14ac:dyDescent="0.2">
      <c r="A181" s="57" t="s">
        <v>246</v>
      </c>
      <c r="B181" s="57" t="s">
        <v>244</v>
      </c>
      <c r="C181" s="57" t="s">
        <v>245</v>
      </c>
      <c r="D181" s="58">
        <v>33.659999999999997</v>
      </c>
      <c r="E181" s="59">
        <v>41094</v>
      </c>
      <c r="F181" s="58">
        <v>105190</v>
      </c>
      <c r="G181" s="58">
        <v>25760</v>
      </c>
      <c r="H181" s="58">
        <v>21492</v>
      </c>
      <c r="I181" s="58">
        <v>109247</v>
      </c>
      <c r="J181" s="58">
        <v>0</v>
      </c>
      <c r="K181" s="1">
        <f t="shared" si="15"/>
        <v>723420.72</v>
      </c>
      <c r="L181" s="1">
        <f t="shared" si="16"/>
        <v>21492</v>
      </c>
      <c r="M181" s="1">
        <f>VLOOKUP(B181,'[1]Срок Годности'!$A$2:$B$4,2,0)</f>
        <v>1500</v>
      </c>
      <c r="N181" s="60">
        <f t="shared" si="17"/>
        <v>25760</v>
      </c>
      <c r="O181" s="1" t="str">
        <f t="shared" si="18"/>
        <v>27 2012</v>
      </c>
      <c r="P181" s="1">
        <f t="shared" si="19"/>
        <v>21</v>
      </c>
      <c r="Q181" s="1">
        <f t="shared" ca="1" si="20"/>
        <v>4039</v>
      </c>
      <c r="S181" s="1">
        <f t="shared" si="14"/>
        <v>109247</v>
      </c>
    </row>
    <row r="182" spans="1:19" x14ac:dyDescent="0.2">
      <c r="A182" s="57" t="s">
        <v>246</v>
      </c>
      <c r="B182" s="57" t="s">
        <v>244</v>
      </c>
      <c r="C182" s="57" t="s">
        <v>245</v>
      </c>
      <c r="D182" s="58">
        <v>33.659999999999997</v>
      </c>
      <c r="E182" s="59">
        <v>41095</v>
      </c>
      <c r="F182" s="58">
        <v>109247</v>
      </c>
      <c r="G182" s="58">
        <v>32155</v>
      </c>
      <c r="H182" s="58">
        <v>23787</v>
      </c>
      <c r="I182" s="58">
        <v>117939</v>
      </c>
      <c r="J182" s="58">
        <v>0</v>
      </c>
      <c r="K182" s="1">
        <f t="shared" si="15"/>
        <v>800670.41999999993</v>
      </c>
      <c r="L182" s="1">
        <f t="shared" si="16"/>
        <v>23787</v>
      </c>
      <c r="M182" s="1">
        <f>VLOOKUP(B182,'[1]Срок Годности'!$A$2:$B$4,2,0)</f>
        <v>1500</v>
      </c>
      <c r="N182" s="60">
        <f t="shared" si="17"/>
        <v>32155</v>
      </c>
      <c r="O182" s="1" t="str">
        <f t="shared" si="18"/>
        <v>27 2012</v>
      </c>
      <c r="P182" s="1">
        <f t="shared" si="19"/>
        <v>21</v>
      </c>
      <c r="Q182" s="1">
        <f t="shared" ca="1" si="20"/>
        <v>4038</v>
      </c>
      <c r="S182" s="1">
        <f t="shared" si="14"/>
        <v>117939</v>
      </c>
    </row>
    <row r="183" spans="1:19" x14ac:dyDescent="0.2">
      <c r="A183" s="57" t="s">
        <v>246</v>
      </c>
      <c r="B183" s="57" t="s">
        <v>244</v>
      </c>
      <c r="C183" s="57" t="s">
        <v>245</v>
      </c>
      <c r="D183" s="58">
        <v>33.659999999999997</v>
      </c>
      <c r="E183" s="59">
        <v>41096</v>
      </c>
      <c r="F183" s="58">
        <v>117939</v>
      </c>
      <c r="G183" s="58">
        <v>21270</v>
      </c>
      <c r="H183" s="58">
        <v>21956</v>
      </c>
      <c r="I183" s="58">
        <v>117251</v>
      </c>
      <c r="J183" s="58">
        <v>0</v>
      </c>
      <c r="K183" s="1">
        <f t="shared" si="15"/>
        <v>739038.96</v>
      </c>
      <c r="L183" s="1">
        <f t="shared" si="16"/>
        <v>21956</v>
      </c>
      <c r="M183" s="1">
        <f>VLOOKUP(B183,'[1]Срок Годности'!$A$2:$B$4,2,0)</f>
        <v>1500</v>
      </c>
      <c r="N183" s="60">
        <f t="shared" si="17"/>
        <v>21270</v>
      </c>
      <c r="O183" s="1" t="str">
        <f t="shared" si="18"/>
        <v>27 2012</v>
      </c>
      <c r="P183" s="1">
        <f t="shared" si="19"/>
        <v>21</v>
      </c>
      <c r="Q183" s="1">
        <f t="shared" ca="1" si="20"/>
        <v>4037</v>
      </c>
      <c r="S183" s="1">
        <f t="shared" si="14"/>
        <v>117251</v>
      </c>
    </row>
    <row r="184" spans="1:19" x14ac:dyDescent="0.2">
      <c r="A184" s="57" t="s">
        <v>246</v>
      </c>
      <c r="B184" s="57" t="s">
        <v>244</v>
      </c>
      <c r="C184" s="57" t="s">
        <v>245</v>
      </c>
      <c r="D184" s="58">
        <v>33.659999999999997</v>
      </c>
      <c r="E184" s="59">
        <v>41097</v>
      </c>
      <c r="F184" s="58">
        <v>117251</v>
      </c>
      <c r="G184" s="58">
        <v>27437</v>
      </c>
      <c r="H184" s="58">
        <v>24310</v>
      </c>
      <c r="I184" s="58">
        <v>120201</v>
      </c>
      <c r="J184" s="58">
        <v>1</v>
      </c>
      <c r="K184" s="1">
        <f t="shared" si="15"/>
        <v>818274.59999999986</v>
      </c>
      <c r="L184" s="1">
        <f t="shared" si="16"/>
        <v>24310</v>
      </c>
      <c r="M184" s="1">
        <f>VLOOKUP(B184,'[1]Срок Годности'!$A$2:$B$4,2,0)</f>
        <v>1500</v>
      </c>
      <c r="N184" s="60">
        <f t="shared" si="17"/>
        <v>27437</v>
      </c>
      <c r="O184" s="1" t="str">
        <f t="shared" si="18"/>
        <v>27 2012</v>
      </c>
      <c r="P184" s="1">
        <f t="shared" si="19"/>
        <v>21</v>
      </c>
      <c r="Q184" s="1">
        <f t="shared" ca="1" si="20"/>
        <v>4036</v>
      </c>
      <c r="S184" s="1">
        <f t="shared" si="14"/>
        <v>120200</v>
      </c>
    </row>
    <row r="185" spans="1:19" x14ac:dyDescent="0.2">
      <c r="A185" s="57" t="s">
        <v>246</v>
      </c>
      <c r="B185" s="57" t="s">
        <v>244</v>
      </c>
      <c r="C185" s="57" t="s">
        <v>245</v>
      </c>
      <c r="D185" s="58">
        <v>33.659999999999997</v>
      </c>
      <c r="E185" s="59">
        <v>41098</v>
      </c>
      <c r="F185" s="58">
        <v>120201</v>
      </c>
      <c r="G185" s="58">
        <v>29110</v>
      </c>
      <c r="H185" s="58">
        <v>26684</v>
      </c>
      <c r="I185" s="58">
        <v>122478</v>
      </c>
      <c r="J185" s="58">
        <v>0</v>
      </c>
      <c r="K185" s="1">
        <f t="shared" si="15"/>
        <v>898183.44</v>
      </c>
      <c r="L185" s="1">
        <f t="shared" si="16"/>
        <v>26684</v>
      </c>
      <c r="M185" s="1">
        <f>VLOOKUP(B185,'[1]Срок Годности'!$A$2:$B$4,2,0)</f>
        <v>1500</v>
      </c>
      <c r="N185" s="60">
        <f t="shared" si="17"/>
        <v>0</v>
      </c>
      <c r="O185" s="1" t="str">
        <f t="shared" si="18"/>
        <v>28 2012</v>
      </c>
      <c r="P185" s="1">
        <f t="shared" si="19"/>
        <v>21</v>
      </c>
      <c r="Q185" s="1">
        <f t="shared" ca="1" si="20"/>
        <v>4035</v>
      </c>
      <c r="S185" s="1">
        <f t="shared" si="14"/>
        <v>122478</v>
      </c>
    </row>
    <row r="186" spans="1:19" x14ac:dyDescent="0.2">
      <c r="A186" s="57" t="s">
        <v>246</v>
      </c>
      <c r="B186" s="57" t="s">
        <v>244</v>
      </c>
      <c r="C186" s="57" t="s">
        <v>245</v>
      </c>
      <c r="D186" s="58">
        <v>33.659999999999997</v>
      </c>
      <c r="E186" s="59">
        <v>41099</v>
      </c>
      <c r="F186" s="58">
        <v>122478</v>
      </c>
      <c r="G186" s="58">
        <v>35951</v>
      </c>
      <c r="H186" s="58">
        <v>23221</v>
      </c>
      <c r="I186" s="58">
        <v>135120</v>
      </c>
      <c r="J186" s="58">
        <v>1</v>
      </c>
      <c r="K186" s="1">
        <f t="shared" si="15"/>
        <v>781618.85999999987</v>
      </c>
      <c r="L186" s="1">
        <f t="shared" si="16"/>
        <v>23221</v>
      </c>
      <c r="M186" s="1">
        <f>VLOOKUP(B186,'[1]Срок Годности'!$A$2:$B$4,2,0)</f>
        <v>1500</v>
      </c>
      <c r="N186" s="60">
        <f t="shared" si="17"/>
        <v>35951</v>
      </c>
      <c r="O186" s="1" t="str">
        <f t="shared" si="18"/>
        <v>28 2012</v>
      </c>
      <c r="P186" s="1">
        <f t="shared" si="19"/>
        <v>21</v>
      </c>
      <c r="Q186" s="1">
        <f t="shared" ca="1" si="20"/>
        <v>4034</v>
      </c>
      <c r="S186" s="1">
        <f t="shared" si="14"/>
        <v>135119</v>
      </c>
    </row>
    <row r="187" spans="1:19" x14ac:dyDescent="0.2">
      <c r="A187" s="57" t="s">
        <v>246</v>
      </c>
      <c r="B187" s="57" t="s">
        <v>244</v>
      </c>
      <c r="C187" s="57" t="s">
        <v>245</v>
      </c>
      <c r="D187" s="58">
        <v>33.659999999999997</v>
      </c>
      <c r="E187" s="59">
        <v>41100</v>
      </c>
      <c r="F187" s="58">
        <v>135120</v>
      </c>
      <c r="G187" s="58">
        <v>28498</v>
      </c>
      <c r="H187" s="58">
        <v>25684</v>
      </c>
      <c r="I187" s="58">
        <v>137974</v>
      </c>
      <c r="J187" s="58">
        <v>0</v>
      </c>
      <c r="K187" s="1">
        <f t="shared" si="15"/>
        <v>864523.44</v>
      </c>
      <c r="L187" s="1">
        <f t="shared" si="16"/>
        <v>25684</v>
      </c>
      <c r="M187" s="1">
        <f>VLOOKUP(B187,'[1]Срок Годности'!$A$2:$B$4,2,0)</f>
        <v>1500</v>
      </c>
      <c r="N187" s="60">
        <f t="shared" si="17"/>
        <v>28498</v>
      </c>
      <c r="O187" s="1" t="str">
        <f t="shared" si="18"/>
        <v>28 2012</v>
      </c>
      <c r="P187" s="1">
        <f t="shared" si="19"/>
        <v>21</v>
      </c>
      <c r="Q187" s="1">
        <f t="shared" ca="1" si="20"/>
        <v>4033</v>
      </c>
      <c r="S187" s="1">
        <f t="shared" si="14"/>
        <v>137974</v>
      </c>
    </row>
    <row r="188" spans="1:19" x14ac:dyDescent="0.2">
      <c r="A188" s="57" t="s">
        <v>246</v>
      </c>
      <c r="B188" s="57" t="s">
        <v>244</v>
      </c>
      <c r="C188" s="57" t="s">
        <v>245</v>
      </c>
      <c r="D188" s="58">
        <v>33.659999999999997</v>
      </c>
      <c r="E188" s="59">
        <v>41101</v>
      </c>
      <c r="F188" s="58">
        <v>137974</v>
      </c>
      <c r="G188" s="58">
        <v>34677</v>
      </c>
      <c r="H188" s="58">
        <v>28369</v>
      </c>
      <c r="I188" s="58">
        <v>143325</v>
      </c>
      <c r="J188" s="58">
        <v>0</v>
      </c>
      <c r="K188" s="1">
        <f t="shared" si="15"/>
        <v>954900.53999999992</v>
      </c>
      <c r="L188" s="1">
        <f t="shared" si="16"/>
        <v>28369</v>
      </c>
      <c r="M188" s="1">
        <f>VLOOKUP(B188,'[1]Срок Годности'!$A$2:$B$4,2,0)</f>
        <v>1500</v>
      </c>
      <c r="N188" s="60">
        <f t="shared" si="17"/>
        <v>34677</v>
      </c>
      <c r="O188" s="1" t="str">
        <f t="shared" si="18"/>
        <v>28 2012</v>
      </c>
      <c r="P188" s="1">
        <f t="shared" si="19"/>
        <v>21</v>
      </c>
      <c r="Q188" s="1">
        <f t="shared" ca="1" si="20"/>
        <v>4032</v>
      </c>
      <c r="S188" s="1">
        <f t="shared" si="14"/>
        <v>143325</v>
      </c>
    </row>
    <row r="189" spans="1:19" x14ac:dyDescent="0.2">
      <c r="A189" s="57" t="s">
        <v>246</v>
      </c>
      <c r="B189" s="57" t="s">
        <v>244</v>
      </c>
      <c r="C189" s="57" t="s">
        <v>245</v>
      </c>
      <c r="D189" s="58">
        <v>33.659999999999997</v>
      </c>
      <c r="E189" s="59">
        <v>41102</v>
      </c>
      <c r="F189" s="58">
        <v>143325</v>
      </c>
      <c r="G189" s="58">
        <v>27797</v>
      </c>
      <c r="H189" s="58">
        <v>27699</v>
      </c>
      <c r="I189" s="58">
        <v>143220</v>
      </c>
      <c r="J189" s="58">
        <v>0</v>
      </c>
      <c r="K189" s="1">
        <f t="shared" si="15"/>
        <v>932348.33999999985</v>
      </c>
      <c r="L189" s="1">
        <f t="shared" si="16"/>
        <v>27699</v>
      </c>
      <c r="M189" s="1">
        <f>VLOOKUP(B189,'[1]Срок Годности'!$A$2:$B$4,2,0)</f>
        <v>1500</v>
      </c>
      <c r="N189" s="60">
        <f t="shared" si="17"/>
        <v>27797</v>
      </c>
      <c r="O189" s="1" t="str">
        <f t="shared" si="18"/>
        <v>28 2012</v>
      </c>
      <c r="P189" s="1">
        <f t="shared" si="19"/>
        <v>21</v>
      </c>
      <c r="Q189" s="1">
        <f t="shared" ca="1" si="20"/>
        <v>4031</v>
      </c>
      <c r="S189" s="1">
        <f t="shared" si="14"/>
        <v>143220</v>
      </c>
    </row>
    <row r="190" spans="1:19" x14ac:dyDescent="0.2">
      <c r="A190" s="57" t="s">
        <v>246</v>
      </c>
      <c r="B190" s="57" t="s">
        <v>244</v>
      </c>
      <c r="C190" s="57" t="s">
        <v>245</v>
      </c>
      <c r="D190" s="58">
        <v>33.659999999999997</v>
      </c>
      <c r="E190" s="59">
        <v>41103</v>
      </c>
      <c r="F190" s="58">
        <v>143220</v>
      </c>
      <c r="G190" s="58">
        <v>38965</v>
      </c>
      <c r="H190" s="58">
        <v>25807</v>
      </c>
      <c r="I190" s="58">
        <v>156231</v>
      </c>
      <c r="J190" s="58">
        <v>0</v>
      </c>
      <c r="K190" s="1">
        <f t="shared" si="15"/>
        <v>868663.61999999988</v>
      </c>
      <c r="L190" s="1">
        <f t="shared" si="16"/>
        <v>25807</v>
      </c>
      <c r="M190" s="1">
        <f>VLOOKUP(B190,'[1]Срок Годности'!$A$2:$B$4,2,0)</f>
        <v>1500</v>
      </c>
      <c r="N190" s="60">
        <f t="shared" si="17"/>
        <v>38965</v>
      </c>
      <c r="O190" s="1" t="str">
        <f t="shared" si="18"/>
        <v>28 2012</v>
      </c>
      <c r="P190" s="1">
        <f t="shared" si="19"/>
        <v>21</v>
      </c>
      <c r="Q190" s="1">
        <f t="shared" ca="1" si="20"/>
        <v>4030</v>
      </c>
      <c r="S190" s="1">
        <f t="shared" si="14"/>
        <v>156231</v>
      </c>
    </row>
    <row r="191" spans="1:19" x14ac:dyDescent="0.2">
      <c r="A191" s="57" t="s">
        <v>246</v>
      </c>
      <c r="B191" s="57" t="s">
        <v>244</v>
      </c>
      <c r="C191" s="57" t="s">
        <v>245</v>
      </c>
      <c r="D191" s="58">
        <v>33.659999999999997</v>
      </c>
      <c r="E191" s="59">
        <v>41104</v>
      </c>
      <c r="F191" s="58">
        <v>156231</v>
      </c>
      <c r="G191" s="58">
        <v>26584</v>
      </c>
      <c r="H191" s="58">
        <v>21026</v>
      </c>
      <c r="I191" s="58">
        <v>161728</v>
      </c>
      <c r="J191" s="58">
        <v>0</v>
      </c>
      <c r="K191" s="1">
        <f t="shared" si="15"/>
        <v>707735.15999999992</v>
      </c>
      <c r="L191" s="1">
        <f t="shared" si="16"/>
        <v>21026</v>
      </c>
      <c r="M191" s="1">
        <f>VLOOKUP(B191,'[1]Срок Годности'!$A$2:$B$4,2,0)</f>
        <v>1500</v>
      </c>
      <c r="N191" s="60">
        <f t="shared" si="17"/>
        <v>26584</v>
      </c>
      <c r="O191" s="1" t="str">
        <f t="shared" si="18"/>
        <v>28 2012</v>
      </c>
      <c r="P191" s="1">
        <f t="shared" si="19"/>
        <v>21</v>
      </c>
      <c r="Q191" s="1">
        <f t="shared" ca="1" si="20"/>
        <v>4029</v>
      </c>
      <c r="S191" s="1">
        <f t="shared" si="14"/>
        <v>161728</v>
      </c>
    </row>
    <row r="192" spans="1:19" x14ac:dyDescent="0.2">
      <c r="A192" s="57" t="s">
        <v>246</v>
      </c>
      <c r="B192" s="57" t="s">
        <v>244</v>
      </c>
      <c r="C192" s="57" t="s">
        <v>245</v>
      </c>
      <c r="D192" s="58">
        <v>33.659999999999997</v>
      </c>
      <c r="E192" s="59">
        <v>41105</v>
      </c>
      <c r="F192" s="58">
        <v>161728</v>
      </c>
      <c r="G192" s="58">
        <v>20180</v>
      </c>
      <c r="H192" s="58">
        <v>16940</v>
      </c>
      <c r="I192" s="58">
        <v>164930</v>
      </c>
      <c r="J192" s="58">
        <v>4</v>
      </c>
      <c r="K192" s="1">
        <f t="shared" si="15"/>
        <v>570200.39999999991</v>
      </c>
      <c r="L192" s="1">
        <f t="shared" si="16"/>
        <v>16940</v>
      </c>
      <c r="M192" s="1">
        <f>VLOOKUP(B192,'[1]Срок Годности'!$A$2:$B$4,2,0)</f>
        <v>1500</v>
      </c>
      <c r="N192" s="60">
        <f t="shared" si="17"/>
        <v>0</v>
      </c>
      <c r="O192" s="1" t="str">
        <f t="shared" si="18"/>
        <v>29 2012</v>
      </c>
      <c r="P192" s="1">
        <f t="shared" si="19"/>
        <v>21</v>
      </c>
      <c r="Q192" s="1">
        <f t="shared" ca="1" si="20"/>
        <v>4028</v>
      </c>
      <c r="S192" s="1">
        <f t="shared" si="14"/>
        <v>164926</v>
      </c>
    </row>
    <row r="193" spans="1:19" x14ac:dyDescent="0.2">
      <c r="A193" s="57" t="s">
        <v>246</v>
      </c>
      <c r="B193" s="57" t="s">
        <v>244</v>
      </c>
      <c r="C193" s="57" t="s">
        <v>245</v>
      </c>
      <c r="D193" s="58">
        <v>33.659999999999997</v>
      </c>
      <c r="E193" s="59">
        <v>41106</v>
      </c>
      <c r="F193" s="58">
        <v>164930</v>
      </c>
      <c r="G193" s="58">
        <v>18234</v>
      </c>
      <c r="H193" s="58">
        <v>16875</v>
      </c>
      <c r="I193" s="58">
        <v>166228</v>
      </c>
      <c r="J193" s="58">
        <v>1</v>
      </c>
      <c r="K193" s="1">
        <f t="shared" si="15"/>
        <v>568012.5</v>
      </c>
      <c r="L193" s="1">
        <f t="shared" si="16"/>
        <v>16875</v>
      </c>
      <c r="M193" s="1">
        <f>VLOOKUP(B193,'[1]Срок Годности'!$A$2:$B$4,2,0)</f>
        <v>1500</v>
      </c>
      <c r="N193" s="60">
        <f t="shared" si="17"/>
        <v>18234</v>
      </c>
      <c r="O193" s="1" t="str">
        <f t="shared" si="18"/>
        <v>29 2012</v>
      </c>
      <c r="P193" s="1">
        <f t="shared" si="19"/>
        <v>21</v>
      </c>
      <c r="Q193" s="1">
        <f t="shared" ca="1" si="20"/>
        <v>4027</v>
      </c>
      <c r="S193" s="1">
        <f t="shared" si="14"/>
        <v>166227</v>
      </c>
    </row>
    <row r="194" spans="1:19" x14ac:dyDescent="0.2">
      <c r="A194" s="57" t="s">
        <v>246</v>
      </c>
      <c r="B194" s="57" t="s">
        <v>244</v>
      </c>
      <c r="C194" s="57" t="s">
        <v>245</v>
      </c>
      <c r="D194" s="58">
        <v>33.659999999999997</v>
      </c>
      <c r="E194" s="59">
        <v>41107</v>
      </c>
      <c r="F194" s="58">
        <v>166228</v>
      </c>
      <c r="G194" s="58">
        <v>26644</v>
      </c>
      <c r="H194" s="58">
        <v>15376</v>
      </c>
      <c r="I194" s="58">
        <v>177598</v>
      </c>
      <c r="J194" s="58">
        <v>1</v>
      </c>
      <c r="K194" s="1">
        <f t="shared" si="15"/>
        <v>517556.16</v>
      </c>
      <c r="L194" s="1">
        <f t="shared" si="16"/>
        <v>15376</v>
      </c>
      <c r="M194" s="1">
        <f>VLOOKUP(B194,'[1]Срок Годности'!$A$2:$B$4,2,0)</f>
        <v>1500</v>
      </c>
      <c r="N194" s="60">
        <f t="shared" si="17"/>
        <v>26644</v>
      </c>
      <c r="O194" s="1" t="str">
        <f t="shared" si="18"/>
        <v>29 2012</v>
      </c>
      <c r="P194" s="1">
        <f t="shared" si="19"/>
        <v>21</v>
      </c>
      <c r="Q194" s="1">
        <f t="shared" ca="1" si="20"/>
        <v>4026</v>
      </c>
      <c r="S194" s="1">
        <f t="shared" si="14"/>
        <v>177597</v>
      </c>
    </row>
    <row r="195" spans="1:19" x14ac:dyDescent="0.2">
      <c r="A195" s="57" t="s">
        <v>246</v>
      </c>
      <c r="B195" s="57" t="s">
        <v>237</v>
      </c>
      <c r="C195" s="57" t="s">
        <v>238</v>
      </c>
      <c r="D195" s="58">
        <v>165.05</v>
      </c>
      <c r="E195" s="59">
        <v>41061</v>
      </c>
      <c r="F195" s="58">
        <v>9078</v>
      </c>
      <c r="G195" s="58">
        <v>1661</v>
      </c>
      <c r="H195" s="58">
        <v>2027</v>
      </c>
      <c r="I195" s="58">
        <v>8701</v>
      </c>
      <c r="J195" s="58">
        <v>0</v>
      </c>
      <c r="K195" s="1">
        <f t="shared" si="15"/>
        <v>334556.35000000003</v>
      </c>
      <c r="L195" s="1">
        <f t="shared" si="16"/>
        <v>2027</v>
      </c>
      <c r="M195" s="1">
        <f>VLOOKUP(B195,'[1]Срок Годности'!$A$2:$B$4,2,0)</f>
        <v>1000</v>
      </c>
      <c r="N195" s="60">
        <f t="shared" si="17"/>
        <v>1661</v>
      </c>
      <c r="O195" s="1" t="str">
        <f t="shared" si="18"/>
        <v>22 2012</v>
      </c>
      <c r="P195" s="1">
        <f t="shared" si="19"/>
        <v>22</v>
      </c>
      <c r="Q195" s="1">
        <f t="shared" ca="1" si="20"/>
        <v>4072</v>
      </c>
      <c r="S195" s="1">
        <f t="shared" si="14"/>
        <v>8701</v>
      </c>
    </row>
    <row r="196" spans="1:19" x14ac:dyDescent="0.2">
      <c r="A196" s="57" t="s">
        <v>246</v>
      </c>
      <c r="B196" s="57" t="s">
        <v>237</v>
      </c>
      <c r="C196" s="57" t="s">
        <v>238</v>
      </c>
      <c r="D196" s="58">
        <v>165.05</v>
      </c>
      <c r="E196" s="59">
        <v>41062</v>
      </c>
      <c r="F196" s="58">
        <v>8701</v>
      </c>
      <c r="G196" s="58">
        <v>2088</v>
      </c>
      <c r="H196" s="58">
        <v>2444</v>
      </c>
      <c r="I196" s="58">
        <v>8318</v>
      </c>
      <c r="J196" s="58">
        <v>0</v>
      </c>
      <c r="K196" s="1">
        <f t="shared" si="15"/>
        <v>403382.2</v>
      </c>
      <c r="L196" s="1">
        <f t="shared" si="16"/>
        <v>2444</v>
      </c>
      <c r="M196" s="1">
        <f>VLOOKUP(B196,'[1]Срок Годности'!$A$2:$B$4,2,0)</f>
        <v>1000</v>
      </c>
      <c r="N196" s="60">
        <f t="shared" si="17"/>
        <v>2088</v>
      </c>
      <c r="O196" s="1" t="str">
        <f t="shared" si="18"/>
        <v>22 2012</v>
      </c>
      <c r="P196" s="1">
        <f t="shared" si="19"/>
        <v>22</v>
      </c>
      <c r="Q196" s="1">
        <f t="shared" ca="1" si="20"/>
        <v>4071</v>
      </c>
      <c r="S196" s="1">
        <f t="shared" si="14"/>
        <v>8318</v>
      </c>
    </row>
    <row r="197" spans="1:19" x14ac:dyDescent="0.2">
      <c r="A197" s="57" t="s">
        <v>246</v>
      </c>
      <c r="B197" s="57" t="s">
        <v>237</v>
      </c>
      <c r="C197" s="57" t="s">
        <v>238</v>
      </c>
      <c r="D197" s="58">
        <v>165.05</v>
      </c>
      <c r="E197" s="59">
        <v>41063</v>
      </c>
      <c r="F197" s="58">
        <v>8318</v>
      </c>
      <c r="G197" s="58">
        <v>2786</v>
      </c>
      <c r="H197" s="58">
        <v>2101</v>
      </c>
      <c r="I197" s="58">
        <v>8990</v>
      </c>
      <c r="J197" s="58">
        <v>0</v>
      </c>
      <c r="K197" s="1">
        <f t="shared" si="15"/>
        <v>346770.05000000005</v>
      </c>
      <c r="L197" s="1">
        <f t="shared" si="16"/>
        <v>2101</v>
      </c>
      <c r="M197" s="1">
        <f>VLOOKUP(B197,'[1]Срок Годности'!$A$2:$B$4,2,0)</f>
        <v>1000</v>
      </c>
      <c r="N197" s="60">
        <f t="shared" si="17"/>
        <v>0</v>
      </c>
      <c r="O197" s="1" t="str">
        <f t="shared" si="18"/>
        <v>23 2012</v>
      </c>
      <c r="P197" s="1">
        <f t="shared" si="19"/>
        <v>22</v>
      </c>
      <c r="Q197" s="1">
        <f t="shared" ca="1" si="20"/>
        <v>4070</v>
      </c>
      <c r="S197" s="1">
        <f t="shared" si="14"/>
        <v>8990</v>
      </c>
    </row>
    <row r="198" spans="1:19" x14ac:dyDescent="0.2">
      <c r="A198" s="57" t="s">
        <v>246</v>
      </c>
      <c r="B198" s="57" t="s">
        <v>237</v>
      </c>
      <c r="C198" s="57" t="s">
        <v>238</v>
      </c>
      <c r="D198" s="58">
        <v>165.05</v>
      </c>
      <c r="E198" s="59">
        <v>41064</v>
      </c>
      <c r="F198" s="58">
        <v>8990</v>
      </c>
      <c r="G198" s="58">
        <v>2690</v>
      </c>
      <c r="H198" s="58">
        <v>2175</v>
      </c>
      <c r="I198" s="58">
        <v>9452</v>
      </c>
      <c r="J198" s="58">
        <v>0</v>
      </c>
      <c r="K198" s="1">
        <f t="shared" si="15"/>
        <v>358983.75</v>
      </c>
      <c r="L198" s="1">
        <f t="shared" si="16"/>
        <v>2175</v>
      </c>
      <c r="M198" s="1">
        <f>VLOOKUP(B198,'[1]Срок Годности'!$A$2:$B$4,2,0)</f>
        <v>1000</v>
      </c>
      <c r="N198" s="60">
        <f t="shared" si="17"/>
        <v>2690</v>
      </c>
      <c r="O198" s="1" t="str">
        <f t="shared" si="18"/>
        <v>23 2012</v>
      </c>
      <c r="P198" s="1">
        <f t="shared" si="19"/>
        <v>22</v>
      </c>
      <c r="Q198" s="1">
        <f t="shared" ca="1" si="20"/>
        <v>4069</v>
      </c>
      <c r="S198" s="1">
        <f t="shared" si="14"/>
        <v>9452</v>
      </c>
    </row>
    <row r="199" spans="1:19" x14ac:dyDescent="0.2">
      <c r="A199" s="57" t="s">
        <v>246</v>
      </c>
      <c r="B199" s="57" t="s">
        <v>237</v>
      </c>
      <c r="C199" s="57" t="s">
        <v>238</v>
      </c>
      <c r="D199" s="58">
        <v>165.05</v>
      </c>
      <c r="E199" s="59">
        <v>41065</v>
      </c>
      <c r="F199" s="58">
        <v>9452</v>
      </c>
      <c r="G199" s="58">
        <v>2286</v>
      </c>
      <c r="H199" s="58">
        <v>2239</v>
      </c>
      <c r="I199" s="58">
        <v>9482</v>
      </c>
      <c r="J199" s="58">
        <v>0</v>
      </c>
      <c r="K199" s="1">
        <f t="shared" si="15"/>
        <v>369546.95</v>
      </c>
      <c r="L199" s="1">
        <f t="shared" si="16"/>
        <v>2239</v>
      </c>
      <c r="M199" s="1">
        <f>VLOOKUP(B199,'[1]Срок Годности'!$A$2:$B$4,2,0)</f>
        <v>1000</v>
      </c>
      <c r="N199" s="60">
        <f t="shared" si="17"/>
        <v>2286</v>
      </c>
      <c r="O199" s="1" t="str">
        <f t="shared" si="18"/>
        <v>23 2012</v>
      </c>
      <c r="P199" s="1">
        <f t="shared" si="19"/>
        <v>22</v>
      </c>
      <c r="Q199" s="1">
        <f t="shared" ca="1" si="20"/>
        <v>4068</v>
      </c>
      <c r="S199" s="1">
        <f t="shared" ref="S199:S262" si="21">I199-J199</f>
        <v>9482</v>
      </c>
    </row>
    <row r="200" spans="1:19" x14ac:dyDescent="0.2">
      <c r="A200" s="57" t="s">
        <v>246</v>
      </c>
      <c r="B200" s="57" t="s">
        <v>237</v>
      </c>
      <c r="C200" s="57" t="s">
        <v>238</v>
      </c>
      <c r="D200" s="58">
        <v>165.05</v>
      </c>
      <c r="E200" s="59">
        <v>41066</v>
      </c>
      <c r="F200" s="58">
        <v>9482</v>
      </c>
      <c r="G200" s="58">
        <v>2883</v>
      </c>
      <c r="H200" s="58">
        <v>2333</v>
      </c>
      <c r="I200" s="58">
        <v>10021</v>
      </c>
      <c r="J200" s="58">
        <v>0</v>
      </c>
      <c r="K200" s="1">
        <f t="shared" ref="K200:K263" si="22">H200*D200</f>
        <v>385061.65</v>
      </c>
      <c r="L200" s="1">
        <f t="shared" ref="L200:L263" si="23">IF(H200&gt;1000,H200,"")</f>
        <v>2333</v>
      </c>
      <c r="M200" s="1">
        <f>VLOOKUP(B200,'[1]Срок Годности'!$A$2:$B$4,2,0)</f>
        <v>1000</v>
      </c>
      <c r="N200" s="60">
        <f t="shared" ref="N200:N263" si="24">IF(WEEKDAY(E200) = 1, 0, G200)</f>
        <v>2883</v>
      </c>
      <c r="O200" s="1" t="str">
        <f t="shared" ref="O200:O263" si="25">WEEKNUM(E200) &amp; " " &amp; YEAR(E200)</f>
        <v>23 2012</v>
      </c>
      <c r="P200" s="1">
        <f t="shared" ref="P200:P263" si="26">LEN(C200)</f>
        <v>22</v>
      </c>
      <c r="Q200" s="1">
        <f t="shared" ref="Q200:Q263" ca="1" si="27">DATEDIF(E200,NOW(),"D")</f>
        <v>4067</v>
      </c>
      <c r="S200" s="1">
        <f t="shared" si="21"/>
        <v>10021</v>
      </c>
    </row>
    <row r="201" spans="1:19" x14ac:dyDescent="0.2">
      <c r="A201" s="57" t="s">
        <v>246</v>
      </c>
      <c r="B201" s="57" t="s">
        <v>237</v>
      </c>
      <c r="C201" s="57" t="s">
        <v>238</v>
      </c>
      <c r="D201" s="58">
        <v>165.05</v>
      </c>
      <c r="E201" s="59">
        <v>41067</v>
      </c>
      <c r="F201" s="58">
        <v>10021</v>
      </c>
      <c r="G201" s="58">
        <v>2698</v>
      </c>
      <c r="H201" s="58">
        <v>2544</v>
      </c>
      <c r="I201" s="58">
        <v>10161</v>
      </c>
      <c r="J201" s="58">
        <v>0</v>
      </c>
      <c r="K201" s="1">
        <f t="shared" si="22"/>
        <v>419887.2</v>
      </c>
      <c r="L201" s="1">
        <f t="shared" si="23"/>
        <v>2544</v>
      </c>
      <c r="M201" s="1">
        <f>VLOOKUP(B201,'[1]Срок Годности'!$A$2:$B$4,2,0)</f>
        <v>1000</v>
      </c>
      <c r="N201" s="60">
        <f t="shared" si="24"/>
        <v>2698</v>
      </c>
      <c r="O201" s="1" t="str">
        <f t="shared" si="25"/>
        <v>23 2012</v>
      </c>
      <c r="P201" s="1">
        <f t="shared" si="26"/>
        <v>22</v>
      </c>
      <c r="Q201" s="1">
        <f t="shared" ca="1" si="27"/>
        <v>4066</v>
      </c>
      <c r="S201" s="1">
        <f t="shared" si="21"/>
        <v>10161</v>
      </c>
    </row>
    <row r="202" spans="1:19" x14ac:dyDescent="0.2">
      <c r="A202" s="57" t="s">
        <v>246</v>
      </c>
      <c r="B202" s="57" t="s">
        <v>237</v>
      </c>
      <c r="C202" s="57" t="s">
        <v>238</v>
      </c>
      <c r="D202" s="58">
        <v>165.05</v>
      </c>
      <c r="E202" s="59">
        <v>41068</v>
      </c>
      <c r="F202" s="58">
        <v>10161</v>
      </c>
      <c r="G202" s="58">
        <v>2703</v>
      </c>
      <c r="H202" s="58">
        <v>2480</v>
      </c>
      <c r="I202" s="58">
        <v>10326</v>
      </c>
      <c r="J202" s="58">
        <v>0</v>
      </c>
      <c r="K202" s="1">
        <f t="shared" si="22"/>
        <v>409324</v>
      </c>
      <c r="L202" s="1">
        <f t="shared" si="23"/>
        <v>2480</v>
      </c>
      <c r="M202" s="1">
        <f>VLOOKUP(B202,'[1]Срок Годности'!$A$2:$B$4,2,0)</f>
        <v>1000</v>
      </c>
      <c r="N202" s="60">
        <f t="shared" si="24"/>
        <v>2703</v>
      </c>
      <c r="O202" s="1" t="str">
        <f t="shared" si="25"/>
        <v>23 2012</v>
      </c>
      <c r="P202" s="1">
        <f t="shared" si="26"/>
        <v>22</v>
      </c>
      <c r="Q202" s="1">
        <f t="shared" ca="1" si="27"/>
        <v>4065</v>
      </c>
      <c r="S202" s="1">
        <f t="shared" si="21"/>
        <v>10326</v>
      </c>
    </row>
    <row r="203" spans="1:19" x14ac:dyDescent="0.2">
      <c r="A203" s="57" t="s">
        <v>246</v>
      </c>
      <c r="B203" s="57" t="s">
        <v>237</v>
      </c>
      <c r="C203" s="57" t="s">
        <v>238</v>
      </c>
      <c r="D203" s="58">
        <v>165.05</v>
      </c>
      <c r="E203" s="59">
        <v>41069</v>
      </c>
      <c r="F203" s="58">
        <v>10326</v>
      </c>
      <c r="G203" s="58">
        <v>3198</v>
      </c>
      <c r="H203" s="58">
        <v>3026</v>
      </c>
      <c r="I203" s="58">
        <v>10482</v>
      </c>
      <c r="J203" s="58">
        <v>0</v>
      </c>
      <c r="K203" s="1">
        <f t="shared" si="22"/>
        <v>499441.30000000005</v>
      </c>
      <c r="L203" s="1">
        <f t="shared" si="23"/>
        <v>3026</v>
      </c>
      <c r="M203" s="1">
        <f>VLOOKUP(B203,'[1]Срок Годности'!$A$2:$B$4,2,0)</f>
        <v>1000</v>
      </c>
      <c r="N203" s="60">
        <f t="shared" si="24"/>
        <v>3198</v>
      </c>
      <c r="O203" s="1" t="str">
        <f t="shared" si="25"/>
        <v>23 2012</v>
      </c>
      <c r="P203" s="1">
        <f t="shared" si="26"/>
        <v>22</v>
      </c>
      <c r="Q203" s="1">
        <f t="shared" ca="1" si="27"/>
        <v>4064</v>
      </c>
      <c r="S203" s="1">
        <f t="shared" si="21"/>
        <v>10482</v>
      </c>
    </row>
    <row r="204" spans="1:19" x14ac:dyDescent="0.2">
      <c r="A204" s="57" t="s">
        <v>246</v>
      </c>
      <c r="B204" s="57" t="s">
        <v>237</v>
      </c>
      <c r="C204" s="57" t="s">
        <v>238</v>
      </c>
      <c r="D204" s="58">
        <v>165.05</v>
      </c>
      <c r="E204" s="59">
        <v>41070</v>
      </c>
      <c r="F204" s="58">
        <v>10482</v>
      </c>
      <c r="G204" s="58">
        <v>2304</v>
      </c>
      <c r="H204" s="58">
        <v>2725</v>
      </c>
      <c r="I204" s="58">
        <v>10024</v>
      </c>
      <c r="J204" s="58">
        <v>0</v>
      </c>
      <c r="K204" s="1">
        <f t="shared" si="22"/>
        <v>449761.25000000006</v>
      </c>
      <c r="L204" s="1">
        <f t="shared" si="23"/>
        <v>2725</v>
      </c>
      <c r="M204" s="1">
        <f>VLOOKUP(B204,'[1]Срок Годности'!$A$2:$B$4,2,0)</f>
        <v>1000</v>
      </c>
      <c r="N204" s="60">
        <f t="shared" si="24"/>
        <v>0</v>
      </c>
      <c r="O204" s="1" t="str">
        <f t="shared" si="25"/>
        <v>24 2012</v>
      </c>
      <c r="P204" s="1">
        <f t="shared" si="26"/>
        <v>22</v>
      </c>
      <c r="Q204" s="1">
        <f t="shared" ca="1" si="27"/>
        <v>4063</v>
      </c>
      <c r="S204" s="1">
        <f t="shared" si="21"/>
        <v>10024</v>
      </c>
    </row>
    <row r="205" spans="1:19" x14ac:dyDescent="0.2">
      <c r="A205" s="57" t="s">
        <v>246</v>
      </c>
      <c r="B205" s="57" t="s">
        <v>237</v>
      </c>
      <c r="C205" s="57" t="s">
        <v>238</v>
      </c>
      <c r="D205" s="58">
        <v>165.05</v>
      </c>
      <c r="E205" s="59">
        <v>41071</v>
      </c>
      <c r="F205" s="58">
        <v>10024</v>
      </c>
      <c r="G205" s="58">
        <v>2543</v>
      </c>
      <c r="H205" s="58">
        <v>2226</v>
      </c>
      <c r="I205" s="58">
        <v>10270</v>
      </c>
      <c r="J205" s="58">
        <v>0</v>
      </c>
      <c r="K205" s="1">
        <f t="shared" si="22"/>
        <v>367401.30000000005</v>
      </c>
      <c r="L205" s="1">
        <f t="shared" si="23"/>
        <v>2226</v>
      </c>
      <c r="M205" s="1">
        <f>VLOOKUP(B205,'[1]Срок Годности'!$A$2:$B$4,2,0)</f>
        <v>1000</v>
      </c>
      <c r="N205" s="60">
        <f t="shared" si="24"/>
        <v>2543</v>
      </c>
      <c r="O205" s="1" t="str">
        <f t="shared" si="25"/>
        <v>24 2012</v>
      </c>
      <c r="P205" s="1">
        <f t="shared" si="26"/>
        <v>22</v>
      </c>
      <c r="Q205" s="1">
        <f t="shared" ca="1" si="27"/>
        <v>4062</v>
      </c>
      <c r="S205" s="1">
        <f t="shared" si="21"/>
        <v>10270</v>
      </c>
    </row>
    <row r="206" spans="1:19" x14ac:dyDescent="0.2">
      <c r="A206" s="57" t="s">
        <v>246</v>
      </c>
      <c r="B206" s="57" t="s">
        <v>237</v>
      </c>
      <c r="C206" s="57" t="s">
        <v>238</v>
      </c>
      <c r="D206" s="58">
        <v>165.05</v>
      </c>
      <c r="E206" s="59">
        <v>41072</v>
      </c>
      <c r="F206" s="58">
        <v>10270</v>
      </c>
      <c r="G206" s="58">
        <v>2547</v>
      </c>
      <c r="H206" s="58">
        <v>1944</v>
      </c>
      <c r="I206" s="58">
        <v>10708</v>
      </c>
      <c r="J206" s="58">
        <v>0</v>
      </c>
      <c r="K206" s="1">
        <f t="shared" si="22"/>
        <v>320857.2</v>
      </c>
      <c r="L206" s="1">
        <f t="shared" si="23"/>
        <v>1944</v>
      </c>
      <c r="M206" s="1">
        <f>VLOOKUP(B206,'[1]Срок Годности'!$A$2:$B$4,2,0)</f>
        <v>1000</v>
      </c>
      <c r="N206" s="60">
        <f t="shared" si="24"/>
        <v>2547</v>
      </c>
      <c r="O206" s="1" t="str">
        <f t="shared" si="25"/>
        <v>24 2012</v>
      </c>
      <c r="P206" s="1">
        <f t="shared" si="26"/>
        <v>22</v>
      </c>
      <c r="Q206" s="1">
        <f t="shared" ca="1" si="27"/>
        <v>4061</v>
      </c>
      <c r="S206" s="1">
        <f t="shared" si="21"/>
        <v>10708</v>
      </c>
    </row>
    <row r="207" spans="1:19" x14ac:dyDescent="0.2">
      <c r="A207" s="57" t="s">
        <v>246</v>
      </c>
      <c r="B207" s="57" t="s">
        <v>237</v>
      </c>
      <c r="C207" s="57" t="s">
        <v>238</v>
      </c>
      <c r="D207" s="58">
        <v>165.05</v>
      </c>
      <c r="E207" s="59">
        <v>41073</v>
      </c>
      <c r="F207" s="58">
        <v>10708</v>
      </c>
      <c r="G207" s="58">
        <v>2248</v>
      </c>
      <c r="H207" s="58">
        <v>2012</v>
      </c>
      <c r="I207" s="58">
        <v>10761</v>
      </c>
      <c r="J207" s="58">
        <v>0</v>
      </c>
      <c r="K207" s="1">
        <f t="shared" si="22"/>
        <v>332080.60000000003</v>
      </c>
      <c r="L207" s="1">
        <f t="shared" si="23"/>
        <v>2012</v>
      </c>
      <c r="M207" s="1">
        <f>VLOOKUP(B207,'[1]Срок Годности'!$A$2:$B$4,2,0)</f>
        <v>1000</v>
      </c>
      <c r="N207" s="60">
        <f t="shared" si="24"/>
        <v>2248</v>
      </c>
      <c r="O207" s="1" t="str">
        <f t="shared" si="25"/>
        <v>24 2012</v>
      </c>
      <c r="P207" s="1">
        <f t="shared" si="26"/>
        <v>22</v>
      </c>
      <c r="Q207" s="1">
        <f t="shared" ca="1" si="27"/>
        <v>4060</v>
      </c>
      <c r="S207" s="1">
        <f t="shared" si="21"/>
        <v>10761</v>
      </c>
    </row>
    <row r="208" spans="1:19" x14ac:dyDescent="0.2">
      <c r="A208" s="57" t="s">
        <v>246</v>
      </c>
      <c r="B208" s="57" t="s">
        <v>237</v>
      </c>
      <c r="C208" s="57" t="s">
        <v>238</v>
      </c>
      <c r="D208" s="58">
        <v>165.05</v>
      </c>
      <c r="E208" s="59">
        <v>41074</v>
      </c>
      <c r="F208" s="58">
        <v>10761</v>
      </c>
      <c r="G208" s="58">
        <v>2080</v>
      </c>
      <c r="H208" s="58">
        <v>2133</v>
      </c>
      <c r="I208" s="58">
        <v>10607</v>
      </c>
      <c r="J208" s="58">
        <v>0</v>
      </c>
      <c r="K208" s="1">
        <f t="shared" si="22"/>
        <v>352051.65</v>
      </c>
      <c r="L208" s="1">
        <f t="shared" si="23"/>
        <v>2133</v>
      </c>
      <c r="M208" s="1">
        <f>VLOOKUP(B208,'[1]Срок Годности'!$A$2:$B$4,2,0)</f>
        <v>1000</v>
      </c>
      <c r="N208" s="60">
        <f t="shared" si="24"/>
        <v>2080</v>
      </c>
      <c r="O208" s="1" t="str">
        <f t="shared" si="25"/>
        <v>24 2012</v>
      </c>
      <c r="P208" s="1">
        <f t="shared" si="26"/>
        <v>22</v>
      </c>
      <c r="Q208" s="1">
        <f t="shared" ca="1" si="27"/>
        <v>4059</v>
      </c>
      <c r="S208" s="1">
        <f t="shared" si="21"/>
        <v>10607</v>
      </c>
    </row>
    <row r="209" spans="1:19" x14ac:dyDescent="0.2">
      <c r="A209" s="57" t="s">
        <v>246</v>
      </c>
      <c r="B209" s="57" t="s">
        <v>237</v>
      </c>
      <c r="C209" s="57" t="s">
        <v>238</v>
      </c>
      <c r="D209" s="58">
        <v>165.05</v>
      </c>
      <c r="E209" s="59">
        <v>41075</v>
      </c>
      <c r="F209" s="58">
        <v>10607</v>
      </c>
      <c r="G209" s="58">
        <v>2135</v>
      </c>
      <c r="H209" s="58">
        <v>2313</v>
      </c>
      <c r="I209" s="58">
        <v>10355</v>
      </c>
      <c r="J209" s="58">
        <v>0</v>
      </c>
      <c r="K209" s="1">
        <f t="shared" si="22"/>
        <v>381760.65</v>
      </c>
      <c r="L209" s="1">
        <f t="shared" si="23"/>
        <v>2313</v>
      </c>
      <c r="M209" s="1">
        <f>VLOOKUP(B209,'[1]Срок Годности'!$A$2:$B$4,2,0)</f>
        <v>1000</v>
      </c>
      <c r="N209" s="60">
        <f t="shared" si="24"/>
        <v>2135</v>
      </c>
      <c r="O209" s="1" t="str">
        <f t="shared" si="25"/>
        <v>24 2012</v>
      </c>
      <c r="P209" s="1">
        <f t="shared" si="26"/>
        <v>22</v>
      </c>
      <c r="Q209" s="1">
        <f t="shared" ca="1" si="27"/>
        <v>4058</v>
      </c>
      <c r="S209" s="1">
        <f t="shared" si="21"/>
        <v>10355</v>
      </c>
    </row>
    <row r="210" spans="1:19" x14ac:dyDescent="0.2">
      <c r="A210" s="57" t="s">
        <v>246</v>
      </c>
      <c r="B210" s="57" t="s">
        <v>237</v>
      </c>
      <c r="C210" s="57" t="s">
        <v>238</v>
      </c>
      <c r="D210" s="58">
        <v>165.05</v>
      </c>
      <c r="E210" s="59">
        <v>41076</v>
      </c>
      <c r="F210" s="58">
        <v>10355</v>
      </c>
      <c r="G210" s="58">
        <v>2048</v>
      </c>
      <c r="H210" s="58">
        <v>2672</v>
      </c>
      <c r="I210" s="58">
        <v>9682</v>
      </c>
      <c r="J210" s="58">
        <v>0</v>
      </c>
      <c r="K210" s="1">
        <f t="shared" si="22"/>
        <v>441013.60000000003</v>
      </c>
      <c r="L210" s="1">
        <f t="shared" si="23"/>
        <v>2672</v>
      </c>
      <c r="M210" s="1">
        <f>VLOOKUP(B210,'[1]Срок Годности'!$A$2:$B$4,2,0)</f>
        <v>1000</v>
      </c>
      <c r="N210" s="60">
        <f t="shared" si="24"/>
        <v>2048</v>
      </c>
      <c r="O210" s="1" t="str">
        <f t="shared" si="25"/>
        <v>24 2012</v>
      </c>
      <c r="P210" s="1">
        <f t="shared" si="26"/>
        <v>22</v>
      </c>
      <c r="Q210" s="1">
        <f t="shared" ca="1" si="27"/>
        <v>4057</v>
      </c>
      <c r="S210" s="1">
        <f t="shared" si="21"/>
        <v>9682</v>
      </c>
    </row>
    <row r="211" spans="1:19" x14ac:dyDescent="0.2">
      <c r="A211" s="57" t="s">
        <v>246</v>
      </c>
      <c r="B211" s="57" t="s">
        <v>237</v>
      </c>
      <c r="C211" s="57" t="s">
        <v>238</v>
      </c>
      <c r="D211" s="58">
        <v>165.05</v>
      </c>
      <c r="E211" s="59">
        <v>41077</v>
      </c>
      <c r="F211" s="58">
        <v>9682</v>
      </c>
      <c r="G211" s="58">
        <v>2340</v>
      </c>
      <c r="H211" s="58">
        <v>2341</v>
      </c>
      <c r="I211" s="58">
        <v>9630</v>
      </c>
      <c r="J211" s="58">
        <v>0</v>
      </c>
      <c r="K211" s="1">
        <f t="shared" si="22"/>
        <v>386382.05000000005</v>
      </c>
      <c r="L211" s="1">
        <f t="shared" si="23"/>
        <v>2341</v>
      </c>
      <c r="M211" s="1">
        <f>VLOOKUP(B211,'[1]Срок Годности'!$A$2:$B$4,2,0)</f>
        <v>1000</v>
      </c>
      <c r="N211" s="60">
        <f t="shared" si="24"/>
        <v>0</v>
      </c>
      <c r="O211" s="1" t="str">
        <f t="shared" si="25"/>
        <v>25 2012</v>
      </c>
      <c r="P211" s="1">
        <f t="shared" si="26"/>
        <v>22</v>
      </c>
      <c r="Q211" s="1">
        <f t="shared" ca="1" si="27"/>
        <v>4056</v>
      </c>
      <c r="S211" s="1">
        <f t="shared" si="21"/>
        <v>9630</v>
      </c>
    </row>
    <row r="212" spans="1:19" x14ac:dyDescent="0.2">
      <c r="A212" s="57" t="s">
        <v>246</v>
      </c>
      <c r="B212" s="57" t="s">
        <v>237</v>
      </c>
      <c r="C212" s="57" t="s">
        <v>238</v>
      </c>
      <c r="D212" s="58">
        <v>165.05</v>
      </c>
      <c r="E212" s="59">
        <v>41078</v>
      </c>
      <c r="F212" s="58">
        <v>9630</v>
      </c>
      <c r="G212" s="58">
        <v>3118</v>
      </c>
      <c r="H212" s="58">
        <v>2309</v>
      </c>
      <c r="I212" s="58">
        <v>10376</v>
      </c>
      <c r="J212" s="58">
        <v>0</v>
      </c>
      <c r="K212" s="1">
        <f t="shared" si="22"/>
        <v>381100.45</v>
      </c>
      <c r="L212" s="1">
        <f t="shared" si="23"/>
        <v>2309</v>
      </c>
      <c r="M212" s="1">
        <f>VLOOKUP(B212,'[1]Срок Годности'!$A$2:$B$4,2,0)</f>
        <v>1000</v>
      </c>
      <c r="N212" s="60">
        <f t="shared" si="24"/>
        <v>3118</v>
      </c>
      <c r="O212" s="1" t="str">
        <f t="shared" si="25"/>
        <v>25 2012</v>
      </c>
      <c r="P212" s="1">
        <f t="shared" si="26"/>
        <v>22</v>
      </c>
      <c r="Q212" s="1">
        <f t="shared" ca="1" si="27"/>
        <v>4055</v>
      </c>
      <c r="S212" s="1">
        <f t="shared" si="21"/>
        <v>10376</v>
      </c>
    </row>
    <row r="213" spans="1:19" x14ac:dyDescent="0.2">
      <c r="A213" s="57" t="s">
        <v>246</v>
      </c>
      <c r="B213" s="57" t="s">
        <v>237</v>
      </c>
      <c r="C213" s="57" t="s">
        <v>238</v>
      </c>
      <c r="D213" s="58">
        <v>165.05</v>
      </c>
      <c r="E213" s="59">
        <v>41079</v>
      </c>
      <c r="F213" s="58">
        <v>10376</v>
      </c>
      <c r="G213" s="58">
        <v>3092</v>
      </c>
      <c r="H213" s="58">
        <v>2448</v>
      </c>
      <c r="I213" s="58">
        <v>10903</v>
      </c>
      <c r="J213" s="58">
        <v>0</v>
      </c>
      <c r="K213" s="1">
        <f t="shared" si="22"/>
        <v>404042.4</v>
      </c>
      <c r="L213" s="1">
        <f t="shared" si="23"/>
        <v>2448</v>
      </c>
      <c r="M213" s="1">
        <f>VLOOKUP(B213,'[1]Срок Годности'!$A$2:$B$4,2,0)</f>
        <v>1000</v>
      </c>
      <c r="N213" s="60">
        <f t="shared" si="24"/>
        <v>3092</v>
      </c>
      <c r="O213" s="1" t="str">
        <f t="shared" si="25"/>
        <v>25 2012</v>
      </c>
      <c r="P213" s="1">
        <f t="shared" si="26"/>
        <v>22</v>
      </c>
      <c r="Q213" s="1">
        <f t="shared" ca="1" si="27"/>
        <v>4054</v>
      </c>
      <c r="S213" s="1">
        <f t="shared" si="21"/>
        <v>10903</v>
      </c>
    </row>
    <row r="214" spans="1:19" x14ac:dyDescent="0.2">
      <c r="A214" s="57" t="s">
        <v>246</v>
      </c>
      <c r="B214" s="57" t="s">
        <v>237</v>
      </c>
      <c r="C214" s="57" t="s">
        <v>238</v>
      </c>
      <c r="D214" s="58">
        <v>165.05</v>
      </c>
      <c r="E214" s="59">
        <v>41080</v>
      </c>
      <c r="F214" s="58">
        <v>10903</v>
      </c>
      <c r="G214" s="58">
        <v>2644</v>
      </c>
      <c r="H214" s="58">
        <v>2612</v>
      </c>
      <c r="I214" s="58">
        <v>10826</v>
      </c>
      <c r="J214" s="58">
        <v>0</v>
      </c>
      <c r="K214" s="1">
        <f t="shared" si="22"/>
        <v>431110.60000000003</v>
      </c>
      <c r="L214" s="1">
        <f t="shared" si="23"/>
        <v>2612</v>
      </c>
      <c r="M214" s="1">
        <f>VLOOKUP(B214,'[1]Срок Годности'!$A$2:$B$4,2,0)</f>
        <v>1000</v>
      </c>
      <c r="N214" s="60">
        <f t="shared" si="24"/>
        <v>2644</v>
      </c>
      <c r="O214" s="1" t="str">
        <f t="shared" si="25"/>
        <v>25 2012</v>
      </c>
      <c r="P214" s="1">
        <f t="shared" si="26"/>
        <v>22</v>
      </c>
      <c r="Q214" s="1">
        <f t="shared" ca="1" si="27"/>
        <v>4053</v>
      </c>
      <c r="S214" s="1">
        <f t="shared" si="21"/>
        <v>10826</v>
      </c>
    </row>
    <row r="215" spans="1:19" x14ac:dyDescent="0.2">
      <c r="A215" s="57" t="s">
        <v>246</v>
      </c>
      <c r="B215" s="57" t="s">
        <v>237</v>
      </c>
      <c r="C215" s="57" t="s">
        <v>238</v>
      </c>
      <c r="D215" s="58">
        <v>165.05</v>
      </c>
      <c r="E215" s="59">
        <v>41081</v>
      </c>
      <c r="F215" s="58">
        <v>10826</v>
      </c>
      <c r="G215" s="58">
        <v>2713</v>
      </c>
      <c r="H215" s="58">
        <v>2803</v>
      </c>
      <c r="I215" s="58">
        <v>10677</v>
      </c>
      <c r="J215" s="58">
        <v>0</v>
      </c>
      <c r="K215" s="1">
        <f t="shared" si="22"/>
        <v>462635.15</v>
      </c>
      <c r="L215" s="1">
        <f t="shared" si="23"/>
        <v>2803</v>
      </c>
      <c r="M215" s="1">
        <f>VLOOKUP(B215,'[1]Срок Годности'!$A$2:$B$4,2,0)</f>
        <v>1000</v>
      </c>
      <c r="N215" s="60">
        <f t="shared" si="24"/>
        <v>2713</v>
      </c>
      <c r="O215" s="1" t="str">
        <f t="shared" si="25"/>
        <v>25 2012</v>
      </c>
      <c r="P215" s="1">
        <f t="shared" si="26"/>
        <v>22</v>
      </c>
      <c r="Q215" s="1">
        <f t="shared" ca="1" si="27"/>
        <v>4052</v>
      </c>
      <c r="S215" s="1">
        <f t="shared" si="21"/>
        <v>10677</v>
      </c>
    </row>
    <row r="216" spans="1:19" x14ac:dyDescent="0.2">
      <c r="A216" s="57" t="s">
        <v>246</v>
      </c>
      <c r="B216" s="57" t="s">
        <v>237</v>
      </c>
      <c r="C216" s="57" t="s">
        <v>238</v>
      </c>
      <c r="D216" s="58">
        <v>165.05</v>
      </c>
      <c r="E216" s="59">
        <v>41082</v>
      </c>
      <c r="F216" s="58">
        <v>10677</v>
      </c>
      <c r="G216" s="58">
        <v>3215</v>
      </c>
      <c r="H216" s="58">
        <v>3197</v>
      </c>
      <c r="I216" s="58">
        <v>10629</v>
      </c>
      <c r="J216" s="58">
        <v>1</v>
      </c>
      <c r="K216" s="1">
        <f t="shared" si="22"/>
        <v>527664.85000000009</v>
      </c>
      <c r="L216" s="1">
        <f t="shared" si="23"/>
        <v>3197</v>
      </c>
      <c r="M216" s="1">
        <f>VLOOKUP(B216,'[1]Срок Годности'!$A$2:$B$4,2,0)</f>
        <v>1000</v>
      </c>
      <c r="N216" s="60">
        <f t="shared" si="24"/>
        <v>3215</v>
      </c>
      <c r="O216" s="1" t="str">
        <f t="shared" si="25"/>
        <v>25 2012</v>
      </c>
      <c r="P216" s="1">
        <f t="shared" si="26"/>
        <v>22</v>
      </c>
      <c r="Q216" s="1">
        <f t="shared" ca="1" si="27"/>
        <v>4051</v>
      </c>
      <c r="S216" s="1">
        <f t="shared" si="21"/>
        <v>10628</v>
      </c>
    </row>
    <row r="217" spans="1:19" x14ac:dyDescent="0.2">
      <c r="A217" s="57" t="s">
        <v>246</v>
      </c>
      <c r="B217" s="57" t="s">
        <v>237</v>
      </c>
      <c r="C217" s="57" t="s">
        <v>238</v>
      </c>
      <c r="D217" s="58">
        <v>165.05</v>
      </c>
      <c r="E217" s="59">
        <v>41083</v>
      </c>
      <c r="F217" s="58">
        <v>10629</v>
      </c>
      <c r="G217" s="58">
        <v>3264</v>
      </c>
      <c r="H217" s="58">
        <v>3192</v>
      </c>
      <c r="I217" s="58">
        <v>10554</v>
      </c>
      <c r="J217" s="58">
        <v>0</v>
      </c>
      <c r="K217" s="1">
        <f t="shared" si="22"/>
        <v>526839.60000000009</v>
      </c>
      <c r="L217" s="1">
        <f t="shared" si="23"/>
        <v>3192</v>
      </c>
      <c r="M217" s="1">
        <f>VLOOKUP(B217,'[1]Срок Годности'!$A$2:$B$4,2,0)</f>
        <v>1000</v>
      </c>
      <c r="N217" s="60">
        <f t="shared" si="24"/>
        <v>3264</v>
      </c>
      <c r="O217" s="1" t="str">
        <f t="shared" si="25"/>
        <v>25 2012</v>
      </c>
      <c r="P217" s="1">
        <f t="shared" si="26"/>
        <v>22</v>
      </c>
      <c r="Q217" s="1">
        <f t="shared" ca="1" si="27"/>
        <v>4050</v>
      </c>
      <c r="S217" s="1">
        <f t="shared" si="21"/>
        <v>10554</v>
      </c>
    </row>
    <row r="218" spans="1:19" x14ac:dyDescent="0.2">
      <c r="A218" s="57" t="s">
        <v>246</v>
      </c>
      <c r="B218" s="57" t="s">
        <v>237</v>
      </c>
      <c r="C218" s="57" t="s">
        <v>238</v>
      </c>
      <c r="D218" s="58">
        <v>165.05</v>
      </c>
      <c r="E218" s="59">
        <v>41084</v>
      </c>
      <c r="F218" s="58">
        <v>10554</v>
      </c>
      <c r="G218" s="58">
        <v>4422</v>
      </c>
      <c r="H218" s="58">
        <v>3437</v>
      </c>
      <c r="I218" s="58">
        <v>11428</v>
      </c>
      <c r="J218" s="58">
        <v>0</v>
      </c>
      <c r="K218" s="1">
        <f t="shared" si="22"/>
        <v>567276.85000000009</v>
      </c>
      <c r="L218" s="1">
        <f t="shared" si="23"/>
        <v>3437</v>
      </c>
      <c r="M218" s="1">
        <f>VLOOKUP(B218,'[1]Срок Годности'!$A$2:$B$4,2,0)</f>
        <v>1000</v>
      </c>
      <c r="N218" s="60">
        <f t="shared" si="24"/>
        <v>0</v>
      </c>
      <c r="O218" s="1" t="str">
        <f t="shared" si="25"/>
        <v>26 2012</v>
      </c>
      <c r="P218" s="1">
        <f t="shared" si="26"/>
        <v>22</v>
      </c>
      <c r="Q218" s="1">
        <f t="shared" ca="1" si="27"/>
        <v>4049</v>
      </c>
      <c r="S218" s="1">
        <f t="shared" si="21"/>
        <v>11428</v>
      </c>
    </row>
    <row r="219" spans="1:19" x14ac:dyDescent="0.2">
      <c r="A219" s="57" t="s">
        <v>246</v>
      </c>
      <c r="B219" s="57" t="s">
        <v>237</v>
      </c>
      <c r="C219" s="57" t="s">
        <v>238</v>
      </c>
      <c r="D219" s="58">
        <v>165.05</v>
      </c>
      <c r="E219" s="59">
        <v>41085</v>
      </c>
      <c r="F219" s="58">
        <v>11428</v>
      </c>
      <c r="G219" s="58">
        <v>3796</v>
      </c>
      <c r="H219" s="58">
        <v>2958</v>
      </c>
      <c r="I219" s="58">
        <v>12201</v>
      </c>
      <c r="J219" s="58">
        <v>0</v>
      </c>
      <c r="K219" s="1">
        <f t="shared" si="22"/>
        <v>488217.9</v>
      </c>
      <c r="L219" s="1">
        <f t="shared" si="23"/>
        <v>2958</v>
      </c>
      <c r="M219" s="1">
        <f>VLOOKUP(B219,'[1]Срок Годности'!$A$2:$B$4,2,0)</f>
        <v>1000</v>
      </c>
      <c r="N219" s="60">
        <f t="shared" si="24"/>
        <v>3796</v>
      </c>
      <c r="O219" s="1" t="str">
        <f t="shared" si="25"/>
        <v>26 2012</v>
      </c>
      <c r="P219" s="1">
        <f t="shared" si="26"/>
        <v>22</v>
      </c>
      <c r="Q219" s="1">
        <f t="shared" ca="1" si="27"/>
        <v>4048</v>
      </c>
      <c r="S219" s="1">
        <f t="shared" si="21"/>
        <v>12201</v>
      </c>
    </row>
    <row r="220" spans="1:19" x14ac:dyDescent="0.2">
      <c r="A220" s="57" t="s">
        <v>246</v>
      </c>
      <c r="B220" s="57" t="s">
        <v>237</v>
      </c>
      <c r="C220" s="57" t="s">
        <v>238</v>
      </c>
      <c r="D220" s="58">
        <v>165.05</v>
      </c>
      <c r="E220" s="59">
        <v>41086</v>
      </c>
      <c r="F220" s="58">
        <v>12201</v>
      </c>
      <c r="G220" s="58">
        <v>4097</v>
      </c>
      <c r="H220" s="58">
        <v>3196</v>
      </c>
      <c r="I220" s="58">
        <v>12935</v>
      </c>
      <c r="J220" s="58">
        <v>0</v>
      </c>
      <c r="K220" s="1">
        <f t="shared" si="22"/>
        <v>527499.80000000005</v>
      </c>
      <c r="L220" s="1">
        <f t="shared" si="23"/>
        <v>3196</v>
      </c>
      <c r="M220" s="1">
        <f>VLOOKUP(B220,'[1]Срок Годности'!$A$2:$B$4,2,0)</f>
        <v>1000</v>
      </c>
      <c r="N220" s="60">
        <f t="shared" si="24"/>
        <v>4097</v>
      </c>
      <c r="O220" s="1" t="str">
        <f t="shared" si="25"/>
        <v>26 2012</v>
      </c>
      <c r="P220" s="1">
        <f t="shared" si="26"/>
        <v>22</v>
      </c>
      <c r="Q220" s="1">
        <f t="shared" ca="1" si="27"/>
        <v>4047</v>
      </c>
      <c r="S220" s="1">
        <f t="shared" si="21"/>
        <v>12935</v>
      </c>
    </row>
    <row r="221" spans="1:19" x14ac:dyDescent="0.2">
      <c r="A221" s="57" t="s">
        <v>246</v>
      </c>
      <c r="B221" s="57" t="s">
        <v>237</v>
      </c>
      <c r="C221" s="57" t="s">
        <v>238</v>
      </c>
      <c r="D221" s="58">
        <v>165.05</v>
      </c>
      <c r="E221" s="59">
        <v>41087</v>
      </c>
      <c r="F221" s="58">
        <v>12935</v>
      </c>
      <c r="G221" s="58">
        <v>2759</v>
      </c>
      <c r="H221" s="58">
        <v>3655</v>
      </c>
      <c r="I221" s="58">
        <v>11912</v>
      </c>
      <c r="J221" s="58">
        <v>0</v>
      </c>
      <c r="K221" s="1">
        <f t="shared" si="22"/>
        <v>603257.75</v>
      </c>
      <c r="L221" s="1">
        <f t="shared" si="23"/>
        <v>3655</v>
      </c>
      <c r="M221" s="1">
        <f>VLOOKUP(B221,'[1]Срок Годности'!$A$2:$B$4,2,0)</f>
        <v>1000</v>
      </c>
      <c r="N221" s="60">
        <f t="shared" si="24"/>
        <v>2759</v>
      </c>
      <c r="O221" s="1" t="str">
        <f t="shared" si="25"/>
        <v>26 2012</v>
      </c>
      <c r="P221" s="1">
        <f t="shared" si="26"/>
        <v>22</v>
      </c>
      <c r="Q221" s="1">
        <f t="shared" ca="1" si="27"/>
        <v>4046</v>
      </c>
      <c r="S221" s="1">
        <f t="shared" si="21"/>
        <v>11912</v>
      </c>
    </row>
    <row r="222" spans="1:19" x14ac:dyDescent="0.2">
      <c r="A222" s="57" t="s">
        <v>246</v>
      </c>
      <c r="B222" s="57" t="s">
        <v>237</v>
      </c>
      <c r="C222" s="57" t="s">
        <v>238</v>
      </c>
      <c r="D222" s="58">
        <v>165.05</v>
      </c>
      <c r="E222" s="59">
        <v>41088</v>
      </c>
      <c r="F222" s="58">
        <v>11912</v>
      </c>
      <c r="G222" s="58">
        <v>33</v>
      </c>
      <c r="H222" s="58">
        <v>3443</v>
      </c>
      <c r="I222" s="58">
        <v>8321</v>
      </c>
      <c r="J222" s="58">
        <v>0</v>
      </c>
      <c r="K222" s="1">
        <f t="shared" si="22"/>
        <v>568267.15</v>
      </c>
      <c r="L222" s="1">
        <f t="shared" si="23"/>
        <v>3443</v>
      </c>
      <c r="M222" s="1">
        <f>VLOOKUP(B222,'[1]Срок Годности'!$A$2:$B$4,2,0)</f>
        <v>1000</v>
      </c>
      <c r="N222" s="60">
        <f t="shared" si="24"/>
        <v>33</v>
      </c>
      <c r="O222" s="1" t="str">
        <f t="shared" si="25"/>
        <v>26 2012</v>
      </c>
      <c r="P222" s="1">
        <f t="shared" si="26"/>
        <v>22</v>
      </c>
      <c r="Q222" s="1">
        <f t="shared" ca="1" si="27"/>
        <v>4045</v>
      </c>
      <c r="S222" s="1">
        <f t="shared" si="21"/>
        <v>8321</v>
      </c>
    </row>
    <row r="223" spans="1:19" x14ac:dyDescent="0.2">
      <c r="A223" s="57" t="s">
        <v>246</v>
      </c>
      <c r="B223" s="57" t="s">
        <v>237</v>
      </c>
      <c r="C223" s="57" t="s">
        <v>238</v>
      </c>
      <c r="D223" s="58">
        <v>165.05</v>
      </c>
      <c r="E223" s="59">
        <v>41089</v>
      </c>
      <c r="F223" s="58">
        <v>8321</v>
      </c>
      <c r="G223" s="58">
        <v>6801</v>
      </c>
      <c r="H223" s="58">
        <v>3854</v>
      </c>
      <c r="I223" s="58">
        <v>11176</v>
      </c>
      <c r="J223" s="58">
        <v>1</v>
      </c>
      <c r="K223" s="1">
        <f t="shared" si="22"/>
        <v>636102.70000000007</v>
      </c>
      <c r="L223" s="1">
        <f t="shared" si="23"/>
        <v>3854</v>
      </c>
      <c r="M223" s="1">
        <f>VLOOKUP(B223,'[1]Срок Годности'!$A$2:$B$4,2,0)</f>
        <v>1000</v>
      </c>
      <c r="N223" s="60">
        <f t="shared" si="24"/>
        <v>6801</v>
      </c>
      <c r="O223" s="1" t="str">
        <f t="shared" si="25"/>
        <v>26 2012</v>
      </c>
      <c r="P223" s="1">
        <f t="shared" si="26"/>
        <v>22</v>
      </c>
      <c r="Q223" s="1">
        <f t="shared" ca="1" si="27"/>
        <v>4044</v>
      </c>
      <c r="S223" s="1">
        <f t="shared" si="21"/>
        <v>11175</v>
      </c>
    </row>
    <row r="224" spans="1:19" x14ac:dyDescent="0.2">
      <c r="A224" s="57" t="s">
        <v>246</v>
      </c>
      <c r="B224" s="57" t="s">
        <v>237</v>
      </c>
      <c r="C224" s="57" t="s">
        <v>238</v>
      </c>
      <c r="D224" s="58">
        <v>165.05</v>
      </c>
      <c r="E224" s="59">
        <v>41090</v>
      </c>
      <c r="F224" s="58">
        <v>11176</v>
      </c>
      <c r="G224" s="58">
        <v>6650</v>
      </c>
      <c r="H224" s="58">
        <v>4921</v>
      </c>
      <c r="I224" s="58">
        <v>12883</v>
      </c>
      <c r="J224" s="58">
        <v>4</v>
      </c>
      <c r="K224" s="1">
        <f t="shared" si="22"/>
        <v>812211.05</v>
      </c>
      <c r="L224" s="1">
        <f t="shared" si="23"/>
        <v>4921</v>
      </c>
      <c r="M224" s="1">
        <f>VLOOKUP(B224,'[1]Срок Годности'!$A$2:$B$4,2,0)</f>
        <v>1000</v>
      </c>
      <c r="N224" s="60">
        <f t="shared" si="24"/>
        <v>6650</v>
      </c>
      <c r="O224" s="1" t="str">
        <f t="shared" si="25"/>
        <v>26 2012</v>
      </c>
      <c r="P224" s="1">
        <f t="shared" si="26"/>
        <v>22</v>
      </c>
      <c r="Q224" s="1">
        <f t="shared" ca="1" si="27"/>
        <v>4043</v>
      </c>
      <c r="S224" s="1">
        <f t="shared" si="21"/>
        <v>12879</v>
      </c>
    </row>
    <row r="225" spans="1:19" x14ac:dyDescent="0.2">
      <c r="A225" s="57" t="s">
        <v>246</v>
      </c>
      <c r="B225" s="57" t="s">
        <v>237</v>
      </c>
      <c r="C225" s="57" t="s">
        <v>238</v>
      </c>
      <c r="D225" s="58">
        <v>165.05</v>
      </c>
      <c r="E225" s="59">
        <v>41091</v>
      </c>
      <c r="F225" s="58">
        <v>12883</v>
      </c>
      <c r="G225" s="58">
        <v>1108</v>
      </c>
      <c r="H225" s="58">
        <v>4527</v>
      </c>
      <c r="I225" s="58">
        <v>9403</v>
      </c>
      <c r="J225" s="58">
        <v>0</v>
      </c>
      <c r="K225" s="1">
        <f t="shared" si="22"/>
        <v>747181.35000000009</v>
      </c>
      <c r="L225" s="1">
        <f t="shared" si="23"/>
        <v>4527</v>
      </c>
      <c r="M225" s="1">
        <f>VLOOKUP(B225,'[1]Срок Годности'!$A$2:$B$4,2,0)</f>
        <v>1000</v>
      </c>
      <c r="N225" s="60">
        <f t="shared" si="24"/>
        <v>0</v>
      </c>
      <c r="O225" s="1" t="str">
        <f t="shared" si="25"/>
        <v>27 2012</v>
      </c>
      <c r="P225" s="1">
        <f t="shared" si="26"/>
        <v>22</v>
      </c>
      <c r="Q225" s="1">
        <f t="shared" ca="1" si="27"/>
        <v>4042</v>
      </c>
      <c r="S225" s="1">
        <f t="shared" si="21"/>
        <v>9403</v>
      </c>
    </row>
    <row r="226" spans="1:19" x14ac:dyDescent="0.2">
      <c r="A226" s="57" t="s">
        <v>246</v>
      </c>
      <c r="B226" s="57" t="s">
        <v>237</v>
      </c>
      <c r="C226" s="57" t="s">
        <v>238</v>
      </c>
      <c r="D226" s="58">
        <v>165.05</v>
      </c>
      <c r="E226" s="59">
        <v>41092</v>
      </c>
      <c r="F226" s="58">
        <v>9403</v>
      </c>
      <c r="G226" s="58">
        <v>6938</v>
      </c>
      <c r="H226" s="58">
        <v>3714</v>
      </c>
      <c r="I226" s="58">
        <v>12486</v>
      </c>
      <c r="J226" s="58">
        <v>0</v>
      </c>
      <c r="K226" s="1">
        <f t="shared" si="22"/>
        <v>612995.70000000007</v>
      </c>
      <c r="L226" s="1">
        <f t="shared" si="23"/>
        <v>3714</v>
      </c>
      <c r="M226" s="1">
        <f>VLOOKUP(B226,'[1]Срок Годности'!$A$2:$B$4,2,0)</f>
        <v>1000</v>
      </c>
      <c r="N226" s="60">
        <f t="shared" si="24"/>
        <v>6938</v>
      </c>
      <c r="O226" s="1" t="str">
        <f t="shared" si="25"/>
        <v>27 2012</v>
      </c>
      <c r="P226" s="1">
        <f t="shared" si="26"/>
        <v>22</v>
      </c>
      <c r="Q226" s="1">
        <f t="shared" ca="1" si="27"/>
        <v>4041</v>
      </c>
      <c r="S226" s="1">
        <f t="shared" si="21"/>
        <v>12486</v>
      </c>
    </row>
    <row r="227" spans="1:19" x14ac:dyDescent="0.2">
      <c r="A227" s="57" t="s">
        <v>246</v>
      </c>
      <c r="B227" s="57" t="s">
        <v>237</v>
      </c>
      <c r="C227" s="57" t="s">
        <v>238</v>
      </c>
      <c r="D227" s="58">
        <v>165.05</v>
      </c>
      <c r="E227" s="59">
        <v>41093</v>
      </c>
      <c r="F227" s="58">
        <v>12486</v>
      </c>
      <c r="G227" s="58">
        <v>2687</v>
      </c>
      <c r="H227" s="58">
        <v>4179</v>
      </c>
      <c r="I227" s="58">
        <v>10941</v>
      </c>
      <c r="J227" s="58">
        <v>0</v>
      </c>
      <c r="K227" s="1">
        <f t="shared" si="22"/>
        <v>689743.95000000007</v>
      </c>
      <c r="L227" s="1">
        <f t="shared" si="23"/>
        <v>4179</v>
      </c>
      <c r="M227" s="1">
        <f>VLOOKUP(B227,'[1]Срок Годности'!$A$2:$B$4,2,0)</f>
        <v>1000</v>
      </c>
      <c r="N227" s="60">
        <f t="shared" si="24"/>
        <v>2687</v>
      </c>
      <c r="O227" s="1" t="str">
        <f t="shared" si="25"/>
        <v>27 2012</v>
      </c>
      <c r="P227" s="1">
        <f t="shared" si="26"/>
        <v>22</v>
      </c>
      <c r="Q227" s="1">
        <f t="shared" ca="1" si="27"/>
        <v>4040</v>
      </c>
      <c r="S227" s="1">
        <f t="shared" si="21"/>
        <v>10941</v>
      </c>
    </row>
    <row r="228" spans="1:19" x14ac:dyDescent="0.2">
      <c r="A228" s="57" t="s">
        <v>246</v>
      </c>
      <c r="B228" s="57" t="s">
        <v>237</v>
      </c>
      <c r="C228" s="57" t="s">
        <v>238</v>
      </c>
      <c r="D228" s="58">
        <v>165.05</v>
      </c>
      <c r="E228" s="59">
        <v>41094</v>
      </c>
      <c r="F228" s="58">
        <v>10941</v>
      </c>
      <c r="G228" s="58">
        <v>7271</v>
      </c>
      <c r="H228" s="58">
        <v>4245</v>
      </c>
      <c r="I228" s="58">
        <v>13787</v>
      </c>
      <c r="J228" s="58">
        <v>0</v>
      </c>
      <c r="K228" s="1">
        <f t="shared" si="22"/>
        <v>700637.25</v>
      </c>
      <c r="L228" s="1">
        <f t="shared" si="23"/>
        <v>4245</v>
      </c>
      <c r="M228" s="1">
        <f>VLOOKUP(B228,'[1]Срок Годности'!$A$2:$B$4,2,0)</f>
        <v>1000</v>
      </c>
      <c r="N228" s="60">
        <f t="shared" si="24"/>
        <v>7271</v>
      </c>
      <c r="O228" s="1" t="str">
        <f t="shared" si="25"/>
        <v>27 2012</v>
      </c>
      <c r="P228" s="1">
        <f t="shared" si="26"/>
        <v>22</v>
      </c>
      <c r="Q228" s="1">
        <f t="shared" ca="1" si="27"/>
        <v>4039</v>
      </c>
      <c r="S228" s="1">
        <f t="shared" si="21"/>
        <v>13787</v>
      </c>
    </row>
    <row r="229" spans="1:19" x14ac:dyDescent="0.2">
      <c r="A229" s="57" t="s">
        <v>246</v>
      </c>
      <c r="B229" s="57" t="s">
        <v>237</v>
      </c>
      <c r="C229" s="57" t="s">
        <v>238</v>
      </c>
      <c r="D229" s="58">
        <v>165.05</v>
      </c>
      <c r="E229" s="59">
        <v>41095</v>
      </c>
      <c r="F229" s="58">
        <v>13787</v>
      </c>
      <c r="G229" s="58">
        <v>3348</v>
      </c>
      <c r="H229" s="58">
        <v>4595</v>
      </c>
      <c r="I229" s="58">
        <v>12482</v>
      </c>
      <c r="J229" s="58">
        <v>0</v>
      </c>
      <c r="K229" s="1">
        <f t="shared" si="22"/>
        <v>758404.75</v>
      </c>
      <c r="L229" s="1">
        <f t="shared" si="23"/>
        <v>4595</v>
      </c>
      <c r="M229" s="1">
        <f>VLOOKUP(B229,'[1]Срок Годности'!$A$2:$B$4,2,0)</f>
        <v>1000</v>
      </c>
      <c r="N229" s="60">
        <f t="shared" si="24"/>
        <v>3348</v>
      </c>
      <c r="O229" s="1" t="str">
        <f t="shared" si="25"/>
        <v>27 2012</v>
      </c>
      <c r="P229" s="1">
        <f t="shared" si="26"/>
        <v>22</v>
      </c>
      <c r="Q229" s="1">
        <f t="shared" ca="1" si="27"/>
        <v>4038</v>
      </c>
      <c r="S229" s="1">
        <f t="shared" si="21"/>
        <v>12482</v>
      </c>
    </row>
    <row r="230" spans="1:19" x14ac:dyDescent="0.2">
      <c r="A230" s="57" t="s">
        <v>246</v>
      </c>
      <c r="B230" s="57" t="s">
        <v>237</v>
      </c>
      <c r="C230" s="57" t="s">
        <v>238</v>
      </c>
      <c r="D230" s="58">
        <v>165.05</v>
      </c>
      <c r="E230" s="59">
        <v>41096</v>
      </c>
      <c r="F230" s="58">
        <v>12482</v>
      </c>
      <c r="G230" s="58">
        <v>3413</v>
      </c>
      <c r="H230" s="58">
        <v>5401</v>
      </c>
      <c r="I230" s="58">
        <v>10389</v>
      </c>
      <c r="J230" s="58">
        <v>0</v>
      </c>
      <c r="K230" s="1">
        <f t="shared" si="22"/>
        <v>891435.05</v>
      </c>
      <c r="L230" s="1">
        <f t="shared" si="23"/>
        <v>5401</v>
      </c>
      <c r="M230" s="1">
        <f>VLOOKUP(B230,'[1]Срок Годности'!$A$2:$B$4,2,0)</f>
        <v>1000</v>
      </c>
      <c r="N230" s="60">
        <f t="shared" si="24"/>
        <v>3413</v>
      </c>
      <c r="O230" s="1" t="str">
        <f t="shared" si="25"/>
        <v>27 2012</v>
      </c>
      <c r="P230" s="1">
        <f t="shared" si="26"/>
        <v>22</v>
      </c>
      <c r="Q230" s="1">
        <f t="shared" ca="1" si="27"/>
        <v>4037</v>
      </c>
      <c r="S230" s="1">
        <f t="shared" si="21"/>
        <v>10389</v>
      </c>
    </row>
    <row r="231" spans="1:19" x14ac:dyDescent="0.2">
      <c r="A231" s="57" t="s">
        <v>246</v>
      </c>
      <c r="B231" s="57" t="s">
        <v>237</v>
      </c>
      <c r="C231" s="57" t="s">
        <v>238</v>
      </c>
      <c r="D231" s="58">
        <v>165.05</v>
      </c>
      <c r="E231" s="59">
        <v>41097</v>
      </c>
      <c r="F231" s="58">
        <v>10389</v>
      </c>
      <c r="G231" s="58">
        <v>0</v>
      </c>
      <c r="H231" s="58">
        <v>5293</v>
      </c>
      <c r="I231" s="58">
        <v>5017</v>
      </c>
      <c r="J231" s="58">
        <v>2</v>
      </c>
      <c r="K231" s="1">
        <f t="shared" si="22"/>
        <v>873609.65</v>
      </c>
      <c r="L231" s="1">
        <f t="shared" si="23"/>
        <v>5293</v>
      </c>
      <c r="M231" s="1">
        <f>VLOOKUP(B231,'[1]Срок Годности'!$A$2:$B$4,2,0)</f>
        <v>1000</v>
      </c>
      <c r="N231" s="60">
        <f t="shared" si="24"/>
        <v>0</v>
      </c>
      <c r="O231" s="1" t="str">
        <f t="shared" si="25"/>
        <v>27 2012</v>
      </c>
      <c r="P231" s="1">
        <f t="shared" si="26"/>
        <v>22</v>
      </c>
      <c r="Q231" s="1">
        <f t="shared" ca="1" si="27"/>
        <v>4036</v>
      </c>
      <c r="S231" s="1">
        <f t="shared" si="21"/>
        <v>5015</v>
      </c>
    </row>
    <row r="232" spans="1:19" x14ac:dyDescent="0.2">
      <c r="A232" s="57" t="s">
        <v>246</v>
      </c>
      <c r="B232" s="57" t="s">
        <v>237</v>
      </c>
      <c r="C232" s="57" t="s">
        <v>238</v>
      </c>
      <c r="D232" s="58">
        <v>165.05</v>
      </c>
      <c r="E232" s="59">
        <v>41098</v>
      </c>
      <c r="F232" s="58">
        <v>5017</v>
      </c>
      <c r="G232" s="58">
        <v>6657</v>
      </c>
      <c r="H232" s="58">
        <v>3713</v>
      </c>
      <c r="I232" s="58">
        <v>7878</v>
      </c>
      <c r="J232" s="58">
        <v>0</v>
      </c>
      <c r="K232" s="1">
        <f t="shared" si="22"/>
        <v>612830.65</v>
      </c>
      <c r="L232" s="1">
        <f t="shared" si="23"/>
        <v>3713</v>
      </c>
      <c r="M232" s="1">
        <f>VLOOKUP(B232,'[1]Срок Годности'!$A$2:$B$4,2,0)</f>
        <v>1000</v>
      </c>
      <c r="N232" s="60">
        <f t="shared" si="24"/>
        <v>0</v>
      </c>
      <c r="O232" s="1" t="str">
        <f t="shared" si="25"/>
        <v>28 2012</v>
      </c>
      <c r="P232" s="1">
        <f t="shared" si="26"/>
        <v>22</v>
      </c>
      <c r="Q232" s="1">
        <f t="shared" ca="1" si="27"/>
        <v>4035</v>
      </c>
      <c r="S232" s="1">
        <f t="shared" si="21"/>
        <v>7878</v>
      </c>
    </row>
    <row r="233" spans="1:19" x14ac:dyDescent="0.2">
      <c r="A233" s="57" t="s">
        <v>246</v>
      </c>
      <c r="B233" s="57" t="s">
        <v>237</v>
      </c>
      <c r="C233" s="57" t="s">
        <v>238</v>
      </c>
      <c r="D233" s="58">
        <v>165.05</v>
      </c>
      <c r="E233" s="59">
        <v>41099</v>
      </c>
      <c r="F233" s="58">
        <v>7878</v>
      </c>
      <c r="G233" s="58">
        <v>3306</v>
      </c>
      <c r="H233" s="58">
        <v>4477</v>
      </c>
      <c r="I233" s="58">
        <v>6583</v>
      </c>
      <c r="J233" s="58">
        <v>0</v>
      </c>
      <c r="K233" s="1">
        <f t="shared" si="22"/>
        <v>738928.85000000009</v>
      </c>
      <c r="L233" s="1">
        <f t="shared" si="23"/>
        <v>4477</v>
      </c>
      <c r="M233" s="1">
        <f>VLOOKUP(B233,'[1]Срок Годности'!$A$2:$B$4,2,0)</f>
        <v>1000</v>
      </c>
      <c r="N233" s="60">
        <f t="shared" si="24"/>
        <v>3306</v>
      </c>
      <c r="O233" s="1" t="str">
        <f t="shared" si="25"/>
        <v>28 2012</v>
      </c>
      <c r="P233" s="1">
        <f t="shared" si="26"/>
        <v>22</v>
      </c>
      <c r="Q233" s="1">
        <f t="shared" ca="1" si="27"/>
        <v>4034</v>
      </c>
      <c r="S233" s="1">
        <f t="shared" si="21"/>
        <v>6583</v>
      </c>
    </row>
    <row r="234" spans="1:19" x14ac:dyDescent="0.2">
      <c r="A234" s="57" t="s">
        <v>246</v>
      </c>
      <c r="B234" s="57" t="s">
        <v>237</v>
      </c>
      <c r="C234" s="57" t="s">
        <v>238</v>
      </c>
      <c r="D234" s="58">
        <v>165.05</v>
      </c>
      <c r="E234" s="59">
        <v>41100</v>
      </c>
      <c r="F234" s="58">
        <v>6583</v>
      </c>
      <c r="G234" s="58">
        <v>3388</v>
      </c>
      <c r="H234" s="58">
        <v>4147</v>
      </c>
      <c r="I234" s="58">
        <v>5669</v>
      </c>
      <c r="J234" s="58">
        <v>0</v>
      </c>
      <c r="K234" s="1">
        <f t="shared" si="22"/>
        <v>684462.35000000009</v>
      </c>
      <c r="L234" s="1">
        <f t="shared" si="23"/>
        <v>4147</v>
      </c>
      <c r="M234" s="1">
        <f>VLOOKUP(B234,'[1]Срок Годности'!$A$2:$B$4,2,0)</f>
        <v>1000</v>
      </c>
      <c r="N234" s="60">
        <f t="shared" si="24"/>
        <v>3388</v>
      </c>
      <c r="O234" s="1" t="str">
        <f t="shared" si="25"/>
        <v>28 2012</v>
      </c>
      <c r="P234" s="1">
        <f t="shared" si="26"/>
        <v>22</v>
      </c>
      <c r="Q234" s="1">
        <f t="shared" ca="1" si="27"/>
        <v>4033</v>
      </c>
      <c r="S234" s="1">
        <f t="shared" si="21"/>
        <v>5669</v>
      </c>
    </row>
    <row r="235" spans="1:19" x14ac:dyDescent="0.2">
      <c r="A235" s="57" t="s">
        <v>246</v>
      </c>
      <c r="B235" s="57" t="s">
        <v>237</v>
      </c>
      <c r="C235" s="57" t="s">
        <v>238</v>
      </c>
      <c r="D235" s="58">
        <v>165.05</v>
      </c>
      <c r="E235" s="59">
        <v>41101</v>
      </c>
      <c r="F235" s="58">
        <v>5669</v>
      </c>
      <c r="G235" s="58">
        <v>29</v>
      </c>
      <c r="H235" s="58">
        <v>3420</v>
      </c>
      <c r="I235" s="58">
        <v>2214</v>
      </c>
      <c r="J235" s="58">
        <v>0</v>
      </c>
      <c r="K235" s="1">
        <f t="shared" si="22"/>
        <v>564471</v>
      </c>
      <c r="L235" s="1">
        <f t="shared" si="23"/>
        <v>3420</v>
      </c>
      <c r="M235" s="1">
        <f>VLOOKUP(B235,'[1]Срок Годности'!$A$2:$B$4,2,0)</f>
        <v>1000</v>
      </c>
      <c r="N235" s="60">
        <f t="shared" si="24"/>
        <v>29</v>
      </c>
      <c r="O235" s="1" t="str">
        <f t="shared" si="25"/>
        <v>28 2012</v>
      </c>
      <c r="P235" s="1">
        <f t="shared" si="26"/>
        <v>22</v>
      </c>
      <c r="Q235" s="1">
        <f t="shared" ca="1" si="27"/>
        <v>4032</v>
      </c>
      <c r="S235" s="1">
        <f t="shared" si="21"/>
        <v>2214</v>
      </c>
    </row>
    <row r="236" spans="1:19" x14ac:dyDescent="0.2">
      <c r="A236" s="57" t="s">
        <v>246</v>
      </c>
      <c r="B236" s="57" t="s">
        <v>237</v>
      </c>
      <c r="C236" s="57" t="s">
        <v>238</v>
      </c>
      <c r="D236" s="58">
        <v>165.05</v>
      </c>
      <c r="E236" s="59">
        <v>41102</v>
      </c>
      <c r="F236" s="58">
        <v>2214</v>
      </c>
      <c r="G236" s="58">
        <v>16870</v>
      </c>
      <c r="H236" s="58">
        <v>3019</v>
      </c>
      <c r="I236" s="58">
        <v>15955</v>
      </c>
      <c r="J236" s="58">
        <v>0</v>
      </c>
      <c r="K236" s="1">
        <f t="shared" si="22"/>
        <v>498285.95</v>
      </c>
      <c r="L236" s="1">
        <f t="shared" si="23"/>
        <v>3019</v>
      </c>
      <c r="M236" s="1">
        <f>VLOOKUP(B236,'[1]Срок Годности'!$A$2:$B$4,2,0)</f>
        <v>1000</v>
      </c>
      <c r="N236" s="60">
        <f t="shared" si="24"/>
        <v>16870</v>
      </c>
      <c r="O236" s="1" t="str">
        <f t="shared" si="25"/>
        <v>28 2012</v>
      </c>
      <c r="P236" s="1">
        <f t="shared" si="26"/>
        <v>22</v>
      </c>
      <c r="Q236" s="1">
        <f t="shared" ca="1" si="27"/>
        <v>4031</v>
      </c>
      <c r="S236" s="1">
        <f t="shared" si="21"/>
        <v>15955</v>
      </c>
    </row>
    <row r="237" spans="1:19" x14ac:dyDescent="0.2">
      <c r="A237" s="57" t="s">
        <v>246</v>
      </c>
      <c r="B237" s="57" t="s">
        <v>237</v>
      </c>
      <c r="C237" s="57" t="s">
        <v>238</v>
      </c>
      <c r="D237" s="58">
        <v>165.05</v>
      </c>
      <c r="E237" s="59">
        <v>41103</v>
      </c>
      <c r="F237" s="58">
        <v>15955</v>
      </c>
      <c r="G237" s="58">
        <v>6769</v>
      </c>
      <c r="H237" s="58">
        <v>5179</v>
      </c>
      <c r="I237" s="58">
        <v>17495</v>
      </c>
      <c r="J237" s="58">
        <v>0</v>
      </c>
      <c r="K237" s="1">
        <f t="shared" si="22"/>
        <v>854793.95000000007</v>
      </c>
      <c r="L237" s="1">
        <f t="shared" si="23"/>
        <v>5179</v>
      </c>
      <c r="M237" s="1">
        <f>VLOOKUP(B237,'[1]Срок Годности'!$A$2:$B$4,2,0)</f>
        <v>1000</v>
      </c>
      <c r="N237" s="60">
        <f t="shared" si="24"/>
        <v>6769</v>
      </c>
      <c r="O237" s="1" t="str">
        <f t="shared" si="25"/>
        <v>28 2012</v>
      </c>
      <c r="P237" s="1">
        <f t="shared" si="26"/>
        <v>22</v>
      </c>
      <c r="Q237" s="1">
        <f t="shared" ca="1" si="27"/>
        <v>4030</v>
      </c>
      <c r="S237" s="1">
        <f t="shared" si="21"/>
        <v>17495</v>
      </c>
    </row>
    <row r="238" spans="1:19" x14ac:dyDescent="0.2">
      <c r="A238" s="57" t="s">
        <v>246</v>
      </c>
      <c r="B238" s="57" t="s">
        <v>237</v>
      </c>
      <c r="C238" s="57" t="s">
        <v>238</v>
      </c>
      <c r="D238" s="58">
        <v>165.05</v>
      </c>
      <c r="E238" s="59">
        <v>41104</v>
      </c>
      <c r="F238" s="58">
        <v>17495</v>
      </c>
      <c r="G238" s="58">
        <v>7128</v>
      </c>
      <c r="H238" s="58">
        <v>6854</v>
      </c>
      <c r="I238" s="58">
        <v>17610</v>
      </c>
      <c r="J238" s="58">
        <v>0</v>
      </c>
      <c r="K238" s="1">
        <f t="shared" si="22"/>
        <v>1131252.7000000002</v>
      </c>
      <c r="L238" s="1">
        <f t="shared" si="23"/>
        <v>6854</v>
      </c>
      <c r="M238" s="1">
        <f>VLOOKUP(B238,'[1]Срок Годности'!$A$2:$B$4,2,0)</f>
        <v>1000</v>
      </c>
      <c r="N238" s="60">
        <f t="shared" si="24"/>
        <v>7128</v>
      </c>
      <c r="O238" s="1" t="str">
        <f t="shared" si="25"/>
        <v>28 2012</v>
      </c>
      <c r="P238" s="1">
        <f t="shared" si="26"/>
        <v>22</v>
      </c>
      <c r="Q238" s="1">
        <f t="shared" ca="1" si="27"/>
        <v>4029</v>
      </c>
      <c r="S238" s="1">
        <f t="shared" si="21"/>
        <v>17610</v>
      </c>
    </row>
    <row r="239" spans="1:19" x14ac:dyDescent="0.2">
      <c r="A239" s="57" t="s">
        <v>246</v>
      </c>
      <c r="B239" s="57" t="s">
        <v>237</v>
      </c>
      <c r="C239" s="57" t="s">
        <v>238</v>
      </c>
      <c r="D239" s="58">
        <v>165.05</v>
      </c>
      <c r="E239" s="59">
        <v>41105</v>
      </c>
      <c r="F239" s="58">
        <v>17610</v>
      </c>
      <c r="G239" s="58">
        <v>6290</v>
      </c>
      <c r="H239" s="58">
        <v>6074</v>
      </c>
      <c r="I239" s="58">
        <v>17804</v>
      </c>
      <c r="J239" s="58">
        <v>0</v>
      </c>
      <c r="K239" s="1">
        <f t="shared" si="22"/>
        <v>1002513.7000000001</v>
      </c>
      <c r="L239" s="1">
        <f t="shared" si="23"/>
        <v>6074</v>
      </c>
      <c r="M239" s="1">
        <f>VLOOKUP(B239,'[1]Срок Годности'!$A$2:$B$4,2,0)</f>
        <v>1000</v>
      </c>
      <c r="N239" s="60">
        <f t="shared" si="24"/>
        <v>0</v>
      </c>
      <c r="O239" s="1" t="str">
        <f t="shared" si="25"/>
        <v>29 2012</v>
      </c>
      <c r="P239" s="1">
        <f t="shared" si="26"/>
        <v>22</v>
      </c>
      <c r="Q239" s="1">
        <f t="shared" ca="1" si="27"/>
        <v>4028</v>
      </c>
      <c r="S239" s="1">
        <f t="shared" si="21"/>
        <v>17804</v>
      </c>
    </row>
    <row r="240" spans="1:19" x14ac:dyDescent="0.2">
      <c r="A240" s="57" t="s">
        <v>246</v>
      </c>
      <c r="B240" s="57" t="s">
        <v>237</v>
      </c>
      <c r="C240" s="57" t="s">
        <v>238</v>
      </c>
      <c r="D240" s="58">
        <v>165.05</v>
      </c>
      <c r="E240" s="59">
        <v>41106</v>
      </c>
      <c r="F240" s="58">
        <v>17804</v>
      </c>
      <c r="G240" s="58">
        <v>9436</v>
      </c>
      <c r="H240" s="58">
        <v>5562</v>
      </c>
      <c r="I240" s="58">
        <v>21613</v>
      </c>
      <c r="J240" s="58">
        <v>0</v>
      </c>
      <c r="K240" s="1">
        <f t="shared" si="22"/>
        <v>918008.10000000009</v>
      </c>
      <c r="L240" s="1">
        <f t="shared" si="23"/>
        <v>5562</v>
      </c>
      <c r="M240" s="1">
        <f>VLOOKUP(B240,'[1]Срок Годности'!$A$2:$B$4,2,0)</f>
        <v>1000</v>
      </c>
      <c r="N240" s="60">
        <f t="shared" si="24"/>
        <v>9436</v>
      </c>
      <c r="O240" s="1" t="str">
        <f t="shared" si="25"/>
        <v>29 2012</v>
      </c>
      <c r="P240" s="1">
        <f t="shared" si="26"/>
        <v>22</v>
      </c>
      <c r="Q240" s="1">
        <f t="shared" ca="1" si="27"/>
        <v>4027</v>
      </c>
      <c r="S240" s="1">
        <f t="shared" si="21"/>
        <v>21613</v>
      </c>
    </row>
    <row r="241" spans="1:19" x14ac:dyDescent="0.2">
      <c r="A241" s="57" t="s">
        <v>246</v>
      </c>
      <c r="B241" s="57" t="s">
        <v>237</v>
      </c>
      <c r="C241" s="57" t="s">
        <v>238</v>
      </c>
      <c r="D241" s="58">
        <v>165.05</v>
      </c>
      <c r="E241" s="59">
        <v>41107</v>
      </c>
      <c r="F241" s="58">
        <v>21613</v>
      </c>
      <c r="G241" s="58">
        <v>6692</v>
      </c>
      <c r="H241" s="58">
        <v>5462</v>
      </c>
      <c r="I241" s="58">
        <v>22782</v>
      </c>
      <c r="J241" s="58">
        <v>0</v>
      </c>
      <c r="K241" s="1">
        <f t="shared" si="22"/>
        <v>901503.10000000009</v>
      </c>
      <c r="L241" s="1">
        <f t="shared" si="23"/>
        <v>5462</v>
      </c>
      <c r="M241" s="1">
        <f>VLOOKUP(B241,'[1]Срок Годности'!$A$2:$B$4,2,0)</f>
        <v>1000</v>
      </c>
      <c r="N241" s="60">
        <f t="shared" si="24"/>
        <v>6692</v>
      </c>
      <c r="O241" s="1" t="str">
        <f t="shared" si="25"/>
        <v>29 2012</v>
      </c>
      <c r="P241" s="1">
        <f t="shared" si="26"/>
        <v>22</v>
      </c>
      <c r="Q241" s="1">
        <f t="shared" ca="1" si="27"/>
        <v>4026</v>
      </c>
      <c r="S241" s="1">
        <f t="shared" si="21"/>
        <v>22782</v>
      </c>
    </row>
    <row r="242" spans="1:19" x14ac:dyDescent="0.2">
      <c r="A242" s="57" t="s">
        <v>235</v>
      </c>
      <c r="B242" s="57" t="s">
        <v>225</v>
      </c>
      <c r="C242" s="57" t="s">
        <v>226</v>
      </c>
      <c r="D242" s="58">
        <v>317.08</v>
      </c>
      <c r="E242" s="59">
        <v>41061</v>
      </c>
      <c r="F242" s="58">
        <v>6</v>
      </c>
      <c r="G242" s="58">
        <v>0</v>
      </c>
      <c r="H242" s="58">
        <v>0</v>
      </c>
      <c r="I242" s="58">
        <v>6</v>
      </c>
      <c r="J242" s="58">
        <v>0</v>
      </c>
      <c r="K242" s="1">
        <f t="shared" si="22"/>
        <v>0</v>
      </c>
      <c r="L242" s="1" t="str">
        <f t="shared" si="23"/>
        <v/>
      </c>
      <c r="M242" s="1">
        <f>VLOOKUP(B242,'[1]Срок Годности'!$A$2:$B$4,2,0)</f>
        <v>500</v>
      </c>
      <c r="N242" s="60">
        <f t="shared" si="24"/>
        <v>0</v>
      </c>
      <c r="O242" s="1" t="str">
        <f t="shared" si="25"/>
        <v>22 2012</v>
      </c>
      <c r="P242" s="1">
        <f t="shared" si="26"/>
        <v>23</v>
      </c>
      <c r="Q242" s="1">
        <f t="shared" ca="1" si="27"/>
        <v>4072</v>
      </c>
      <c r="S242" s="1">
        <f t="shared" si="21"/>
        <v>6</v>
      </c>
    </row>
    <row r="243" spans="1:19" x14ac:dyDescent="0.2">
      <c r="A243" s="57" t="s">
        <v>235</v>
      </c>
      <c r="B243" s="57" t="s">
        <v>225</v>
      </c>
      <c r="C243" s="57" t="s">
        <v>226</v>
      </c>
      <c r="D243" s="58">
        <v>317.08</v>
      </c>
      <c r="E243" s="59">
        <v>41062</v>
      </c>
      <c r="F243" s="58">
        <v>6</v>
      </c>
      <c r="G243" s="58">
        <v>0</v>
      </c>
      <c r="H243" s="58">
        <v>2</v>
      </c>
      <c r="I243" s="58">
        <v>6</v>
      </c>
      <c r="J243" s="58">
        <v>0</v>
      </c>
      <c r="K243" s="1">
        <f t="shared" si="22"/>
        <v>634.16</v>
      </c>
      <c r="L243" s="1" t="str">
        <f t="shared" si="23"/>
        <v/>
      </c>
      <c r="M243" s="1">
        <f>VLOOKUP(B243,'[1]Срок Годности'!$A$2:$B$4,2,0)</f>
        <v>500</v>
      </c>
      <c r="N243" s="60">
        <f t="shared" si="24"/>
        <v>0</v>
      </c>
      <c r="O243" s="1" t="str">
        <f t="shared" si="25"/>
        <v>22 2012</v>
      </c>
      <c r="P243" s="1">
        <f t="shared" si="26"/>
        <v>23</v>
      </c>
      <c r="Q243" s="1">
        <f t="shared" ca="1" si="27"/>
        <v>4071</v>
      </c>
      <c r="S243" s="1">
        <f t="shared" si="21"/>
        <v>6</v>
      </c>
    </row>
    <row r="244" spans="1:19" x14ac:dyDescent="0.2">
      <c r="A244" s="57" t="s">
        <v>235</v>
      </c>
      <c r="B244" s="57" t="s">
        <v>225</v>
      </c>
      <c r="C244" s="57" t="s">
        <v>226</v>
      </c>
      <c r="D244" s="58">
        <v>317.08</v>
      </c>
      <c r="E244" s="59">
        <v>41063</v>
      </c>
      <c r="F244" s="58">
        <v>6</v>
      </c>
      <c r="G244" s="58">
        <v>3175</v>
      </c>
      <c r="H244" s="58">
        <v>228</v>
      </c>
      <c r="I244" s="58">
        <v>2950</v>
      </c>
      <c r="J244" s="58">
        <v>0</v>
      </c>
      <c r="K244" s="1">
        <f t="shared" si="22"/>
        <v>72294.239999999991</v>
      </c>
      <c r="L244" s="1" t="str">
        <f t="shared" si="23"/>
        <v/>
      </c>
      <c r="M244" s="1">
        <f>VLOOKUP(B244,'[1]Срок Годности'!$A$2:$B$4,2,0)</f>
        <v>500</v>
      </c>
      <c r="N244" s="60">
        <f t="shared" si="24"/>
        <v>0</v>
      </c>
      <c r="O244" s="1" t="str">
        <f t="shared" si="25"/>
        <v>23 2012</v>
      </c>
      <c r="P244" s="1">
        <f t="shared" si="26"/>
        <v>23</v>
      </c>
      <c r="Q244" s="1">
        <f t="shared" ca="1" si="27"/>
        <v>4070</v>
      </c>
      <c r="S244" s="1">
        <f t="shared" si="21"/>
        <v>2950</v>
      </c>
    </row>
    <row r="245" spans="1:19" x14ac:dyDescent="0.2">
      <c r="A245" s="57" t="s">
        <v>235</v>
      </c>
      <c r="B245" s="57" t="s">
        <v>225</v>
      </c>
      <c r="C245" s="57" t="s">
        <v>226</v>
      </c>
      <c r="D245" s="58">
        <v>317.08</v>
      </c>
      <c r="E245" s="59">
        <v>41064</v>
      </c>
      <c r="F245" s="58">
        <v>2950</v>
      </c>
      <c r="G245" s="58">
        <v>2185</v>
      </c>
      <c r="H245" s="58">
        <v>988</v>
      </c>
      <c r="I245" s="58">
        <v>4137</v>
      </c>
      <c r="J245" s="58">
        <v>0</v>
      </c>
      <c r="K245" s="1">
        <f t="shared" si="22"/>
        <v>313275.03999999998</v>
      </c>
      <c r="L245" s="1" t="str">
        <f t="shared" si="23"/>
        <v/>
      </c>
      <c r="M245" s="1">
        <f>VLOOKUP(B245,'[1]Срок Годности'!$A$2:$B$4,2,0)</f>
        <v>500</v>
      </c>
      <c r="N245" s="60">
        <f t="shared" si="24"/>
        <v>2185</v>
      </c>
      <c r="O245" s="1" t="str">
        <f t="shared" si="25"/>
        <v>23 2012</v>
      </c>
      <c r="P245" s="1">
        <f t="shared" si="26"/>
        <v>23</v>
      </c>
      <c r="Q245" s="1">
        <f t="shared" ca="1" si="27"/>
        <v>4069</v>
      </c>
      <c r="S245" s="1">
        <f t="shared" si="21"/>
        <v>4137</v>
      </c>
    </row>
    <row r="246" spans="1:19" x14ac:dyDescent="0.2">
      <c r="A246" s="57" t="s">
        <v>235</v>
      </c>
      <c r="B246" s="57" t="s">
        <v>225</v>
      </c>
      <c r="C246" s="57" t="s">
        <v>226</v>
      </c>
      <c r="D246" s="58">
        <v>317.08</v>
      </c>
      <c r="E246" s="59">
        <v>41065</v>
      </c>
      <c r="F246" s="58">
        <v>4137</v>
      </c>
      <c r="G246" s="58">
        <v>492</v>
      </c>
      <c r="H246" s="58">
        <v>1371</v>
      </c>
      <c r="I246" s="58">
        <v>3248</v>
      </c>
      <c r="J246" s="58">
        <v>0</v>
      </c>
      <c r="K246" s="1">
        <f t="shared" si="22"/>
        <v>434716.68</v>
      </c>
      <c r="L246" s="1">
        <f t="shared" si="23"/>
        <v>1371</v>
      </c>
      <c r="M246" s="1">
        <f>VLOOKUP(B246,'[1]Срок Годности'!$A$2:$B$4,2,0)</f>
        <v>500</v>
      </c>
      <c r="N246" s="60">
        <f t="shared" si="24"/>
        <v>492</v>
      </c>
      <c r="O246" s="1" t="str">
        <f t="shared" si="25"/>
        <v>23 2012</v>
      </c>
      <c r="P246" s="1">
        <f t="shared" si="26"/>
        <v>23</v>
      </c>
      <c r="Q246" s="1">
        <f t="shared" ca="1" si="27"/>
        <v>4068</v>
      </c>
      <c r="S246" s="1">
        <f t="shared" si="21"/>
        <v>3248</v>
      </c>
    </row>
    <row r="247" spans="1:19" x14ac:dyDescent="0.2">
      <c r="A247" s="57" t="s">
        <v>235</v>
      </c>
      <c r="B247" s="57" t="s">
        <v>225</v>
      </c>
      <c r="C247" s="57" t="s">
        <v>226</v>
      </c>
      <c r="D247" s="58">
        <v>317.08</v>
      </c>
      <c r="E247" s="59">
        <v>41066</v>
      </c>
      <c r="F247" s="58">
        <v>3248</v>
      </c>
      <c r="G247" s="58">
        <v>1137</v>
      </c>
      <c r="H247" s="58">
        <v>1294</v>
      </c>
      <c r="I247" s="58">
        <v>3079</v>
      </c>
      <c r="J247" s="58">
        <v>0</v>
      </c>
      <c r="K247" s="1">
        <f t="shared" si="22"/>
        <v>410301.51999999996</v>
      </c>
      <c r="L247" s="1">
        <f t="shared" si="23"/>
        <v>1294</v>
      </c>
      <c r="M247" s="1">
        <f>VLOOKUP(B247,'[1]Срок Годности'!$A$2:$B$4,2,0)</f>
        <v>500</v>
      </c>
      <c r="N247" s="60">
        <f t="shared" si="24"/>
        <v>1137</v>
      </c>
      <c r="O247" s="1" t="str">
        <f t="shared" si="25"/>
        <v>23 2012</v>
      </c>
      <c r="P247" s="1">
        <f t="shared" si="26"/>
        <v>23</v>
      </c>
      <c r="Q247" s="1">
        <f t="shared" ca="1" si="27"/>
        <v>4067</v>
      </c>
      <c r="S247" s="1">
        <f t="shared" si="21"/>
        <v>3079</v>
      </c>
    </row>
    <row r="248" spans="1:19" x14ac:dyDescent="0.2">
      <c r="A248" s="57" t="s">
        <v>235</v>
      </c>
      <c r="B248" s="57" t="s">
        <v>225</v>
      </c>
      <c r="C248" s="57" t="s">
        <v>226</v>
      </c>
      <c r="D248" s="58">
        <v>317.08</v>
      </c>
      <c r="E248" s="59">
        <v>41067</v>
      </c>
      <c r="F248" s="58">
        <v>3079</v>
      </c>
      <c r="G248" s="58">
        <v>1701</v>
      </c>
      <c r="H248" s="58">
        <v>1389</v>
      </c>
      <c r="I248" s="58">
        <v>3387</v>
      </c>
      <c r="J248" s="58">
        <v>0</v>
      </c>
      <c r="K248" s="1">
        <f t="shared" si="22"/>
        <v>440424.12</v>
      </c>
      <c r="L248" s="1">
        <f t="shared" si="23"/>
        <v>1389</v>
      </c>
      <c r="M248" s="1">
        <f>VLOOKUP(B248,'[1]Срок Годности'!$A$2:$B$4,2,0)</f>
        <v>500</v>
      </c>
      <c r="N248" s="60">
        <f t="shared" si="24"/>
        <v>1701</v>
      </c>
      <c r="O248" s="1" t="str">
        <f t="shared" si="25"/>
        <v>23 2012</v>
      </c>
      <c r="P248" s="1">
        <f t="shared" si="26"/>
        <v>23</v>
      </c>
      <c r="Q248" s="1">
        <f t="shared" ca="1" si="27"/>
        <v>4066</v>
      </c>
      <c r="S248" s="1">
        <f t="shared" si="21"/>
        <v>3387</v>
      </c>
    </row>
    <row r="249" spans="1:19" x14ac:dyDescent="0.2">
      <c r="A249" s="57" t="s">
        <v>235</v>
      </c>
      <c r="B249" s="57" t="s">
        <v>225</v>
      </c>
      <c r="C249" s="57" t="s">
        <v>226</v>
      </c>
      <c r="D249" s="58">
        <v>317.08</v>
      </c>
      <c r="E249" s="59">
        <v>41068</v>
      </c>
      <c r="F249" s="58">
        <v>3387</v>
      </c>
      <c r="G249" s="58">
        <v>1143</v>
      </c>
      <c r="H249" s="58">
        <v>1364</v>
      </c>
      <c r="I249" s="58">
        <v>3160</v>
      </c>
      <c r="J249" s="58">
        <v>0</v>
      </c>
      <c r="K249" s="1">
        <f t="shared" si="22"/>
        <v>432497.12</v>
      </c>
      <c r="L249" s="1">
        <f t="shared" si="23"/>
        <v>1364</v>
      </c>
      <c r="M249" s="1">
        <f>VLOOKUP(B249,'[1]Срок Годности'!$A$2:$B$4,2,0)</f>
        <v>500</v>
      </c>
      <c r="N249" s="60">
        <f t="shared" si="24"/>
        <v>1143</v>
      </c>
      <c r="O249" s="1" t="str">
        <f t="shared" si="25"/>
        <v>23 2012</v>
      </c>
      <c r="P249" s="1">
        <f t="shared" si="26"/>
        <v>23</v>
      </c>
      <c r="Q249" s="1">
        <f t="shared" ca="1" si="27"/>
        <v>4065</v>
      </c>
      <c r="S249" s="1">
        <f t="shared" si="21"/>
        <v>3160</v>
      </c>
    </row>
    <row r="250" spans="1:19" x14ac:dyDescent="0.2">
      <c r="A250" s="57" t="s">
        <v>235</v>
      </c>
      <c r="B250" s="57" t="s">
        <v>225</v>
      </c>
      <c r="C250" s="57" t="s">
        <v>226</v>
      </c>
      <c r="D250" s="58">
        <v>317.08</v>
      </c>
      <c r="E250" s="59">
        <v>41069</v>
      </c>
      <c r="F250" s="58">
        <v>3160</v>
      </c>
      <c r="G250" s="58">
        <v>0</v>
      </c>
      <c r="H250" s="58">
        <v>1278</v>
      </c>
      <c r="I250" s="58">
        <v>1887</v>
      </c>
      <c r="J250" s="58">
        <v>1</v>
      </c>
      <c r="K250" s="1">
        <f t="shared" si="22"/>
        <v>405228.24</v>
      </c>
      <c r="L250" s="1">
        <f t="shared" si="23"/>
        <v>1278</v>
      </c>
      <c r="M250" s="1">
        <f>VLOOKUP(B250,'[1]Срок Годности'!$A$2:$B$4,2,0)</f>
        <v>500</v>
      </c>
      <c r="N250" s="60">
        <f t="shared" si="24"/>
        <v>0</v>
      </c>
      <c r="O250" s="1" t="str">
        <f t="shared" si="25"/>
        <v>23 2012</v>
      </c>
      <c r="P250" s="1">
        <f t="shared" si="26"/>
        <v>23</v>
      </c>
      <c r="Q250" s="1">
        <f t="shared" ca="1" si="27"/>
        <v>4064</v>
      </c>
      <c r="S250" s="1">
        <f t="shared" si="21"/>
        <v>1886</v>
      </c>
    </row>
    <row r="251" spans="1:19" x14ac:dyDescent="0.2">
      <c r="A251" s="57" t="s">
        <v>235</v>
      </c>
      <c r="B251" s="57" t="s">
        <v>225</v>
      </c>
      <c r="C251" s="57" t="s">
        <v>226</v>
      </c>
      <c r="D251" s="58">
        <v>317.08</v>
      </c>
      <c r="E251" s="59">
        <v>41070</v>
      </c>
      <c r="F251" s="58">
        <v>1887</v>
      </c>
      <c r="G251" s="58">
        <v>1996</v>
      </c>
      <c r="H251" s="58">
        <v>1013</v>
      </c>
      <c r="I251" s="58">
        <v>2869</v>
      </c>
      <c r="J251" s="58">
        <v>0</v>
      </c>
      <c r="K251" s="1">
        <f t="shared" si="22"/>
        <v>321202.03999999998</v>
      </c>
      <c r="L251" s="1">
        <f t="shared" si="23"/>
        <v>1013</v>
      </c>
      <c r="M251" s="1">
        <f>VLOOKUP(B251,'[1]Срок Годности'!$A$2:$B$4,2,0)</f>
        <v>500</v>
      </c>
      <c r="N251" s="60">
        <f t="shared" si="24"/>
        <v>0</v>
      </c>
      <c r="O251" s="1" t="str">
        <f t="shared" si="25"/>
        <v>24 2012</v>
      </c>
      <c r="P251" s="1">
        <f t="shared" si="26"/>
        <v>23</v>
      </c>
      <c r="Q251" s="1">
        <f t="shared" ca="1" si="27"/>
        <v>4063</v>
      </c>
      <c r="S251" s="1">
        <f t="shared" si="21"/>
        <v>2869</v>
      </c>
    </row>
    <row r="252" spans="1:19" x14ac:dyDescent="0.2">
      <c r="A252" s="57" t="s">
        <v>235</v>
      </c>
      <c r="B252" s="57" t="s">
        <v>225</v>
      </c>
      <c r="C252" s="57" t="s">
        <v>226</v>
      </c>
      <c r="D252" s="58">
        <v>317.08</v>
      </c>
      <c r="E252" s="59">
        <v>41071</v>
      </c>
      <c r="F252" s="58">
        <v>2869</v>
      </c>
      <c r="G252" s="58">
        <v>1998</v>
      </c>
      <c r="H252" s="58">
        <v>1362</v>
      </c>
      <c r="I252" s="58">
        <v>3504</v>
      </c>
      <c r="J252" s="58">
        <v>0</v>
      </c>
      <c r="K252" s="1">
        <f t="shared" si="22"/>
        <v>431862.95999999996</v>
      </c>
      <c r="L252" s="1">
        <f t="shared" si="23"/>
        <v>1362</v>
      </c>
      <c r="M252" s="1">
        <f>VLOOKUP(B252,'[1]Срок Годности'!$A$2:$B$4,2,0)</f>
        <v>500</v>
      </c>
      <c r="N252" s="60">
        <f t="shared" si="24"/>
        <v>1998</v>
      </c>
      <c r="O252" s="1" t="str">
        <f t="shared" si="25"/>
        <v>24 2012</v>
      </c>
      <c r="P252" s="1">
        <f t="shared" si="26"/>
        <v>23</v>
      </c>
      <c r="Q252" s="1">
        <f t="shared" ca="1" si="27"/>
        <v>4062</v>
      </c>
      <c r="S252" s="1">
        <f t="shared" si="21"/>
        <v>3504</v>
      </c>
    </row>
    <row r="253" spans="1:19" x14ac:dyDescent="0.2">
      <c r="A253" s="57" t="s">
        <v>235</v>
      </c>
      <c r="B253" s="57" t="s">
        <v>225</v>
      </c>
      <c r="C253" s="57" t="s">
        <v>226</v>
      </c>
      <c r="D253" s="58">
        <v>317.08</v>
      </c>
      <c r="E253" s="59">
        <v>41072</v>
      </c>
      <c r="F253" s="58">
        <v>3504</v>
      </c>
      <c r="G253" s="58">
        <v>0</v>
      </c>
      <c r="H253" s="58">
        <v>1280</v>
      </c>
      <c r="I253" s="58">
        <v>2214</v>
      </c>
      <c r="J253" s="58">
        <v>0</v>
      </c>
      <c r="K253" s="1">
        <f t="shared" si="22"/>
        <v>405862.39999999997</v>
      </c>
      <c r="L253" s="1">
        <f t="shared" si="23"/>
        <v>1280</v>
      </c>
      <c r="M253" s="1">
        <f>VLOOKUP(B253,'[1]Срок Годности'!$A$2:$B$4,2,0)</f>
        <v>500</v>
      </c>
      <c r="N253" s="60">
        <f t="shared" si="24"/>
        <v>0</v>
      </c>
      <c r="O253" s="1" t="str">
        <f t="shared" si="25"/>
        <v>24 2012</v>
      </c>
      <c r="P253" s="1">
        <f t="shared" si="26"/>
        <v>23</v>
      </c>
      <c r="Q253" s="1">
        <f t="shared" ca="1" si="27"/>
        <v>4061</v>
      </c>
      <c r="S253" s="1">
        <f t="shared" si="21"/>
        <v>2214</v>
      </c>
    </row>
    <row r="254" spans="1:19" x14ac:dyDescent="0.2">
      <c r="A254" s="57" t="s">
        <v>235</v>
      </c>
      <c r="B254" s="57" t="s">
        <v>225</v>
      </c>
      <c r="C254" s="57" t="s">
        <v>226</v>
      </c>
      <c r="D254" s="58">
        <v>317.08</v>
      </c>
      <c r="E254" s="59">
        <v>41073</v>
      </c>
      <c r="F254" s="58">
        <v>2214</v>
      </c>
      <c r="G254" s="58">
        <v>2</v>
      </c>
      <c r="H254" s="58">
        <v>721</v>
      </c>
      <c r="I254" s="58">
        <v>1492</v>
      </c>
      <c r="J254" s="58">
        <v>0</v>
      </c>
      <c r="K254" s="1">
        <f t="shared" si="22"/>
        <v>228614.68</v>
      </c>
      <c r="L254" s="1" t="str">
        <f t="shared" si="23"/>
        <v/>
      </c>
      <c r="M254" s="1">
        <f>VLOOKUP(B254,'[1]Срок Годности'!$A$2:$B$4,2,0)</f>
        <v>500</v>
      </c>
      <c r="N254" s="60">
        <f t="shared" si="24"/>
        <v>2</v>
      </c>
      <c r="O254" s="1" t="str">
        <f t="shared" si="25"/>
        <v>24 2012</v>
      </c>
      <c r="P254" s="1">
        <f t="shared" si="26"/>
        <v>23</v>
      </c>
      <c r="Q254" s="1">
        <f t="shared" ca="1" si="27"/>
        <v>4060</v>
      </c>
      <c r="S254" s="1">
        <f t="shared" si="21"/>
        <v>1492</v>
      </c>
    </row>
    <row r="255" spans="1:19" x14ac:dyDescent="0.2">
      <c r="A255" s="57" t="s">
        <v>235</v>
      </c>
      <c r="B255" s="57" t="s">
        <v>225</v>
      </c>
      <c r="C255" s="57" t="s">
        <v>226</v>
      </c>
      <c r="D255" s="58">
        <v>317.08</v>
      </c>
      <c r="E255" s="59">
        <v>41074</v>
      </c>
      <c r="F255" s="58">
        <v>1492</v>
      </c>
      <c r="G255" s="58">
        <v>3473</v>
      </c>
      <c r="H255" s="58">
        <v>827</v>
      </c>
      <c r="I255" s="58">
        <v>4130</v>
      </c>
      <c r="J255" s="58">
        <v>0</v>
      </c>
      <c r="K255" s="1">
        <f t="shared" si="22"/>
        <v>262225.15999999997</v>
      </c>
      <c r="L255" s="1" t="str">
        <f t="shared" si="23"/>
        <v/>
      </c>
      <c r="M255" s="1">
        <f>VLOOKUP(B255,'[1]Срок Годности'!$A$2:$B$4,2,0)</f>
        <v>500</v>
      </c>
      <c r="N255" s="60">
        <f t="shared" si="24"/>
        <v>3473</v>
      </c>
      <c r="O255" s="1" t="str">
        <f t="shared" si="25"/>
        <v>24 2012</v>
      </c>
      <c r="P255" s="1">
        <f t="shared" si="26"/>
        <v>23</v>
      </c>
      <c r="Q255" s="1">
        <f t="shared" ca="1" si="27"/>
        <v>4059</v>
      </c>
      <c r="S255" s="1">
        <f t="shared" si="21"/>
        <v>4130</v>
      </c>
    </row>
    <row r="256" spans="1:19" x14ac:dyDescent="0.2">
      <c r="A256" s="57" t="s">
        <v>235</v>
      </c>
      <c r="B256" s="57" t="s">
        <v>225</v>
      </c>
      <c r="C256" s="57" t="s">
        <v>226</v>
      </c>
      <c r="D256" s="58">
        <v>317.08</v>
      </c>
      <c r="E256" s="59">
        <v>41075</v>
      </c>
      <c r="F256" s="58">
        <v>4130</v>
      </c>
      <c r="G256" s="58">
        <v>1944</v>
      </c>
      <c r="H256" s="58">
        <v>1207</v>
      </c>
      <c r="I256" s="58">
        <v>4861</v>
      </c>
      <c r="J256" s="58">
        <v>0</v>
      </c>
      <c r="K256" s="1">
        <f t="shared" si="22"/>
        <v>382715.56</v>
      </c>
      <c r="L256" s="1">
        <f t="shared" si="23"/>
        <v>1207</v>
      </c>
      <c r="M256" s="1">
        <f>VLOOKUP(B256,'[1]Срок Годности'!$A$2:$B$4,2,0)</f>
        <v>500</v>
      </c>
      <c r="N256" s="60">
        <f t="shared" si="24"/>
        <v>1944</v>
      </c>
      <c r="O256" s="1" t="str">
        <f t="shared" si="25"/>
        <v>24 2012</v>
      </c>
      <c r="P256" s="1">
        <f t="shared" si="26"/>
        <v>23</v>
      </c>
      <c r="Q256" s="1">
        <f t="shared" ca="1" si="27"/>
        <v>4058</v>
      </c>
      <c r="S256" s="1">
        <f t="shared" si="21"/>
        <v>4861</v>
      </c>
    </row>
    <row r="257" spans="1:19" x14ac:dyDescent="0.2">
      <c r="A257" s="57" t="s">
        <v>235</v>
      </c>
      <c r="B257" s="57" t="s">
        <v>225</v>
      </c>
      <c r="C257" s="57" t="s">
        <v>226</v>
      </c>
      <c r="D257" s="58">
        <v>317.08</v>
      </c>
      <c r="E257" s="59">
        <v>41076</v>
      </c>
      <c r="F257" s="58">
        <v>4861</v>
      </c>
      <c r="G257" s="58">
        <v>1045</v>
      </c>
      <c r="H257" s="58">
        <v>1682</v>
      </c>
      <c r="I257" s="58">
        <v>4218</v>
      </c>
      <c r="J257" s="58">
        <v>0</v>
      </c>
      <c r="K257" s="1">
        <f t="shared" si="22"/>
        <v>533328.55999999994</v>
      </c>
      <c r="L257" s="1">
        <f t="shared" si="23"/>
        <v>1682</v>
      </c>
      <c r="M257" s="1">
        <f>VLOOKUP(B257,'[1]Срок Годности'!$A$2:$B$4,2,0)</f>
        <v>500</v>
      </c>
      <c r="N257" s="60">
        <f t="shared" si="24"/>
        <v>1045</v>
      </c>
      <c r="O257" s="1" t="str">
        <f t="shared" si="25"/>
        <v>24 2012</v>
      </c>
      <c r="P257" s="1">
        <f t="shared" si="26"/>
        <v>23</v>
      </c>
      <c r="Q257" s="1">
        <f t="shared" ca="1" si="27"/>
        <v>4057</v>
      </c>
      <c r="S257" s="1">
        <f t="shared" si="21"/>
        <v>4218</v>
      </c>
    </row>
    <row r="258" spans="1:19" x14ac:dyDescent="0.2">
      <c r="A258" s="57" t="s">
        <v>235</v>
      </c>
      <c r="B258" s="57" t="s">
        <v>225</v>
      </c>
      <c r="C258" s="57" t="s">
        <v>226</v>
      </c>
      <c r="D258" s="58">
        <v>317.08</v>
      </c>
      <c r="E258" s="59">
        <v>41077</v>
      </c>
      <c r="F258" s="58">
        <v>4218</v>
      </c>
      <c r="G258" s="58">
        <v>879</v>
      </c>
      <c r="H258" s="58">
        <v>1079</v>
      </c>
      <c r="I258" s="58">
        <v>4010</v>
      </c>
      <c r="J258" s="58">
        <v>0</v>
      </c>
      <c r="K258" s="1">
        <f t="shared" si="22"/>
        <v>342129.32</v>
      </c>
      <c r="L258" s="1">
        <f t="shared" si="23"/>
        <v>1079</v>
      </c>
      <c r="M258" s="1">
        <f>VLOOKUP(B258,'[1]Срок Годности'!$A$2:$B$4,2,0)</f>
        <v>500</v>
      </c>
      <c r="N258" s="60">
        <f t="shared" si="24"/>
        <v>0</v>
      </c>
      <c r="O258" s="1" t="str">
        <f t="shared" si="25"/>
        <v>25 2012</v>
      </c>
      <c r="P258" s="1">
        <f t="shared" si="26"/>
        <v>23</v>
      </c>
      <c r="Q258" s="1">
        <f t="shared" ca="1" si="27"/>
        <v>4056</v>
      </c>
      <c r="S258" s="1">
        <f t="shared" si="21"/>
        <v>4010</v>
      </c>
    </row>
    <row r="259" spans="1:19" x14ac:dyDescent="0.2">
      <c r="A259" s="57" t="s">
        <v>235</v>
      </c>
      <c r="B259" s="57" t="s">
        <v>225</v>
      </c>
      <c r="C259" s="57" t="s">
        <v>226</v>
      </c>
      <c r="D259" s="58">
        <v>317.08</v>
      </c>
      <c r="E259" s="59">
        <v>41078</v>
      </c>
      <c r="F259" s="58">
        <v>4010</v>
      </c>
      <c r="G259" s="58">
        <v>1739</v>
      </c>
      <c r="H259" s="58">
        <v>876</v>
      </c>
      <c r="I259" s="58">
        <v>4858</v>
      </c>
      <c r="J259" s="58">
        <v>0</v>
      </c>
      <c r="K259" s="1">
        <f t="shared" si="22"/>
        <v>277762.07999999996</v>
      </c>
      <c r="L259" s="1" t="str">
        <f t="shared" si="23"/>
        <v/>
      </c>
      <c r="M259" s="1">
        <f>VLOOKUP(B259,'[1]Срок Годности'!$A$2:$B$4,2,0)</f>
        <v>500</v>
      </c>
      <c r="N259" s="60">
        <f t="shared" si="24"/>
        <v>1739</v>
      </c>
      <c r="O259" s="1" t="str">
        <f t="shared" si="25"/>
        <v>25 2012</v>
      </c>
      <c r="P259" s="1">
        <f t="shared" si="26"/>
        <v>23</v>
      </c>
      <c r="Q259" s="1">
        <f t="shared" ca="1" si="27"/>
        <v>4055</v>
      </c>
      <c r="S259" s="1">
        <f t="shared" si="21"/>
        <v>4858</v>
      </c>
    </row>
    <row r="260" spans="1:19" x14ac:dyDescent="0.2">
      <c r="A260" s="57" t="s">
        <v>235</v>
      </c>
      <c r="B260" s="57" t="s">
        <v>225</v>
      </c>
      <c r="C260" s="57" t="s">
        <v>226</v>
      </c>
      <c r="D260" s="58">
        <v>317.08</v>
      </c>
      <c r="E260" s="59">
        <v>41079</v>
      </c>
      <c r="F260" s="58">
        <v>4858</v>
      </c>
      <c r="G260" s="58">
        <v>1769</v>
      </c>
      <c r="H260" s="58">
        <v>1027</v>
      </c>
      <c r="I260" s="58">
        <v>5579</v>
      </c>
      <c r="J260" s="58">
        <v>0</v>
      </c>
      <c r="K260" s="1">
        <f t="shared" si="22"/>
        <v>325641.15999999997</v>
      </c>
      <c r="L260" s="1">
        <f t="shared" si="23"/>
        <v>1027</v>
      </c>
      <c r="M260" s="1">
        <f>VLOOKUP(B260,'[1]Срок Годности'!$A$2:$B$4,2,0)</f>
        <v>500</v>
      </c>
      <c r="N260" s="60">
        <f t="shared" si="24"/>
        <v>1769</v>
      </c>
      <c r="O260" s="1" t="str">
        <f t="shared" si="25"/>
        <v>25 2012</v>
      </c>
      <c r="P260" s="1">
        <f t="shared" si="26"/>
        <v>23</v>
      </c>
      <c r="Q260" s="1">
        <f t="shared" ca="1" si="27"/>
        <v>4054</v>
      </c>
      <c r="S260" s="1">
        <f t="shared" si="21"/>
        <v>5579</v>
      </c>
    </row>
    <row r="261" spans="1:19" x14ac:dyDescent="0.2">
      <c r="A261" s="57" t="s">
        <v>235</v>
      </c>
      <c r="B261" s="57" t="s">
        <v>225</v>
      </c>
      <c r="C261" s="57" t="s">
        <v>226</v>
      </c>
      <c r="D261" s="58">
        <v>317.08</v>
      </c>
      <c r="E261" s="59">
        <v>41080</v>
      </c>
      <c r="F261" s="58">
        <v>5579</v>
      </c>
      <c r="G261" s="58">
        <v>1460</v>
      </c>
      <c r="H261" s="58">
        <v>1052</v>
      </c>
      <c r="I261" s="58">
        <v>5991</v>
      </c>
      <c r="J261" s="58">
        <v>0</v>
      </c>
      <c r="K261" s="1">
        <f t="shared" si="22"/>
        <v>333568.15999999997</v>
      </c>
      <c r="L261" s="1">
        <f t="shared" si="23"/>
        <v>1052</v>
      </c>
      <c r="M261" s="1">
        <f>VLOOKUP(B261,'[1]Срок Годности'!$A$2:$B$4,2,0)</f>
        <v>500</v>
      </c>
      <c r="N261" s="60">
        <f t="shared" si="24"/>
        <v>1460</v>
      </c>
      <c r="O261" s="1" t="str">
        <f t="shared" si="25"/>
        <v>25 2012</v>
      </c>
      <c r="P261" s="1">
        <f t="shared" si="26"/>
        <v>23</v>
      </c>
      <c r="Q261" s="1">
        <f t="shared" ca="1" si="27"/>
        <v>4053</v>
      </c>
      <c r="S261" s="1">
        <f t="shared" si="21"/>
        <v>5991</v>
      </c>
    </row>
    <row r="262" spans="1:19" x14ac:dyDescent="0.2">
      <c r="A262" s="57" t="s">
        <v>235</v>
      </c>
      <c r="B262" s="57" t="s">
        <v>225</v>
      </c>
      <c r="C262" s="57" t="s">
        <v>226</v>
      </c>
      <c r="D262" s="58">
        <v>317.08</v>
      </c>
      <c r="E262" s="59">
        <v>41081</v>
      </c>
      <c r="F262" s="58">
        <v>5991</v>
      </c>
      <c r="G262" s="58">
        <v>1590</v>
      </c>
      <c r="H262" s="58">
        <v>919</v>
      </c>
      <c r="I262" s="58">
        <v>6655</v>
      </c>
      <c r="J262" s="58">
        <v>0</v>
      </c>
      <c r="K262" s="1">
        <f t="shared" si="22"/>
        <v>291396.51999999996</v>
      </c>
      <c r="L262" s="1" t="str">
        <f t="shared" si="23"/>
        <v/>
      </c>
      <c r="M262" s="1">
        <f>VLOOKUP(B262,'[1]Срок Годности'!$A$2:$B$4,2,0)</f>
        <v>500</v>
      </c>
      <c r="N262" s="60">
        <f t="shared" si="24"/>
        <v>1590</v>
      </c>
      <c r="O262" s="1" t="str">
        <f t="shared" si="25"/>
        <v>25 2012</v>
      </c>
      <c r="P262" s="1">
        <f t="shared" si="26"/>
        <v>23</v>
      </c>
      <c r="Q262" s="1">
        <f t="shared" ca="1" si="27"/>
        <v>4052</v>
      </c>
      <c r="S262" s="1">
        <f t="shared" si="21"/>
        <v>6655</v>
      </c>
    </row>
    <row r="263" spans="1:19" x14ac:dyDescent="0.2">
      <c r="A263" s="57" t="s">
        <v>235</v>
      </c>
      <c r="B263" s="57" t="s">
        <v>225</v>
      </c>
      <c r="C263" s="57" t="s">
        <v>226</v>
      </c>
      <c r="D263" s="58">
        <v>317.08</v>
      </c>
      <c r="E263" s="59">
        <v>41082</v>
      </c>
      <c r="F263" s="58">
        <v>6655</v>
      </c>
      <c r="G263" s="58">
        <v>1356</v>
      </c>
      <c r="H263" s="58">
        <v>926</v>
      </c>
      <c r="I263" s="58">
        <v>7060</v>
      </c>
      <c r="J263" s="58">
        <v>0</v>
      </c>
      <c r="K263" s="1">
        <f t="shared" si="22"/>
        <v>293616.07999999996</v>
      </c>
      <c r="L263" s="1" t="str">
        <f t="shared" si="23"/>
        <v/>
      </c>
      <c r="M263" s="1">
        <f>VLOOKUP(B263,'[1]Срок Годности'!$A$2:$B$4,2,0)</f>
        <v>500</v>
      </c>
      <c r="N263" s="60">
        <f t="shared" si="24"/>
        <v>1356</v>
      </c>
      <c r="O263" s="1" t="str">
        <f t="shared" si="25"/>
        <v>25 2012</v>
      </c>
      <c r="P263" s="1">
        <f t="shared" si="26"/>
        <v>23</v>
      </c>
      <c r="Q263" s="1">
        <f t="shared" ca="1" si="27"/>
        <v>4051</v>
      </c>
      <c r="S263" s="1">
        <f t="shared" ref="S263:S326" si="28">I263-J263</f>
        <v>7060</v>
      </c>
    </row>
    <row r="264" spans="1:19" x14ac:dyDescent="0.2">
      <c r="A264" s="57" t="s">
        <v>235</v>
      </c>
      <c r="B264" s="57" t="s">
        <v>225</v>
      </c>
      <c r="C264" s="57" t="s">
        <v>226</v>
      </c>
      <c r="D264" s="58">
        <v>317.08</v>
      </c>
      <c r="E264" s="59">
        <v>41083</v>
      </c>
      <c r="F264" s="58">
        <v>7060</v>
      </c>
      <c r="G264" s="58">
        <v>921</v>
      </c>
      <c r="H264" s="58">
        <v>1012</v>
      </c>
      <c r="I264" s="58">
        <v>6966</v>
      </c>
      <c r="J264" s="58">
        <v>0</v>
      </c>
      <c r="K264" s="1">
        <f t="shared" ref="K264:K327" si="29">H264*D264</f>
        <v>320884.95999999996</v>
      </c>
      <c r="L264" s="1">
        <f t="shared" ref="L264:L327" si="30">IF(H264&gt;1000,H264,"")</f>
        <v>1012</v>
      </c>
      <c r="M264" s="1">
        <f>VLOOKUP(B264,'[1]Срок Годности'!$A$2:$B$4,2,0)</f>
        <v>500</v>
      </c>
      <c r="N264" s="60">
        <f t="shared" ref="N264:N327" si="31">IF(WEEKDAY(E264) = 1, 0, G264)</f>
        <v>921</v>
      </c>
      <c r="O264" s="1" t="str">
        <f t="shared" ref="O264:O327" si="32">WEEKNUM(E264) &amp; " " &amp; YEAR(E264)</f>
        <v>25 2012</v>
      </c>
      <c r="P264" s="1">
        <f t="shared" ref="P264:P327" si="33">LEN(C264)</f>
        <v>23</v>
      </c>
      <c r="Q264" s="1">
        <f t="shared" ref="Q264:Q327" ca="1" si="34">DATEDIF(E264,NOW(),"D")</f>
        <v>4050</v>
      </c>
      <c r="S264" s="1">
        <f t="shared" si="28"/>
        <v>6966</v>
      </c>
    </row>
    <row r="265" spans="1:19" x14ac:dyDescent="0.2">
      <c r="A265" s="57" t="s">
        <v>235</v>
      </c>
      <c r="B265" s="57" t="s">
        <v>225</v>
      </c>
      <c r="C265" s="57" t="s">
        <v>226</v>
      </c>
      <c r="D265" s="58">
        <v>317.08</v>
      </c>
      <c r="E265" s="59">
        <v>41084</v>
      </c>
      <c r="F265" s="58">
        <v>6966</v>
      </c>
      <c r="G265" s="58">
        <v>618</v>
      </c>
      <c r="H265" s="58">
        <v>1081</v>
      </c>
      <c r="I265" s="58">
        <v>6494</v>
      </c>
      <c r="J265" s="58">
        <v>0</v>
      </c>
      <c r="K265" s="1">
        <f t="shared" si="29"/>
        <v>342763.48</v>
      </c>
      <c r="L265" s="1">
        <f t="shared" si="30"/>
        <v>1081</v>
      </c>
      <c r="M265" s="1">
        <f>VLOOKUP(B265,'[1]Срок Годности'!$A$2:$B$4,2,0)</f>
        <v>500</v>
      </c>
      <c r="N265" s="60">
        <f t="shared" si="31"/>
        <v>0</v>
      </c>
      <c r="O265" s="1" t="str">
        <f t="shared" si="32"/>
        <v>26 2012</v>
      </c>
      <c r="P265" s="1">
        <f t="shared" si="33"/>
        <v>23</v>
      </c>
      <c r="Q265" s="1">
        <f t="shared" ca="1" si="34"/>
        <v>4049</v>
      </c>
      <c r="S265" s="1">
        <f t="shared" si="28"/>
        <v>6494</v>
      </c>
    </row>
    <row r="266" spans="1:19" x14ac:dyDescent="0.2">
      <c r="A266" s="57" t="s">
        <v>235</v>
      </c>
      <c r="B266" s="57" t="s">
        <v>225</v>
      </c>
      <c r="C266" s="57" t="s">
        <v>226</v>
      </c>
      <c r="D266" s="58">
        <v>317.08</v>
      </c>
      <c r="E266" s="59">
        <v>41085</v>
      </c>
      <c r="F266" s="58">
        <v>6494</v>
      </c>
      <c r="G266" s="58">
        <v>890</v>
      </c>
      <c r="H266" s="58">
        <v>969</v>
      </c>
      <c r="I266" s="58">
        <v>6408</v>
      </c>
      <c r="J266" s="58">
        <v>0</v>
      </c>
      <c r="K266" s="1">
        <f t="shared" si="29"/>
        <v>307250.51999999996</v>
      </c>
      <c r="L266" s="1" t="str">
        <f t="shared" si="30"/>
        <v/>
      </c>
      <c r="M266" s="1">
        <f>VLOOKUP(B266,'[1]Срок Годности'!$A$2:$B$4,2,0)</f>
        <v>500</v>
      </c>
      <c r="N266" s="60">
        <f t="shared" si="31"/>
        <v>890</v>
      </c>
      <c r="O266" s="1" t="str">
        <f t="shared" si="32"/>
        <v>26 2012</v>
      </c>
      <c r="P266" s="1">
        <f t="shared" si="33"/>
        <v>23</v>
      </c>
      <c r="Q266" s="1">
        <f t="shared" ca="1" si="34"/>
        <v>4048</v>
      </c>
      <c r="S266" s="1">
        <f t="shared" si="28"/>
        <v>6408</v>
      </c>
    </row>
    <row r="267" spans="1:19" x14ac:dyDescent="0.2">
      <c r="A267" s="57" t="s">
        <v>235</v>
      </c>
      <c r="B267" s="57" t="s">
        <v>225</v>
      </c>
      <c r="C267" s="57" t="s">
        <v>226</v>
      </c>
      <c r="D267" s="58">
        <v>317.08</v>
      </c>
      <c r="E267" s="59">
        <v>41086</v>
      </c>
      <c r="F267" s="58">
        <v>6408</v>
      </c>
      <c r="G267" s="58">
        <v>877</v>
      </c>
      <c r="H267" s="58">
        <v>884</v>
      </c>
      <c r="I267" s="58">
        <v>6398</v>
      </c>
      <c r="J267" s="58">
        <v>0</v>
      </c>
      <c r="K267" s="1">
        <f t="shared" si="29"/>
        <v>280298.71999999997</v>
      </c>
      <c r="L267" s="1" t="str">
        <f t="shared" si="30"/>
        <v/>
      </c>
      <c r="M267" s="1">
        <f>VLOOKUP(B267,'[1]Срок Годности'!$A$2:$B$4,2,0)</f>
        <v>500</v>
      </c>
      <c r="N267" s="60">
        <f t="shared" si="31"/>
        <v>877</v>
      </c>
      <c r="O267" s="1" t="str">
        <f t="shared" si="32"/>
        <v>26 2012</v>
      </c>
      <c r="P267" s="1">
        <f t="shared" si="33"/>
        <v>23</v>
      </c>
      <c r="Q267" s="1">
        <f t="shared" ca="1" si="34"/>
        <v>4047</v>
      </c>
      <c r="S267" s="1">
        <f t="shared" si="28"/>
        <v>6398</v>
      </c>
    </row>
    <row r="268" spans="1:19" x14ac:dyDescent="0.2">
      <c r="A268" s="57" t="s">
        <v>235</v>
      </c>
      <c r="B268" s="57" t="s">
        <v>225</v>
      </c>
      <c r="C268" s="57" t="s">
        <v>226</v>
      </c>
      <c r="D268" s="58">
        <v>317.08</v>
      </c>
      <c r="E268" s="59">
        <v>41087</v>
      </c>
      <c r="F268" s="58">
        <v>6398</v>
      </c>
      <c r="G268" s="58">
        <v>957</v>
      </c>
      <c r="H268" s="58">
        <v>967</v>
      </c>
      <c r="I268" s="58">
        <v>6370</v>
      </c>
      <c r="J268" s="58">
        <v>0</v>
      </c>
      <c r="K268" s="1">
        <f t="shared" si="29"/>
        <v>306616.36</v>
      </c>
      <c r="L268" s="1" t="str">
        <f t="shared" si="30"/>
        <v/>
      </c>
      <c r="M268" s="1">
        <f>VLOOKUP(B268,'[1]Срок Годности'!$A$2:$B$4,2,0)</f>
        <v>500</v>
      </c>
      <c r="N268" s="60">
        <f t="shared" si="31"/>
        <v>957</v>
      </c>
      <c r="O268" s="1" t="str">
        <f t="shared" si="32"/>
        <v>26 2012</v>
      </c>
      <c r="P268" s="1">
        <f t="shared" si="33"/>
        <v>23</v>
      </c>
      <c r="Q268" s="1">
        <f t="shared" ca="1" si="34"/>
        <v>4046</v>
      </c>
      <c r="S268" s="1">
        <f t="shared" si="28"/>
        <v>6370</v>
      </c>
    </row>
    <row r="269" spans="1:19" x14ac:dyDescent="0.2">
      <c r="A269" s="57" t="s">
        <v>235</v>
      </c>
      <c r="B269" s="57" t="s">
        <v>225</v>
      </c>
      <c r="C269" s="57" t="s">
        <v>226</v>
      </c>
      <c r="D269" s="58">
        <v>317.08</v>
      </c>
      <c r="E269" s="59">
        <v>41088</v>
      </c>
      <c r="F269" s="58">
        <v>6370</v>
      </c>
      <c r="G269" s="58">
        <v>743</v>
      </c>
      <c r="H269" s="58">
        <v>940</v>
      </c>
      <c r="I269" s="58">
        <v>6168</v>
      </c>
      <c r="J269" s="58">
        <v>0</v>
      </c>
      <c r="K269" s="1">
        <f t="shared" si="29"/>
        <v>298055.2</v>
      </c>
      <c r="L269" s="1" t="str">
        <f t="shared" si="30"/>
        <v/>
      </c>
      <c r="M269" s="1">
        <f>VLOOKUP(B269,'[1]Срок Годности'!$A$2:$B$4,2,0)</f>
        <v>500</v>
      </c>
      <c r="N269" s="60">
        <f t="shared" si="31"/>
        <v>743</v>
      </c>
      <c r="O269" s="1" t="str">
        <f t="shared" si="32"/>
        <v>26 2012</v>
      </c>
      <c r="P269" s="1">
        <f t="shared" si="33"/>
        <v>23</v>
      </c>
      <c r="Q269" s="1">
        <f t="shared" ca="1" si="34"/>
        <v>4045</v>
      </c>
      <c r="S269" s="1">
        <f t="shared" si="28"/>
        <v>6168</v>
      </c>
    </row>
    <row r="270" spans="1:19" x14ac:dyDescent="0.2">
      <c r="A270" s="57" t="s">
        <v>235</v>
      </c>
      <c r="B270" s="57" t="s">
        <v>225</v>
      </c>
      <c r="C270" s="57" t="s">
        <v>226</v>
      </c>
      <c r="D270" s="58">
        <v>317.08</v>
      </c>
      <c r="E270" s="59">
        <v>41089</v>
      </c>
      <c r="F270" s="58">
        <v>6168</v>
      </c>
      <c r="G270" s="58">
        <v>1057</v>
      </c>
      <c r="H270" s="58">
        <v>1136</v>
      </c>
      <c r="I270" s="58">
        <v>6085</v>
      </c>
      <c r="J270" s="58">
        <v>0</v>
      </c>
      <c r="K270" s="1">
        <f t="shared" si="29"/>
        <v>360202.88</v>
      </c>
      <c r="L270" s="1">
        <f t="shared" si="30"/>
        <v>1136</v>
      </c>
      <c r="M270" s="1">
        <f>VLOOKUP(B270,'[1]Срок Годности'!$A$2:$B$4,2,0)</f>
        <v>500</v>
      </c>
      <c r="N270" s="60">
        <f t="shared" si="31"/>
        <v>1057</v>
      </c>
      <c r="O270" s="1" t="str">
        <f t="shared" si="32"/>
        <v>26 2012</v>
      </c>
      <c r="P270" s="1">
        <f t="shared" si="33"/>
        <v>23</v>
      </c>
      <c r="Q270" s="1">
        <f t="shared" ca="1" si="34"/>
        <v>4044</v>
      </c>
      <c r="S270" s="1">
        <f t="shared" si="28"/>
        <v>6085</v>
      </c>
    </row>
    <row r="271" spans="1:19" x14ac:dyDescent="0.2">
      <c r="A271" s="57" t="s">
        <v>235</v>
      </c>
      <c r="B271" s="57" t="s">
        <v>225</v>
      </c>
      <c r="C271" s="57" t="s">
        <v>226</v>
      </c>
      <c r="D271" s="58">
        <v>317.08</v>
      </c>
      <c r="E271" s="59">
        <v>41090</v>
      </c>
      <c r="F271" s="58">
        <v>6085</v>
      </c>
      <c r="G271" s="58">
        <v>953</v>
      </c>
      <c r="H271" s="58">
        <v>1368</v>
      </c>
      <c r="I271" s="58">
        <v>5660</v>
      </c>
      <c r="J271" s="58">
        <v>0</v>
      </c>
      <c r="K271" s="1">
        <f t="shared" si="29"/>
        <v>433765.44</v>
      </c>
      <c r="L271" s="1">
        <f t="shared" si="30"/>
        <v>1368</v>
      </c>
      <c r="M271" s="1">
        <f>VLOOKUP(B271,'[1]Срок Годности'!$A$2:$B$4,2,0)</f>
        <v>500</v>
      </c>
      <c r="N271" s="60">
        <f t="shared" si="31"/>
        <v>953</v>
      </c>
      <c r="O271" s="1" t="str">
        <f t="shared" si="32"/>
        <v>26 2012</v>
      </c>
      <c r="P271" s="1">
        <f t="shared" si="33"/>
        <v>23</v>
      </c>
      <c r="Q271" s="1">
        <f t="shared" ca="1" si="34"/>
        <v>4043</v>
      </c>
      <c r="S271" s="1">
        <f t="shared" si="28"/>
        <v>5660</v>
      </c>
    </row>
    <row r="272" spans="1:19" x14ac:dyDescent="0.2">
      <c r="A272" s="57" t="s">
        <v>235</v>
      </c>
      <c r="B272" s="57" t="s">
        <v>225</v>
      </c>
      <c r="C272" s="57" t="s">
        <v>226</v>
      </c>
      <c r="D272" s="58">
        <v>317.08</v>
      </c>
      <c r="E272" s="59">
        <v>41091</v>
      </c>
      <c r="F272" s="58">
        <v>5660</v>
      </c>
      <c r="G272" s="58">
        <v>1027</v>
      </c>
      <c r="H272" s="58">
        <v>1316</v>
      </c>
      <c r="I272" s="58">
        <v>5368</v>
      </c>
      <c r="J272" s="58">
        <v>0</v>
      </c>
      <c r="K272" s="1">
        <f t="shared" si="29"/>
        <v>417277.27999999997</v>
      </c>
      <c r="L272" s="1">
        <f t="shared" si="30"/>
        <v>1316</v>
      </c>
      <c r="M272" s="1">
        <f>VLOOKUP(B272,'[1]Срок Годности'!$A$2:$B$4,2,0)</f>
        <v>500</v>
      </c>
      <c r="N272" s="60">
        <f t="shared" si="31"/>
        <v>0</v>
      </c>
      <c r="O272" s="1" t="str">
        <f t="shared" si="32"/>
        <v>27 2012</v>
      </c>
      <c r="P272" s="1">
        <f t="shared" si="33"/>
        <v>23</v>
      </c>
      <c r="Q272" s="1">
        <f t="shared" ca="1" si="34"/>
        <v>4042</v>
      </c>
      <c r="S272" s="1">
        <f t="shared" si="28"/>
        <v>5368</v>
      </c>
    </row>
    <row r="273" spans="1:19" x14ac:dyDescent="0.2">
      <c r="A273" s="57" t="s">
        <v>235</v>
      </c>
      <c r="B273" s="57" t="s">
        <v>225</v>
      </c>
      <c r="C273" s="57" t="s">
        <v>226</v>
      </c>
      <c r="D273" s="58">
        <v>317.08</v>
      </c>
      <c r="E273" s="59">
        <v>41092</v>
      </c>
      <c r="F273" s="58">
        <v>5368</v>
      </c>
      <c r="G273" s="58">
        <v>1398</v>
      </c>
      <c r="H273" s="58">
        <v>1381</v>
      </c>
      <c r="I273" s="58">
        <v>5385</v>
      </c>
      <c r="J273" s="58">
        <v>0</v>
      </c>
      <c r="K273" s="1">
        <f t="shared" si="29"/>
        <v>437887.48</v>
      </c>
      <c r="L273" s="1">
        <f t="shared" si="30"/>
        <v>1381</v>
      </c>
      <c r="M273" s="1">
        <f>VLOOKUP(B273,'[1]Срок Годности'!$A$2:$B$4,2,0)</f>
        <v>500</v>
      </c>
      <c r="N273" s="60">
        <f t="shared" si="31"/>
        <v>1398</v>
      </c>
      <c r="O273" s="1" t="str">
        <f t="shared" si="32"/>
        <v>27 2012</v>
      </c>
      <c r="P273" s="1">
        <f t="shared" si="33"/>
        <v>23</v>
      </c>
      <c r="Q273" s="1">
        <f t="shared" ca="1" si="34"/>
        <v>4041</v>
      </c>
      <c r="S273" s="1">
        <f t="shared" si="28"/>
        <v>5385</v>
      </c>
    </row>
    <row r="274" spans="1:19" x14ac:dyDescent="0.2">
      <c r="A274" s="57" t="s">
        <v>235</v>
      </c>
      <c r="B274" s="57" t="s">
        <v>225</v>
      </c>
      <c r="C274" s="57" t="s">
        <v>226</v>
      </c>
      <c r="D274" s="58">
        <v>317.08</v>
      </c>
      <c r="E274" s="59">
        <v>41093</v>
      </c>
      <c r="F274" s="58">
        <v>5385</v>
      </c>
      <c r="G274" s="58">
        <v>1652</v>
      </c>
      <c r="H274" s="58">
        <v>1371</v>
      </c>
      <c r="I274" s="58">
        <v>5659</v>
      </c>
      <c r="J274" s="58">
        <v>0</v>
      </c>
      <c r="K274" s="1">
        <f t="shared" si="29"/>
        <v>434716.68</v>
      </c>
      <c r="L274" s="1">
        <f t="shared" si="30"/>
        <v>1371</v>
      </c>
      <c r="M274" s="1">
        <f>VLOOKUP(B274,'[1]Срок Годности'!$A$2:$B$4,2,0)</f>
        <v>500</v>
      </c>
      <c r="N274" s="60">
        <f t="shared" si="31"/>
        <v>1652</v>
      </c>
      <c r="O274" s="1" t="str">
        <f t="shared" si="32"/>
        <v>27 2012</v>
      </c>
      <c r="P274" s="1">
        <f t="shared" si="33"/>
        <v>23</v>
      </c>
      <c r="Q274" s="1">
        <f t="shared" ca="1" si="34"/>
        <v>4040</v>
      </c>
      <c r="S274" s="1">
        <f t="shared" si="28"/>
        <v>5659</v>
      </c>
    </row>
    <row r="275" spans="1:19" x14ac:dyDescent="0.2">
      <c r="A275" s="57" t="s">
        <v>235</v>
      </c>
      <c r="B275" s="57" t="s">
        <v>225</v>
      </c>
      <c r="C275" s="57" t="s">
        <v>226</v>
      </c>
      <c r="D275" s="58">
        <v>317.08</v>
      </c>
      <c r="E275" s="59">
        <v>41094</v>
      </c>
      <c r="F275" s="58">
        <v>5659</v>
      </c>
      <c r="G275" s="58">
        <v>1596</v>
      </c>
      <c r="H275" s="58">
        <v>1253</v>
      </c>
      <c r="I275" s="58">
        <v>5994</v>
      </c>
      <c r="J275" s="58">
        <v>0</v>
      </c>
      <c r="K275" s="1">
        <f t="shared" si="29"/>
        <v>397301.24</v>
      </c>
      <c r="L275" s="1">
        <f t="shared" si="30"/>
        <v>1253</v>
      </c>
      <c r="M275" s="1">
        <f>VLOOKUP(B275,'[1]Срок Годности'!$A$2:$B$4,2,0)</f>
        <v>500</v>
      </c>
      <c r="N275" s="60">
        <f t="shared" si="31"/>
        <v>1596</v>
      </c>
      <c r="O275" s="1" t="str">
        <f t="shared" si="32"/>
        <v>27 2012</v>
      </c>
      <c r="P275" s="1">
        <f t="shared" si="33"/>
        <v>23</v>
      </c>
      <c r="Q275" s="1">
        <f t="shared" ca="1" si="34"/>
        <v>4039</v>
      </c>
      <c r="S275" s="1">
        <f t="shared" si="28"/>
        <v>5994</v>
      </c>
    </row>
    <row r="276" spans="1:19" x14ac:dyDescent="0.2">
      <c r="A276" s="57" t="s">
        <v>235</v>
      </c>
      <c r="B276" s="57" t="s">
        <v>225</v>
      </c>
      <c r="C276" s="57" t="s">
        <v>226</v>
      </c>
      <c r="D276" s="58">
        <v>317.08</v>
      </c>
      <c r="E276" s="59">
        <v>41095</v>
      </c>
      <c r="F276" s="58">
        <v>5994</v>
      </c>
      <c r="G276" s="58">
        <v>1776</v>
      </c>
      <c r="H276" s="58">
        <v>1300</v>
      </c>
      <c r="I276" s="58">
        <v>6466</v>
      </c>
      <c r="J276" s="58">
        <v>0</v>
      </c>
      <c r="K276" s="1">
        <f t="shared" si="29"/>
        <v>412204</v>
      </c>
      <c r="L276" s="1">
        <f t="shared" si="30"/>
        <v>1300</v>
      </c>
      <c r="M276" s="1">
        <f>VLOOKUP(B276,'[1]Срок Годности'!$A$2:$B$4,2,0)</f>
        <v>500</v>
      </c>
      <c r="N276" s="60">
        <f t="shared" si="31"/>
        <v>1776</v>
      </c>
      <c r="O276" s="1" t="str">
        <f t="shared" si="32"/>
        <v>27 2012</v>
      </c>
      <c r="P276" s="1">
        <f t="shared" si="33"/>
        <v>23</v>
      </c>
      <c r="Q276" s="1">
        <f t="shared" ca="1" si="34"/>
        <v>4038</v>
      </c>
      <c r="S276" s="1">
        <f t="shared" si="28"/>
        <v>6466</v>
      </c>
    </row>
    <row r="277" spans="1:19" x14ac:dyDescent="0.2">
      <c r="A277" s="57" t="s">
        <v>235</v>
      </c>
      <c r="B277" s="57" t="s">
        <v>225</v>
      </c>
      <c r="C277" s="57" t="s">
        <v>226</v>
      </c>
      <c r="D277" s="58">
        <v>317.08</v>
      </c>
      <c r="E277" s="59">
        <v>41096</v>
      </c>
      <c r="F277" s="58">
        <v>6466</v>
      </c>
      <c r="G277" s="58">
        <v>1303</v>
      </c>
      <c r="H277" s="58">
        <v>1245</v>
      </c>
      <c r="I277" s="58">
        <v>6515</v>
      </c>
      <c r="J277" s="58">
        <v>0</v>
      </c>
      <c r="K277" s="1">
        <f t="shared" si="29"/>
        <v>394764.6</v>
      </c>
      <c r="L277" s="1">
        <f t="shared" si="30"/>
        <v>1245</v>
      </c>
      <c r="M277" s="1">
        <f>VLOOKUP(B277,'[1]Срок Годности'!$A$2:$B$4,2,0)</f>
        <v>500</v>
      </c>
      <c r="N277" s="60">
        <f t="shared" si="31"/>
        <v>1303</v>
      </c>
      <c r="O277" s="1" t="str">
        <f t="shared" si="32"/>
        <v>27 2012</v>
      </c>
      <c r="P277" s="1">
        <f t="shared" si="33"/>
        <v>23</v>
      </c>
      <c r="Q277" s="1">
        <f t="shared" ca="1" si="34"/>
        <v>4037</v>
      </c>
      <c r="S277" s="1">
        <f t="shared" si="28"/>
        <v>6515</v>
      </c>
    </row>
    <row r="278" spans="1:19" x14ac:dyDescent="0.2">
      <c r="A278" s="57" t="s">
        <v>235</v>
      </c>
      <c r="B278" s="57" t="s">
        <v>225</v>
      </c>
      <c r="C278" s="57" t="s">
        <v>226</v>
      </c>
      <c r="D278" s="58">
        <v>317.08</v>
      </c>
      <c r="E278" s="59">
        <v>41097</v>
      </c>
      <c r="F278" s="58">
        <v>6515</v>
      </c>
      <c r="G278" s="58">
        <v>1617</v>
      </c>
      <c r="H278" s="58">
        <v>1597</v>
      </c>
      <c r="I278" s="58">
        <v>6522</v>
      </c>
      <c r="J278" s="58">
        <v>0</v>
      </c>
      <c r="K278" s="1">
        <f t="shared" si="29"/>
        <v>506376.75999999995</v>
      </c>
      <c r="L278" s="1">
        <f t="shared" si="30"/>
        <v>1597</v>
      </c>
      <c r="M278" s="1">
        <f>VLOOKUP(B278,'[1]Срок Годности'!$A$2:$B$4,2,0)</f>
        <v>500</v>
      </c>
      <c r="N278" s="60">
        <f t="shared" si="31"/>
        <v>1617</v>
      </c>
      <c r="O278" s="1" t="str">
        <f t="shared" si="32"/>
        <v>27 2012</v>
      </c>
      <c r="P278" s="1">
        <f t="shared" si="33"/>
        <v>23</v>
      </c>
      <c r="Q278" s="1">
        <f t="shared" ca="1" si="34"/>
        <v>4036</v>
      </c>
      <c r="S278" s="1">
        <f t="shared" si="28"/>
        <v>6522</v>
      </c>
    </row>
    <row r="279" spans="1:19" x14ac:dyDescent="0.2">
      <c r="A279" s="57" t="s">
        <v>235</v>
      </c>
      <c r="B279" s="57" t="s">
        <v>225</v>
      </c>
      <c r="C279" s="57" t="s">
        <v>226</v>
      </c>
      <c r="D279" s="58">
        <v>317.08</v>
      </c>
      <c r="E279" s="59">
        <v>41098</v>
      </c>
      <c r="F279" s="58">
        <v>6522</v>
      </c>
      <c r="G279" s="58">
        <v>1205</v>
      </c>
      <c r="H279" s="58">
        <v>1227</v>
      </c>
      <c r="I279" s="58">
        <v>6496</v>
      </c>
      <c r="J279" s="58">
        <v>0</v>
      </c>
      <c r="K279" s="1">
        <f t="shared" si="29"/>
        <v>389057.16</v>
      </c>
      <c r="L279" s="1">
        <f t="shared" si="30"/>
        <v>1227</v>
      </c>
      <c r="M279" s="1">
        <f>VLOOKUP(B279,'[1]Срок Годности'!$A$2:$B$4,2,0)</f>
        <v>500</v>
      </c>
      <c r="N279" s="60">
        <f t="shared" si="31"/>
        <v>0</v>
      </c>
      <c r="O279" s="1" t="str">
        <f t="shared" si="32"/>
        <v>28 2012</v>
      </c>
      <c r="P279" s="1">
        <f t="shared" si="33"/>
        <v>23</v>
      </c>
      <c r="Q279" s="1">
        <f t="shared" ca="1" si="34"/>
        <v>4035</v>
      </c>
      <c r="S279" s="1">
        <f t="shared" si="28"/>
        <v>6496</v>
      </c>
    </row>
    <row r="280" spans="1:19" x14ac:dyDescent="0.2">
      <c r="A280" s="57" t="s">
        <v>235</v>
      </c>
      <c r="B280" s="57" t="s">
        <v>225</v>
      </c>
      <c r="C280" s="57" t="s">
        <v>226</v>
      </c>
      <c r="D280" s="58">
        <v>317.08</v>
      </c>
      <c r="E280" s="59">
        <v>41099</v>
      </c>
      <c r="F280" s="58">
        <v>6496</v>
      </c>
      <c r="G280" s="58">
        <v>1856</v>
      </c>
      <c r="H280" s="58">
        <v>953</v>
      </c>
      <c r="I280" s="58">
        <v>7375</v>
      </c>
      <c r="J280" s="58">
        <v>0</v>
      </c>
      <c r="K280" s="1">
        <f t="shared" si="29"/>
        <v>302177.24</v>
      </c>
      <c r="L280" s="1" t="str">
        <f t="shared" si="30"/>
        <v/>
      </c>
      <c r="M280" s="1">
        <f>VLOOKUP(B280,'[1]Срок Годности'!$A$2:$B$4,2,0)</f>
        <v>500</v>
      </c>
      <c r="N280" s="60">
        <f t="shared" si="31"/>
        <v>1856</v>
      </c>
      <c r="O280" s="1" t="str">
        <f t="shared" si="32"/>
        <v>28 2012</v>
      </c>
      <c r="P280" s="1">
        <f t="shared" si="33"/>
        <v>23</v>
      </c>
      <c r="Q280" s="1">
        <f t="shared" ca="1" si="34"/>
        <v>4034</v>
      </c>
      <c r="S280" s="1">
        <f t="shared" si="28"/>
        <v>7375</v>
      </c>
    </row>
    <row r="281" spans="1:19" x14ac:dyDescent="0.2">
      <c r="A281" s="57" t="s">
        <v>235</v>
      </c>
      <c r="B281" s="57" t="s">
        <v>225</v>
      </c>
      <c r="C281" s="57" t="s">
        <v>226</v>
      </c>
      <c r="D281" s="58">
        <v>317.08</v>
      </c>
      <c r="E281" s="59">
        <v>41100</v>
      </c>
      <c r="F281" s="58">
        <v>7375</v>
      </c>
      <c r="G281" s="58">
        <v>1369</v>
      </c>
      <c r="H281" s="58">
        <v>840</v>
      </c>
      <c r="I281" s="58">
        <v>7899</v>
      </c>
      <c r="J281" s="58">
        <v>0</v>
      </c>
      <c r="K281" s="1">
        <f t="shared" si="29"/>
        <v>266347.2</v>
      </c>
      <c r="L281" s="1" t="str">
        <f t="shared" si="30"/>
        <v/>
      </c>
      <c r="M281" s="1">
        <f>VLOOKUP(B281,'[1]Срок Годности'!$A$2:$B$4,2,0)</f>
        <v>500</v>
      </c>
      <c r="N281" s="60">
        <f t="shared" si="31"/>
        <v>1369</v>
      </c>
      <c r="O281" s="1" t="str">
        <f t="shared" si="32"/>
        <v>28 2012</v>
      </c>
      <c r="P281" s="1">
        <f t="shared" si="33"/>
        <v>23</v>
      </c>
      <c r="Q281" s="1">
        <f t="shared" ca="1" si="34"/>
        <v>4033</v>
      </c>
      <c r="S281" s="1">
        <f t="shared" si="28"/>
        <v>7899</v>
      </c>
    </row>
    <row r="282" spans="1:19" x14ac:dyDescent="0.2">
      <c r="A282" s="57" t="s">
        <v>235</v>
      </c>
      <c r="B282" s="57" t="s">
        <v>225</v>
      </c>
      <c r="C282" s="57" t="s">
        <v>226</v>
      </c>
      <c r="D282" s="58">
        <v>317.08</v>
      </c>
      <c r="E282" s="59">
        <v>41101</v>
      </c>
      <c r="F282" s="58">
        <v>7899</v>
      </c>
      <c r="G282" s="58">
        <v>844</v>
      </c>
      <c r="H282" s="58">
        <v>869</v>
      </c>
      <c r="I282" s="58">
        <v>7858</v>
      </c>
      <c r="J282" s="58">
        <v>0</v>
      </c>
      <c r="K282" s="1">
        <f t="shared" si="29"/>
        <v>275542.51999999996</v>
      </c>
      <c r="L282" s="1" t="str">
        <f t="shared" si="30"/>
        <v/>
      </c>
      <c r="M282" s="1">
        <f>VLOOKUP(B282,'[1]Срок Годности'!$A$2:$B$4,2,0)</f>
        <v>500</v>
      </c>
      <c r="N282" s="60">
        <f t="shared" si="31"/>
        <v>844</v>
      </c>
      <c r="O282" s="1" t="str">
        <f t="shared" si="32"/>
        <v>28 2012</v>
      </c>
      <c r="P282" s="1">
        <f t="shared" si="33"/>
        <v>23</v>
      </c>
      <c r="Q282" s="1">
        <f t="shared" ca="1" si="34"/>
        <v>4032</v>
      </c>
      <c r="S282" s="1">
        <f t="shared" si="28"/>
        <v>7858</v>
      </c>
    </row>
    <row r="283" spans="1:19" x14ac:dyDescent="0.2">
      <c r="A283" s="57" t="s">
        <v>235</v>
      </c>
      <c r="B283" s="57" t="s">
        <v>225</v>
      </c>
      <c r="C283" s="57" t="s">
        <v>226</v>
      </c>
      <c r="D283" s="58">
        <v>317.08</v>
      </c>
      <c r="E283" s="59">
        <v>41102</v>
      </c>
      <c r="F283" s="58">
        <v>7858</v>
      </c>
      <c r="G283" s="58">
        <v>448</v>
      </c>
      <c r="H283" s="58">
        <v>726</v>
      </c>
      <c r="I283" s="58">
        <v>7557</v>
      </c>
      <c r="J283" s="58">
        <v>0</v>
      </c>
      <c r="K283" s="1">
        <f t="shared" si="29"/>
        <v>230200.08</v>
      </c>
      <c r="L283" s="1" t="str">
        <f t="shared" si="30"/>
        <v/>
      </c>
      <c r="M283" s="1">
        <f>VLOOKUP(B283,'[1]Срок Годности'!$A$2:$B$4,2,0)</f>
        <v>500</v>
      </c>
      <c r="N283" s="60">
        <f t="shared" si="31"/>
        <v>448</v>
      </c>
      <c r="O283" s="1" t="str">
        <f t="shared" si="32"/>
        <v>28 2012</v>
      </c>
      <c r="P283" s="1">
        <f t="shared" si="33"/>
        <v>23</v>
      </c>
      <c r="Q283" s="1">
        <f t="shared" ca="1" si="34"/>
        <v>4031</v>
      </c>
      <c r="S283" s="1">
        <f t="shared" si="28"/>
        <v>7557</v>
      </c>
    </row>
    <row r="284" spans="1:19" x14ac:dyDescent="0.2">
      <c r="A284" s="57" t="s">
        <v>235</v>
      </c>
      <c r="B284" s="57" t="s">
        <v>225</v>
      </c>
      <c r="C284" s="57" t="s">
        <v>226</v>
      </c>
      <c r="D284" s="58">
        <v>317.08</v>
      </c>
      <c r="E284" s="59">
        <v>41103</v>
      </c>
      <c r="F284" s="58">
        <v>7557</v>
      </c>
      <c r="G284" s="58">
        <v>715</v>
      </c>
      <c r="H284" s="58">
        <v>685</v>
      </c>
      <c r="I284" s="58">
        <v>7582</v>
      </c>
      <c r="J284" s="58">
        <v>0</v>
      </c>
      <c r="K284" s="1">
        <f t="shared" si="29"/>
        <v>217199.8</v>
      </c>
      <c r="L284" s="1" t="str">
        <f t="shared" si="30"/>
        <v/>
      </c>
      <c r="M284" s="1">
        <f>VLOOKUP(B284,'[1]Срок Годности'!$A$2:$B$4,2,0)</f>
        <v>500</v>
      </c>
      <c r="N284" s="60">
        <f t="shared" si="31"/>
        <v>715</v>
      </c>
      <c r="O284" s="1" t="str">
        <f t="shared" si="32"/>
        <v>28 2012</v>
      </c>
      <c r="P284" s="1">
        <f t="shared" si="33"/>
        <v>23</v>
      </c>
      <c r="Q284" s="1">
        <f t="shared" ca="1" si="34"/>
        <v>4030</v>
      </c>
      <c r="S284" s="1">
        <f t="shared" si="28"/>
        <v>7582</v>
      </c>
    </row>
    <row r="285" spans="1:19" x14ac:dyDescent="0.2">
      <c r="A285" s="57" t="s">
        <v>235</v>
      </c>
      <c r="B285" s="57" t="s">
        <v>225</v>
      </c>
      <c r="C285" s="57" t="s">
        <v>226</v>
      </c>
      <c r="D285" s="58">
        <v>317.08</v>
      </c>
      <c r="E285" s="59">
        <v>41104</v>
      </c>
      <c r="F285" s="58">
        <v>7582</v>
      </c>
      <c r="G285" s="58">
        <v>495</v>
      </c>
      <c r="H285" s="58">
        <v>793</v>
      </c>
      <c r="I285" s="58">
        <v>7277</v>
      </c>
      <c r="J285" s="58">
        <v>0</v>
      </c>
      <c r="K285" s="1">
        <f t="shared" si="29"/>
        <v>251444.43999999997</v>
      </c>
      <c r="L285" s="1" t="str">
        <f t="shared" si="30"/>
        <v/>
      </c>
      <c r="M285" s="1">
        <f>VLOOKUP(B285,'[1]Срок Годности'!$A$2:$B$4,2,0)</f>
        <v>500</v>
      </c>
      <c r="N285" s="60">
        <f t="shared" si="31"/>
        <v>495</v>
      </c>
      <c r="O285" s="1" t="str">
        <f t="shared" si="32"/>
        <v>28 2012</v>
      </c>
      <c r="P285" s="1">
        <f t="shared" si="33"/>
        <v>23</v>
      </c>
      <c r="Q285" s="1">
        <f t="shared" ca="1" si="34"/>
        <v>4029</v>
      </c>
      <c r="S285" s="1">
        <f t="shared" si="28"/>
        <v>7277</v>
      </c>
    </row>
    <row r="286" spans="1:19" x14ac:dyDescent="0.2">
      <c r="A286" s="57" t="s">
        <v>235</v>
      </c>
      <c r="B286" s="57" t="s">
        <v>225</v>
      </c>
      <c r="C286" s="57" t="s">
        <v>226</v>
      </c>
      <c r="D286" s="58">
        <v>317.08</v>
      </c>
      <c r="E286" s="59">
        <v>41105</v>
      </c>
      <c r="F286" s="58">
        <v>7277</v>
      </c>
      <c r="G286" s="58">
        <v>350</v>
      </c>
      <c r="H286" s="58">
        <v>616</v>
      </c>
      <c r="I286" s="58">
        <v>7010</v>
      </c>
      <c r="J286" s="58">
        <v>0</v>
      </c>
      <c r="K286" s="1">
        <f t="shared" si="29"/>
        <v>195321.28</v>
      </c>
      <c r="L286" s="1" t="str">
        <f t="shared" si="30"/>
        <v/>
      </c>
      <c r="M286" s="1">
        <f>VLOOKUP(B286,'[1]Срок Годности'!$A$2:$B$4,2,0)</f>
        <v>500</v>
      </c>
      <c r="N286" s="60">
        <f t="shared" si="31"/>
        <v>0</v>
      </c>
      <c r="O286" s="1" t="str">
        <f t="shared" si="32"/>
        <v>29 2012</v>
      </c>
      <c r="P286" s="1">
        <f t="shared" si="33"/>
        <v>23</v>
      </c>
      <c r="Q286" s="1">
        <f t="shared" ca="1" si="34"/>
        <v>4028</v>
      </c>
      <c r="S286" s="1">
        <f t="shared" si="28"/>
        <v>7010</v>
      </c>
    </row>
    <row r="287" spans="1:19" x14ac:dyDescent="0.2">
      <c r="A287" s="57" t="s">
        <v>235</v>
      </c>
      <c r="B287" s="57" t="s">
        <v>225</v>
      </c>
      <c r="C287" s="57" t="s">
        <v>226</v>
      </c>
      <c r="D287" s="58">
        <v>317.08</v>
      </c>
      <c r="E287" s="59">
        <v>41106</v>
      </c>
      <c r="F287" s="58">
        <v>7010</v>
      </c>
      <c r="G287" s="58">
        <v>348</v>
      </c>
      <c r="H287" s="58">
        <v>538</v>
      </c>
      <c r="I287" s="58">
        <v>6815</v>
      </c>
      <c r="J287" s="58">
        <v>0</v>
      </c>
      <c r="K287" s="1">
        <f t="shared" si="29"/>
        <v>170589.03999999998</v>
      </c>
      <c r="L287" s="1" t="str">
        <f t="shared" si="30"/>
        <v/>
      </c>
      <c r="M287" s="1">
        <f>VLOOKUP(B287,'[1]Срок Годности'!$A$2:$B$4,2,0)</f>
        <v>500</v>
      </c>
      <c r="N287" s="60">
        <f t="shared" si="31"/>
        <v>348</v>
      </c>
      <c r="O287" s="1" t="str">
        <f t="shared" si="32"/>
        <v>29 2012</v>
      </c>
      <c r="P287" s="1">
        <f t="shared" si="33"/>
        <v>23</v>
      </c>
      <c r="Q287" s="1">
        <f t="shared" ca="1" si="34"/>
        <v>4027</v>
      </c>
      <c r="S287" s="1">
        <f t="shared" si="28"/>
        <v>6815</v>
      </c>
    </row>
    <row r="288" spans="1:19" x14ac:dyDescent="0.2">
      <c r="A288" s="57" t="s">
        <v>235</v>
      </c>
      <c r="B288" s="57" t="s">
        <v>225</v>
      </c>
      <c r="C288" s="57" t="s">
        <v>226</v>
      </c>
      <c r="D288" s="58">
        <v>317.08</v>
      </c>
      <c r="E288" s="59">
        <v>41107</v>
      </c>
      <c r="F288" s="58">
        <v>6815</v>
      </c>
      <c r="G288" s="58">
        <v>270</v>
      </c>
      <c r="H288" s="58">
        <v>427</v>
      </c>
      <c r="I288" s="58">
        <v>6655</v>
      </c>
      <c r="J288" s="58">
        <v>1</v>
      </c>
      <c r="K288" s="1">
        <f t="shared" si="29"/>
        <v>135393.16</v>
      </c>
      <c r="L288" s="1" t="str">
        <f t="shared" si="30"/>
        <v/>
      </c>
      <c r="M288" s="1">
        <f>VLOOKUP(B288,'[1]Срок Годности'!$A$2:$B$4,2,0)</f>
        <v>500</v>
      </c>
      <c r="N288" s="60">
        <f t="shared" si="31"/>
        <v>270</v>
      </c>
      <c r="O288" s="1" t="str">
        <f t="shared" si="32"/>
        <v>29 2012</v>
      </c>
      <c r="P288" s="1">
        <f t="shared" si="33"/>
        <v>23</v>
      </c>
      <c r="Q288" s="1">
        <f t="shared" ca="1" si="34"/>
        <v>4026</v>
      </c>
      <c r="S288" s="1">
        <f t="shared" si="28"/>
        <v>6654</v>
      </c>
    </row>
    <row r="289" spans="1:19" x14ac:dyDescent="0.2">
      <c r="A289" s="57" t="s">
        <v>235</v>
      </c>
      <c r="B289" s="57" t="s">
        <v>244</v>
      </c>
      <c r="C289" s="57" t="s">
        <v>245</v>
      </c>
      <c r="D289" s="58">
        <v>33.659999999999997</v>
      </c>
      <c r="E289" s="59">
        <v>41061</v>
      </c>
      <c r="F289" s="58">
        <v>94631.000243999995</v>
      </c>
      <c r="G289" s="58">
        <v>21038</v>
      </c>
      <c r="H289" s="58">
        <v>18840</v>
      </c>
      <c r="I289" s="58">
        <v>96712.000243999995</v>
      </c>
      <c r="J289" s="58">
        <v>0</v>
      </c>
      <c r="K289" s="1">
        <f t="shared" si="29"/>
        <v>634154.39999999991</v>
      </c>
      <c r="L289" s="1">
        <f t="shared" si="30"/>
        <v>18840</v>
      </c>
      <c r="M289" s="1">
        <f>VLOOKUP(B289,'[1]Срок Годности'!$A$2:$B$4,2,0)</f>
        <v>1500</v>
      </c>
      <c r="N289" s="60">
        <f t="shared" si="31"/>
        <v>21038</v>
      </c>
      <c r="O289" s="1" t="str">
        <f t="shared" si="32"/>
        <v>22 2012</v>
      </c>
      <c r="P289" s="1">
        <f t="shared" si="33"/>
        <v>21</v>
      </c>
      <c r="Q289" s="1">
        <f t="shared" ca="1" si="34"/>
        <v>4072</v>
      </c>
      <c r="S289" s="1">
        <f t="shared" si="28"/>
        <v>96712.000243999995</v>
      </c>
    </row>
    <row r="290" spans="1:19" x14ac:dyDescent="0.2">
      <c r="A290" s="57" t="s">
        <v>235</v>
      </c>
      <c r="B290" s="57" t="s">
        <v>244</v>
      </c>
      <c r="C290" s="57" t="s">
        <v>245</v>
      </c>
      <c r="D290" s="58">
        <v>33.659999999999997</v>
      </c>
      <c r="E290" s="59">
        <v>41062</v>
      </c>
      <c r="F290" s="58">
        <v>96712.000243999995</v>
      </c>
      <c r="G290" s="58">
        <v>27655</v>
      </c>
      <c r="H290" s="58">
        <v>19857</v>
      </c>
      <c r="I290" s="58">
        <v>104267.000244</v>
      </c>
      <c r="J290" s="58">
        <v>0</v>
      </c>
      <c r="K290" s="1">
        <f t="shared" si="29"/>
        <v>668386.61999999988</v>
      </c>
      <c r="L290" s="1">
        <f t="shared" si="30"/>
        <v>19857</v>
      </c>
      <c r="M290" s="1">
        <f>VLOOKUP(B290,'[1]Срок Годности'!$A$2:$B$4,2,0)</f>
        <v>1500</v>
      </c>
      <c r="N290" s="60">
        <f t="shared" si="31"/>
        <v>27655</v>
      </c>
      <c r="O290" s="1" t="str">
        <f t="shared" si="32"/>
        <v>22 2012</v>
      </c>
      <c r="P290" s="1">
        <f t="shared" si="33"/>
        <v>21</v>
      </c>
      <c r="Q290" s="1">
        <f t="shared" ca="1" si="34"/>
        <v>4071</v>
      </c>
      <c r="S290" s="1">
        <f t="shared" si="28"/>
        <v>104267.000244</v>
      </c>
    </row>
    <row r="291" spans="1:19" x14ac:dyDescent="0.2">
      <c r="A291" s="57" t="s">
        <v>235</v>
      </c>
      <c r="B291" s="57" t="s">
        <v>244</v>
      </c>
      <c r="C291" s="57" t="s">
        <v>245</v>
      </c>
      <c r="D291" s="58">
        <v>33.659999999999997</v>
      </c>
      <c r="E291" s="59">
        <v>41063</v>
      </c>
      <c r="F291" s="58">
        <v>104267.000244</v>
      </c>
      <c r="G291" s="58">
        <v>26398</v>
      </c>
      <c r="H291" s="58">
        <v>19549</v>
      </c>
      <c r="I291" s="58">
        <v>111154.000244</v>
      </c>
      <c r="J291" s="58">
        <v>1</v>
      </c>
      <c r="K291" s="1">
        <f t="shared" si="29"/>
        <v>658019.34</v>
      </c>
      <c r="L291" s="1">
        <f t="shared" si="30"/>
        <v>19549</v>
      </c>
      <c r="M291" s="1">
        <f>VLOOKUP(B291,'[1]Срок Годности'!$A$2:$B$4,2,0)</f>
        <v>1500</v>
      </c>
      <c r="N291" s="60">
        <f t="shared" si="31"/>
        <v>0</v>
      </c>
      <c r="O291" s="1" t="str">
        <f t="shared" si="32"/>
        <v>23 2012</v>
      </c>
      <c r="P291" s="1">
        <f t="shared" si="33"/>
        <v>21</v>
      </c>
      <c r="Q291" s="1">
        <f t="shared" ca="1" si="34"/>
        <v>4070</v>
      </c>
      <c r="S291" s="1">
        <f t="shared" si="28"/>
        <v>111153.000244</v>
      </c>
    </row>
    <row r="292" spans="1:19" x14ac:dyDescent="0.2">
      <c r="A292" s="57" t="s">
        <v>235</v>
      </c>
      <c r="B292" s="57" t="s">
        <v>244</v>
      </c>
      <c r="C292" s="57" t="s">
        <v>245</v>
      </c>
      <c r="D292" s="58">
        <v>33.659999999999997</v>
      </c>
      <c r="E292" s="59">
        <v>41064</v>
      </c>
      <c r="F292" s="58">
        <v>111154.000244</v>
      </c>
      <c r="G292" s="58">
        <v>15277</v>
      </c>
      <c r="H292" s="58">
        <v>21436</v>
      </c>
      <c r="I292" s="58">
        <v>104807.000244</v>
      </c>
      <c r="J292" s="58">
        <v>4</v>
      </c>
      <c r="K292" s="1">
        <f t="shared" si="29"/>
        <v>721535.75999999989</v>
      </c>
      <c r="L292" s="1">
        <f t="shared" si="30"/>
        <v>21436</v>
      </c>
      <c r="M292" s="1">
        <f>VLOOKUP(B292,'[1]Срок Годности'!$A$2:$B$4,2,0)</f>
        <v>1500</v>
      </c>
      <c r="N292" s="60">
        <f t="shared" si="31"/>
        <v>15277</v>
      </c>
      <c r="O292" s="1" t="str">
        <f t="shared" si="32"/>
        <v>23 2012</v>
      </c>
      <c r="P292" s="1">
        <f t="shared" si="33"/>
        <v>21</v>
      </c>
      <c r="Q292" s="1">
        <f t="shared" ca="1" si="34"/>
        <v>4069</v>
      </c>
      <c r="S292" s="1">
        <f t="shared" si="28"/>
        <v>104803.000244</v>
      </c>
    </row>
    <row r="293" spans="1:19" x14ac:dyDescent="0.2">
      <c r="A293" s="57" t="s">
        <v>235</v>
      </c>
      <c r="B293" s="57" t="s">
        <v>244</v>
      </c>
      <c r="C293" s="57" t="s">
        <v>245</v>
      </c>
      <c r="D293" s="58">
        <v>33.659999999999997</v>
      </c>
      <c r="E293" s="59">
        <v>41065</v>
      </c>
      <c r="F293" s="58">
        <v>104807.000244</v>
      </c>
      <c r="G293" s="58">
        <v>37</v>
      </c>
      <c r="H293" s="58">
        <v>19701</v>
      </c>
      <c r="I293" s="58">
        <v>85044.000243999995</v>
      </c>
      <c r="J293" s="58">
        <v>2</v>
      </c>
      <c r="K293" s="1">
        <f t="shared" si="29"/>
        <v>663135.65999999992</v>
      </c>
      <c r="L293" s="1">
        <f t="shared" si="30"/>
        <v>19701</v>
      </c>
      <c r="M293" s="1">
        <f>VLOOKUP(B293,'[1]Срок Годности'!$A$2:$B$4,2,0)</f>
        <v>1500</v>
      </c>
      <c r="N293" s="60">
        <f t="shared" si="31"/>
        <v>37</v>
      </c>
      <c r="O293" s="1" t="str">
        <f t="shared" si="32"/>
        <v>23 2012</v>
      </c>
      <c r="P293" s="1">
        <f t="shared" si="33"/>
        <v>21</v>
      </c>
      <c r="Q293" s="1">
        <f t="shared" ca="1" si="34"/>
        <v>4068</v>
      </c>
      <c r="S293" s="1">
        <f t="shared" si="28"/>
        <v>85042.000243999995</v>
      </c>
    </row>
    <row r="294" spans="1:19" x14ac:dyDescent="0.2">
      <c r="A294" s="57" t="s">
        <v>235</v>
      </c>
      <c r="B294" s="57" t="s">
        <v>244</v>
      </c>
      <c r="C294" s="57" t="s">
        <v>245</v>
      </c>
      <c r="D294" s="58">
        <v>33.659999999999997</v>
      </c>
      <c r="E294" s="59">
        <v>41066</v>
      </c>
      <c r="F294" s="58">
        <v>85044.000243999995</v>
      </c>
      <c r="G294" s="58">
        <v>13428</v>
      </c>
      <c r="H294" s="58">
        <v>19883</v>
      </c>
      <c r="I294" s="58">
        <v>78433.000243999995</v>
      </c>
      <c r="J294" s="58">
        <v>2</v>
      </c>
      <c r="K294" s="1">
        <f t="shared" si="29"/>
        <v>669261.77999999991</v>
      </c>
      <c r="L294" s="1">
        <f t="shared" si="30"/>
        <v>19883</v>
      </c>
      <c r="M294" s="1">
        <f>VLOOKUP(B294,'[1]Срок Годности'!$A$2:$B$4,2,0)</f>
        <v>1500</v>
      </c>
      <c r="N294" s="60">
        <f t="shared" si="31"/>
        <v>13428</v>
      </c>
      <c r="O294" s="1" t="str">
        <f t="shared" si="32"/>
        <v>23 2012</v>
      </c>
      <c r="P294" s="1">
        <f t="shared" si="33"/>
        <v>21</v>
      </c>
      <c r="Q294" s="1">
        <f t="shared" ca="1" si="34"/>
        <v>4067</v>
      </c>
      <c r="S294" s="1">
        <f t="shared" si="28"/>
        <v>78431.000243999995</v>
      </c>
    </row>
    <row r="295" spans="1:19" x14ac:dyDescent="0.2">
      <c r="A295" s="57" t="s">
        <v>235</v>
      </c>
      <c r="B295" s="57" t="s">
        <v>244</v>
      </c>
      <c r="C295" s="57" t="s">
        <v>245</v>
      </c>
      <c r="D295" s="58">
        <v>33.659999999999997</v>
      </c>
      <c r="E295" s="59">
        <v>41067</v>
      </c>
      <c r="F295" s="58">
        <v>78433.000243999995</v>
      </c>
      <c r="G295" s="58">
        <v>54038</v>
      </c>
      <c r="H295" s="58">
        <v>21326</v>
      </c>
      <c r="I295" s="58">
        <v>110951.000244</v>
      </c>
      <c r="J295" s="58">
        <v>15</v>
      </c>
      <c r="K295" s="1">
        <f t="shared" si="29"/>
        <v>717833.15999999992</v>
      </c>
      <c r="L295" s="1">
        <f t="shared" si="30"/>
        <v>21326</v>
      </c>
      <c r="M295" s="1">
        <f>VLOOKUP(B295,'[1]Срок Годности'!$A$2:$B$4,2,0)</f>
        <v>1500</v>
      </c>
      <c r="N295" s="60">
        <f t="shared" si="31"/>
        <v>54038</v>
      </c>
      <c r="O295" s="1" t="str">
        <f t="shared" si="32"/>
        <v>23 2012</v>
      </c>
      <c r="P295" s="1">
        <f t="shared" si="33"/>
        <v>21</v>
      </c>
      <c r="Q295" s="1">
        <f t="shared" ca="1" si="34"/>
        <v>4066</v>
      </c>
      <c r="S295" s="1">
        <f t="shared" si="28"/>
        <v>110936.000244</v>
      </c>
    </row>
    <row r="296" spans="1:19" x14ac:dyDescent="0.2">
      <c r="A296" s="57" t="s">
        <v>235</v>
      </c>
      <c r="B296" s="57" t="s">
        <v>244</v>
      </c>
      <c r="C296" s="57" t="s">
        <v>245</v>
      </c>
      <c r="D296" s="58">
        <v>33.659999999999997</v>
      </c>
      <c r="E296" s="59">
        <v>41068</v>
      </c>
      <c r="F296" s="58">
        <v>110951.000244</v>
      </c>
      <c r="G296" s="58">
        <v>43698</v>
      </c>
      <c r="H296" s="58">
        <v>30166</v>
      </c>
      <c r="I296" s="58">
        <v>124304.000244</v>
      </c>
      <c r="J296" s="58">
        <v>3</v>
      </c>
      <c r="K296" s="1">
        <f t="shared" si="29"/>
        <v>1015387.5599999999</v>
      </c>
      <c r="L296" s="1">
        <f t="shared" si="30"/>
        <v>30166</v>
      </c>
      <c r="M296" s="1">
        <f>VLOOKUP(B296,'[1]Срок Годности'!$A$2:$B$4,2,0)</f>
        <v>1500</v>
      </c>
      <c r="N296" s="60">
        <f t="shared" si="31"/>
        <v>43698</v>
      </c>
      <c r="O296" s="1" t="str">
        <f t="shared" si="32"/>
        <v>23 2012</v>
      </c>
      <c r="P296" s="1">
        <f t="shared" si="33"/>
        <v>21</v>
      </c>
      <c r="Q296" s="1">
        <f t="shared" ca="1" si="34"/>
        <v>4065</v>
      </c>
      <c r="S296" s="1">
        <f t="shared" si="28"/>
        <v>124301.000244</v>
      </c>
    </row>
    <row r="297" spans="1:19" x14ac:dyDescent="0.2">
      <c r="A297" s="57" t="s">
        <v>235</v>
      </c>
      <c r="B297" s="57" t="s">
        <v>244</v>
      </c>
      <c r="C297" s="57" t="s">
        <v>245</v>
      </c>
      <c r="D297" s="58">
        <v>33.659999999999997</v>
      </c>
      <c r="E297" s="59">
        <v>41069</v>
      </c>
      <c r="F297" s="58">
        <v>124304.000244</v>
      </c>
      <c r="G297" s="58">
        <v>18107</v>
      </c>
      <c r="H297" s="58">
        <v>31116</v>
      </c>
      <c r="I297" s="58">
        <v>111174.000244</v>
      </c>
      <c r="J297" s="58">
        <v>2</v>
      </c>
      <c r="K297" s="1">
        <f t="shared" si="29"/>
        <v>1047364.5599999999</v>
      </c>
      <c r="L297" s="1">
        <f t="shared" si="30"/>
        <v>31116</v>
      </c>
      <c r="M297" s="1">
        <f>VLOOKUP(B297,'[1]Срок Годности'!$A$2:$B$4,2,0)</f>
        <v>1500</v>
      </c>
      <c r="N297" s="60">
        <f t="shared" si="31"/>
        <v>18107</v>
      </c>
      <c r="O297" s="1" t="str">
        <f t="shared" si="32"/>
        <v>23 2012</v>
      </c>
      <c r="P297" s="1">
        <f t="shared" si="33"/>
        <v>21</v>
      </c>
      <c r="Q297" s="1">
        <f t="shared" ca="1" si="34"/>
        <v>4064</v>
      </c>
      <c r="S297" s="1">
        <f t="shared" si="28"/>
        <v>111172.000244</v>
      </c>
    </row>
    <row r="298" spans="1:19" x14ac:dyDescent="0.2">
      <c r="A298" s="57" t="s">
        <v>235</v>
      </c>
      <c r="B298" s="57" t="s">
        <v>244</v>
      </c>
      <c r="C298" s="57" t="s">
        <v>245</v>
      </c>
      <c r="D298" s="58">
        <v>33.659999999999997</v>
      </c>
      <c r="E298" s="59">
        <v>41070</v>
      </c>
      <c r="F298" s="58">
        <v>111174.000244</v>
      </c>
      <c r="G298" s="58">
        <v>30334</v>
      </c>
      <c r="H298" s="58">
        <v>29205</v>
      </c>
      <c r="I298" s="58">
        <v>112092.000244</v>
      </c>
      <c r="J298" s="58">
        <v>0</v>
      </c>
      <c r="K298" s="1">
        <f t="shared" si="29"/>
        <v>983040.29999999993</v>
      </c>
      <c r="L298" s="1">
        <f t="shared" si="30"/>
        <v>29205</v>
      </c>
      <c r="M298" s="1">
        <f>VLOOKUP(B298,'[1]Срок Годности'!$A$2:$B$4,2,0)</f>
        <v>1500</v>
      </c>
      <c r="N298" s="60">
        <f t="shared" si="31"/>
        <v>0</v>
      </c>
      <c r="O298" s="1" t="str">
        <f t="shared" si="32"/>
        <v>24 2012</v>
      </c>
      <c r="P298" s="1">
        <f t="shared" si="33"/>
        <v>21</v>
      </c>
      <c r="Q298" s="1">
        <f t="shared" ca="1" si="34"/>
        <v>4063</v>
      </c>
      <c r="S298" s="1">
        <f t="shared" si="28"/>
        <v>112092.000244</v>
      </c>
    </row>
    <row r="299" spans="1:19" x14ac:dyDescent="0.2">
      <c r="A299" s="57" t="s">
        <v>235</v>
      </c>
      <c r="B299" s="57" t="s">
        <v>244</v>
      </c>
      <c r="C299" s="57" t="s">
        <v>245</v>
      </c>
      <c r="D299" s="58">
        <v>33.659999999999997</v>
      </c>
      <c r="E299" s="59">
        <v>41071</v>
      </c>
      <c r="F299" s="58">
        <v>112092.000244</v>
      </c>
      <c r="G299" s="58">
        <v>24014</v>
      </c>
      <c r="H299" s="58">
        <v>29228</v>
      </c>
      <c r="I299" s="58">
        <v>106672.000244</v>
      </c>
      <c r="J299" s="58">
        <v>2</v>
      </c>
      <c r="K299" s="1">
        <f t="shared" si="29"/>
        <v>983814.47999999986</v>
      </c>
      <c r="L299" s="1">
        <f t="shared" si="30"/>
        <v>29228</v>
      </c>
      <c r="M299" s="1">
        <f>VLOOKUP(B299,'[1]Срок Годности'!$A$2:$B$4,2,0)</f>
        <v>1500</v>
      </c>
      <c r="N299" s="60">
        <f t="shared" si="31"/>
        <v>24014</v>
      </c>
      <c r="O299" s="1" t="str">
        <f t="shared" si="32"/>
        <v>24 2012</v>
      </c>
      <c r="P299" s="1">
        <f t="shared" si="33"/>
        <v>21</v>
      </c>
      <c r="Q299" s="1">
        <f t="shared" ca="1" si="34"/>
        <v>4062</v>
      </c>
      <c r="S299" s="1">
        <f t="shared" si="28"/>
        <v>106670.000244</v>
      </c>
    </row>
    <row r="300" spans="1:19" x14ac:dyDescent="0.2">
      <c r="A300" s="57" t="s">
        <v>235</v>
      </c>
      <c r="B300" s="57" t="s">
        <v>244</v>
      </c>
      <c r="C300" s="57" t="s">
        <v>245</v>
      </c>
      <c r="D300" s="58">
        <v>33.659999999999997</v>
      </c>
      <c r="E300" s="59">
        <v>41072</v>
      </c>
      <c r="F300" s="58">
        <v>106672.000244</v>
      </c>
      <c r="G300" s="58">
        <v>30823</v>
      </c>
      <c r="H300" s="58">
        <v>28667</v>
      </c>
      <c r="I300" s="58">
        <v>108795.000244</v>
      </c>
      <c r="J300" s="58">
        <v>3</v>
      </c>
      <c r="K300" s="1">
        <f t="shared" si="29"/>
        <v>964931.21999999986</v>
      </c>
      <c r="L300" s="1">
        <f t="shared" si="30"/>
        <v>28667</v>
      </c>
      <c r="M300" s="1">
        <f>VLOOKUP(B300,'[1]Срок Годности'!$A$2:$B$4,2,0)</f>
        <v>1500</v>
      </c>
      <c r="N300" s="60">
        <f t="shared" si="31"/>
        <v>30823</v>
      </c>
      <c r="O300" s="1" t="str">
        <f t="shared" si="32"/>
        <v>24 2012</v>
      </c>
      <c r="P300" s="1">
        <f t="shared" si="33"/>
        <v>21</v>
      </c>
      <c r="Q300" s="1">
        <f t="shared" ca="1" si="34"/>
        <v>4061</v>
      </c>
      <c r="S300" s="1">
        <f t="shared" si="28"/>
        <v>108792.000244</v>
      </c>
    </row>
    <row r="301" spans="1:19" x14ac:dyDescent="0.2">
      <c r="A301" s="57" t="s">
        <v>235</v>
      </c>
      <c r="B301" s="57" t="s">
        <v>244</v>
      </c>
      <c r="C301" s="57" t="s">
        <v>245</v>
      </c>
      <c r="D301" s="58">
        <v>33.659999999999997</v>
      </c>
      <c r="E301" s="59">
        <v>41073</v>
      </c>
      <c r="F301" s="58">
        <v>108795.000244</v>
      </c>
      <c r="G301" s="58">
        <v>27296</v>
      </c>
      <c r="H301" s="58">
        <v>30230</v>
      </c>
      <c r="I301" s="58">
        <v>105631.000244</v>
      </c>
      <c r="J301" s="58">
        <v>2</v>
      </c>
      <c r="K301" s="1">
        <f t="shared" si="29"/>
        <v>1017541.7999999999</v>
      </c>
      <c r="L301" s="1">
        <f t="shared" si="30"/>
        <v>30230</v>
      </c>
      <c r="M301" s="1">
        <f>VLOOKUP(B301,'[1]Срок Годности'!$A$2:$B$4,2,0)</f>
        <v>1500</v>
      </c>
      <c r="N301" s="60">
        <f t="shared" si="31"/>
        <v>27296</v>
      </c>
      <c r="O301" s="1" t="str">
        <f t="shared" si="32"/>
        <v>24 2012</v>
      </c>
      <c r="P301" s="1">
        <f t="shared" si="33"/>
        <v>21</v>
      </c>
      <c r="Q301" s="1">
        <f t="shared" ca="1" si="34"/>
        <v>4060</v>
      </c>
      <c r="S301" s="1">
        <f t="shared" si="28"/>
        <v>105629.000244</v>
      </c>
    </row>
    <row r="302" spans="1:19" x14ac:dyDescent="0.2">
      <c r="A302" s="57" t="s">
        <v>235</v>
      </c>
      <c r="B302" s="57" t="s">
        <v>244</v>
      </c>
      <c r="C302" s="57" t="s">
        <v>245</v>
      </c>
      <c r="D302" s="58">
        <v>33.659999999999997</v>
      </c>
      <c r="E302" s="59">
        <v>41074</v>
      </c>
      <c r="F302" s="58">
        <v>105631.000244</v>
      </c>
      <c r="G302" s="58">
        <v>29056</v>
      </c>
      <c r="H302" s="58">
        <v>26022</v>
      </c>
      <c r="I302" s="58">
        <v>108464.000244</v>
      </c>
      <c r="J302" s="58">
        <v>2</v>
      </c>
      <c r="K302" s="1">
        <f t="shared" si="29"/>
        <v>875900.5199999999</v>
      </c>
      <c r="L302" s="1">
        <f t="shared" si="30"/>
        <v>26022</v>
      </c>
      <c r="M302" s="1">
        <f>VLOOKUP(B302,'[1]Срок Годности'!$A$2:$B$4,2,0)</f>
        <v>1500</v>
      </c>
      <c r="N302" s="60">
        <f t="shared" si="31"/>
        <v>29056</v>
      </c>
      <c r="O302" s="1" t="str">
        <f t="shared" si="32"/>
        <v>24 2012</v>
      </c>
      <c r="P302" s="1">
        <f t="shared" si="33"/>
        <v>21</v>
      </c>
      <c r="Q302" s="1">
        <f t="shared" ca="1" si="34"/>
        <v>4059</v>
      </c>
      <c r="S302" s="1">
        <f t="shared" si="28"/>
        <v>108462.000244</v>
      </c>
    </row>
    <row r="303" spans="1:19" x14ac:dyDescent="0.2">
      <c r="A303" s="57" t="s">
        <v>235</v>
      </c>
      <c r="B303" s="57" t="s">
        <v>244</v>
      </c>
      <c r="C303" s="57" t="s">
        <v>245</v>
      </c>
      <c r="D303" s="58">
        <v>33.659999999999997</v>
      </c>
      <c r="E303" s="59">
        <v>41075</v>
      </c>
      <c r="F303" s="58">
        <v>108464.000244</v>
      </c>
      <c r="G303" s="58">
        <v>27554</v>
      </c>
      <c r="H303" s="58">
        <v>26469</v>
      </c>
      <c r="I303" s="58">
        <v>109424.000244</v>
      </c>
      <c r="J303" s="58">
        <v>0</v>
      </c>
      <c r="K303" s="1">
        <f t="shared" si="29"/>
        <v>890946.53999999992</v>
      </c>
      <c r="L303" s="1">
        <f t="shared" si="30"/>
        <v>26469</v>
      </c>
      <c r="M303" s="1">
        <f>VLOOKUP(B303,'[1]Срок Годности'!$A$2:$B$4,2,0)</f>
        <v>1500</v>
      </c>
      <c r="N303" s="60">
        <f t="shared" si="31"/>
        <v>27554</v>
      </c>
      <c r="O303" s="1" t="str">
        <f t="shared" si="32"/>
        <v>24 2012</v>
      </c>
      <c r="P303" s="1">
        <f t="shared" si="33"/>
        <v>21</v>
      </c>
      <c r="Q303" s="1">
        <f t="shared" ca="1" si="34"/>
        <v>4058</v>
      </c>
      <c r="S303" s="1">
        <f t="shared" si="28"/>
        <v>109424.000244</v>
      </c>
    </row>
    <row r="304" spans="1:19" x14ac:dyDescent="0.2">
      <c r="A304" s="57" t="s">
        <v>235</v>
      </c>
      <c r="B304" s="57" t="s">
        <v>244</v>
      </c>
      <c r="C304" s="57" t="s">
        <v>245</v>
      </c>
      <c r="D304" s="58">
        <v>33.659999999999997</v>
      </c>
      <c r="E304" s="59">
        <v>41076</v>
      </c>
      <c r="F304" s="58">
        <v>109424.000244</v>
      </c>
      <c r="G304" s="58">
        <v>29056</v>
      </c>
      <c r="H304" s="58">
        <v>23616</v>
      </c>
      <c r="I304" s="58">
        <v>114748.000244</v>
      </c>
      <c r="J304" s="58">
        <v>0</v>
      </c>
      <c r="K304" s="1">
        <f t="shared" si="29"/>
        <v>794914.55999999994</v>
      </c>
      <c r="L304" s="1">
        <f t="shared" si="30"/>
        <v>23616</v>
      </c>
      <c r="M304" s="1">
        <f>VLOOKUP(B304,'[1]Срок Годности'!$A$2:$B$4,2,0)</f>
        <v>1500</v>
      </c>
      <c r="N304" s="60">
        <f t="shared" si="31"/>
        <v>29056</v>
      </c>
      <c r="O304" s="1" t="str">
        <f t="shared" si="32"/>
        <v>24 2012</v>
      </c>
      <c r="P304" s="1">
        <f t="shared" si="33"/>
        <v>21</v>
      </c>
      <c r="Q304" s="1">
        <f t="shared" ca="1" si="34"/>
        <v>4057</v>
      </c>
      <c r="S304" s="1">
        <f t="shared" si="28"/>
        <v>114748.000244</v>
      </c>
    </row>
    <row r="305" spans="1:19" x14ac:dyDescent="0.2">
      <c r="A305" s="57" t="s">
        <v>235</v>
      </c>
      <c r="B305" s="57" t="s">
        <v>244</v>
      </c>
      <c r="C305" s="57" t="s">
        <v>245</v>
      </c>
      <c r="D305" s="58">
        <v>33.659999999999997</v>
      </c>
      <c r="E305" s="59">
        <v>41077</v>
      </c>
      <c r="F305" s="58">
        <v>114748.000244</v>
      </c>
      <c r="G305" s="58">
        <v>24735</v>
      </c>
      <c r="H305" s="58">
        <v>20855</v>
      </c>
      <c r="I305" s="58">
        <v>118472.000244</v>
      </c>
      <c r="J305" s="58">
        <v>2</v>
      </c>
      <c r="K305" s="1">
        <f t="shared" si="29"/>
        <v>701979.29999999993</v>
      </c>
      <c r="L305" s="1">
        <f t="shared" si="30"/>
        <v>20855</v>
      </c>
      <c r="M305" s="1">
        <f>VLOOKUP(B305,'[1]Срок Годности'!$A$2:$B$4,2,0)</f>
        <v>1500</v>
      </c>
      <c r="N305" s="60">
        <f t="shared" si="31"/>
        <v>0</v>
      </c>
      <c r="O305" s="1" t="str">
        <f t="shared" si="32"/>
        <v>25 2012</v>
      </c>
      <c r="P305" s="1">
        <f t="shared" si="33"/>
        <v>21</v>
      </c>
      <c r="Q305" s="1">
        <f t="shared" ca="1" si="34"/>
        <v>4056</v>
      </c>
      <c r="S305" s="1">
        <f t="shared" si="28"/>
        <v>118470.000244</v>
      </c>
    </row>
    <row r="306" spans="1:19" x14ac:dyDescent="0.2">
      <c r="A306" s="57" t="s">
        <v>235</v>
      </c>
      <c r="B306" s="57" t="s">
        <v>244</v>
      </c>
      <c r="C306" s="57" t="s">
        <v>245</v>
      </c>
      <c r="D306" s="58">
        <v>33.659999999999997</v>
      </c>
      <c r="E306" s="59">
        <v>41078</v>
      </c>
      <c r="F306" s="58">
        <v>118472.000244</v>
      </c>
      <c r="G306" s="58">
        <v>26303</v>
      </c>
      <c r="H306" s="58">
        <v>20131</v>
      </c>
      <c r="I306" s="58">
        <v>124589.000244</v>
      </c>
      <c r="J306" s="58">
        <v>0</v>
      </c>
      <c r="K306" s="1">
        <f t="shared" si="29"/>
        <v>677609.46</v>
      </c>
      <c r="L306" s="1">
        <f t="shared" si="30"/>
        <v>20131</v>
      </c>
      <c r="M306" s="1">
        <f>VLOOKUP(B306,'[1]Срок Годности'!$A$2:$B$4,2,0)</f>
        <v>1500</v>
      </c>
      <c r="N306" s="60">
        <f t="shared" si="31"/>
        <v>26303</v>
      </c>
      <c r="O306" s="1" t="str">
        <f t="shared" si="32"/>
        <v>25 2012</v>
      </c>
      <c r="P306" s="1">
        <f t="shared" si="33"/>
        <v>21</v>
      </c>
      <c r="Q306" s="1">
        <f t="shared" ca="1" si="34"/>
        <v>4055</v>
      </c>
      <c r="S306" s="1">
        <f t="shared" si="28"/>
        <v>124589.000244</v>
      </c>
    </row>
    <row r="307" spans="1:19" x14ac:dyDescent="0.2">
      <c r="A307" s="57" t="s">
        <v>235</v>
      </c>
      <c r="B307" s="57" t="s">
        <v>244</v>
      </c>
      <c r="C307" s="57" t="s">
        <v>245</v>
      </c>
      <c r="D307" s="58">
        <v>33.659999999999997</v>
      </c>
      <c r="E307" s="59">
        <v>41079</v>
      </c>
      <c r="F307" s="58">
        <v>124589.000244</v>
      </c>
      <c r="G307" s="58">
        <v>27225</v>
      </c>
      <c r="H307" s="58">
        <v>19545</v>
      </c>
      <c r="I307" s="58">
        <v>131903.000244</v>
      </c>
      <c r="J307" s="58">
        <v>0</v>
      </c>
      <c r="K307" s="1">
        <f t="shared" si="29"/>
        <v>657884.69999999995</v>
      </c>
      <c r="L307" s="1">
        <f t="shared" si="30"/>
        <v>19545</v>
      </c>
      <c r="M307" s="1">
        <f>VLOOKUP(B307,'[1]Срок Годности'!$A$2:$B$4,2,0)</f>
        <v>1500</v>
      </c>
      <c r="N307" s="60">
        <f t="shared" si="31"/>
        <v>27225</v>
      </c>
      <c r="O307" s="1" t="str">
        <f t="shared" si="32"/>
        <v>25 2012</v>
      </c>
      <c r="P307" s="1">
        <f t="shared" si="33"/>
        <v>21</v>
      </c>
      <c r="Q307" s="1">
        <f t="shared" ca="1" si="34"/>
        <v>4054</v>
      </c>
      <c r="S307" s="1">
        <f t="shared" si="28"/>
        <v>131903.000244</v>
      </c>
    </row>
    <row r="308" spans="1:19" x14ac:dyDescent="0.2">
      <c r="A308" s="57" t="s">
        <v>235</v>
      </c>
      <c r="B308" s="57" t="s">
        <v>244</v>
      </c>
      <c r="C308" s="57" t="s">
        <v>245</v>
      </c>
      <c r="D308" s="58">
        <v>33.659999999999997</v>
      </c>
      <c r="E308" s="59">
        <v>41080</v>
      </c>
      <c r="F308" s="58">
        <v>131903.000244</v>
      </c>
      <c r="G308" s="58">
        <v>23492</v>
      </c>
      <c r="H308" s="58">
        <v>19411</v>
      </c>
      <c r="I308" s="58">
        <v>135890.000244</v>
      </c>
      <c r="J308" s="58">
        <v>0</v>
      </c>
      <c r="K308" s="1">
        <f t="shared" si="29"/>
        <v>653374.25999999989</v>
      </c>
      <c r="L308" s="1">
        <f t="shared" si="30"/>
        <v>19411</v>
      </c>
      <c r="M308" s="1">
        <f>VLOOKUP(B308,'[1]Срок Годности'!$A$2:$B$4,2,0)</f>
        <v>1500</v>
      </c>
      <c r="N308" s="60">
        <f t="shared" si="31"/>
        <v>23492</v>
      </c>
      <c r="O308" s="1" t="str">
        <f t="shared" si="32"/>
        <v>25 2012</v>
      </c>
      <c r="P308" s="1">
        <f t="shared" si="33"/>
        <v>21</v>
      </c>
      <c r="Q308" s="1">
        <f t="shared" ca="1" si="34"/>
        <v>4053</v>
      </c>
      <c r="S308" s="1">
        <f t="shared" si="28"/>
        <v>135890.000244</v>
      </c>
    </row>
    <row r="309" spans="1:19" x14ac:dyDescent="0.2">
      <c r="A309" s="57" t="s">
        <v>235</v>
      </c>
      <c r="B309" s="57" t="s">
        <v>244</v>
      </c>
      <c r="C309" s="57" t="s">
        <v>245</v>
      </c>
      <c r="D309" s="58">
        <v>33.659999999999997</v>
      </c>
      <c r="E309" s="59">
        <v>41081</v>
      </c>
      <c r="F309" s="58">
        <v>135890.000244</v>
      </c>
      <c r="G309" s="58">
        <v>19435</v>
      </c>
      <c r="H309" s="58">
        <v>18449</v>
      </c>
      <c r="I309" s="58">
        <v>136717.000244</v>
      </c>
      <c r="J309" s="58">
        <v>0</v>
      </c>
      <c r="K309" s="1">
        <f t="shared" si="29"/>
        <v>620993.34</v>
      </c>
      <c r="L309" s="1">
        <f t="shared" si="30"/>
        <v>18449</v>
      </c>
      <c r="M309" s="1">
        <f>VLOOKUP(B309,'[1]Срок Годности'!$A$2:$B$4,2,0)</f>
        <v>1500</v>
      </c>
      <c r="N309" s="60">
        <f t="shared" si="31"/>
        <v>19435</v>
      </c>
      <c r="O309" s="1" t="str">
        <f t="shared" si="32"/>
        <v>25 2012</v>
      </c>
      <c r="P309" s="1">
        <f t="shared" si="33"/>
        <v>21</v>
      </c>
      <c r="Q309" s="1">
        <f t="shared" ca="1" si="34"/>
        <v>4052</v>
      </c>
      <c r="S309" s="1">
        <f t="shared" si="28"/>
        <v>136717.000244</v>
      </c>
    </row>
    <row r="310" spans="1:19" x14ac:dyDescent="0.2">
      <c r="A310" s="57" t="s">
        <v>235</v>
      </c>
      <c r="B310" s="57" t="s">
        <v>244</v>
      </c>
      <c r="C310" s="57" t="s">
        <v>245</v>
      </c>
      <c r="D310" s="58">
        <v>33.659999999999997</v>
      </c>
      <c r="E310" s="59">
        <v>41082</v>
      </c>
      <c r="F310" s="58">
        <v>136717.000244</v>
      </c>
      <c r="G310" s="58">
        <v>17623</v>
      </c>
      <c r="H310" s="58">
        <v>19483</v>
      </c>
      <c r="I310" s="58">
        <v>134774.000244</v>
      </c>
      <c r="J310" s="58">
        <v>0</v>
      </c>
      <c r="K310" s="1">
        <f t="shared" si="29"/>
        <v>655797.77999999991</v>
      </c>
      <c r="L310" s="1">
        <f t="shared" si="30"/>
        <v>19483</v>
      </c>
      <c r="M310" s="1">
        <f>VLOOKUP(B310,'[1]Срок Годности'!$A$2:$B$4,2,0)</f>
        <v>1500</v>
      </c>
      <c r="N310" s="60">
        <f t="shared" si="31"/>
        <v>17623</v>
      </c>
      <c r="O310" s="1" t="str">
        <f t="shared" si="32"/>
        <v>25 2012</v>
      </c>
      <c r="P310" s="1">
        <f t="shared" si="33"/>
        <v>21</v>
      </c>
      <c r="Q310" s="1">
        <f t="shared" ca="1" si="34"/>
        <v>4051</v>
      </c>
      <c r="S310" s="1">
        <f t="shared" si="28"/>
        <v>134774.000244</v>
      </c>
    </row>
    <row r="311" spans="1:19" x14ac:dyDescent="0.2">
      <c r="A311" s="57" t="s">
        <v>235</v>
      </c>
      <c r="B311" s="57" t="s">
        <v>244</v>
      </c>
      <c r="C311" s="57" t="s">
        <v>245</v>
      </c>
      <c r="D311" s="58">
        <v>33.659999999999997</v>
      </c>
      <c r="E311" s="59">
        <v>41083</v>
      </c>
      <c r="F311" s="58">
        <v>134774.000244</v>
      </c>
      <c r="G311" s="58">
        <v>18528</v>
      </c>
      <c r="H311" s="58">
        <v>20419</v>
      </c>
      <c r="I311" s="58">
        <v>132814.000244</v>
      </c>
      <c r="J311" s="58">
        <v>1</v>
      </c>
      <c r="K311" s="1">
        <f t="shared" si="29"/>
        <v>687303.53999999992</v>
      </c>
      <c r="L311" s="1">
        <f t="shared" si="30"/>
        <v>20419</v>
      </c>
      <c r="M311" s="1">
        <f>VLOOKUP(B311,'[1]Срок Годности'!$A$2:$B$4,2,0)</f>
        <v>1500</v>
      </c>
      <c r="N311" s="60">
        <f t="shared" si="31"/>
        <v>18528</v>
      </c>
      <c r="O311" s="1" t="str">
        <f t="shared" si="32"/>
        <v>25 2012</v>
      </c>
      <c r="P311" s="1">
        <f t="shared" si="33"/>
        <v>21</v>
      </c>
      <c r="Q311" s="1">
        <f t="shared" ca="1" si="34"/>
        <v>4050</v>
      </c>
      <c r="S311" s="1">
        <f t="shared" si="28"/>
        <v>132813.000244</v>
      </c>
    </row>
    <row r="312" spans="1:19" x14ac:dyDescent="0.2">
      <c r="A312" s="57" t="s">
        <v>235</v>
      </c>
      <c r="B312" s="57" t="s">
        <v>244</v>
      </c>
      <c r="C312" s="57" t="s">
        <v>245</v>
      </c>
      <c r="D312" s="58">
        <v>33.659999999999997</v>
      </c>
      <c r="E312" s="59">
        <v>41084</v>
      </c>
      <c r="F312" s="58">
        <v>132814.000244</v>
      </c>
      <c r="G312" s="58">
        <v>17341</v>
      </c>
      <c r="H312" s="58">
        <v>20297</v>
      </c>
      <c r="I312" s="58">
        <v>129772.000244</v>
      </c>
      <c r="J312" s="58">
        <v>0</v>
      </c>
      <c r="K312" s="1">
        <f t="shared" si="29"/>
        <v>683197.0199999999</v>
      </c>
      <c r="L312" s="1">
        <f t="shared" si="30"/>
        <v>20297</v>
      </c>
      <c r="M312" s="1">
        <f>VLOOKUP(B312,'[1]Срок Годности'!$A$2:$B$4,2,0)</f>
        <v>1500</v>
      </c>
      <c r="N312" s="60">
        <f t="shared" si="31"/>
        <v>0</v>
      </c>
      <c r="O312" s="1" t="str">
        <f t="shared" si="32"/>
        <v>26 2012</v>
      </c>
      <c r="P312" s="1">
        <f t="shared" si="33"/>
        <v>21</v>
      </c>
      <c r="Q312" s="1">
        <f t="shared" ca="1" si="34"/>
        <v>4049</v>
      </c>
      <c r="S312" s="1">
        <f t="shared" si="28"/>
        <v>129772.000244</v>
      </c>
    </row>
    <row r="313" spans="1:19" x14ac:dyDescent="0.2">
      <c r="A313" s="57" t="s">
        <v>235</v>
      </c>
      <c r="B313" s="57" t="s">
        <v>244</v>
      </c>
      <c r="C313" s="57" t="s">
        <v>245</v>
      </c>
      <c r="D313" s="58">
        <v>33.659999999999997</v>
      </c>
      <c r="E313" s="59">
        <v>41085</v>
      </c>
      <c r="F313" s="58">
        <v>129772.000244</v>
      </c>
      <c r="G313" s="58">
        <v>21142</v>
      </c>
      <c r="H313" s="58">
        <v>22060</v>
      </c>
      <c r="I313" s="58">
        <v>128751.000244</v>
      </c>
      <c r="J313" s="58">
        <v>4</v>
      </c>
      <c r="K313" s="1">
        <f t="shared" si="29"/>
        <v>742539.6</v>
      </c>
      <c r="L313" s="1">
        <f t="shared" si="30"/>
        <v>22060</v>
      </c>
      <c r="M313" s="1">
        <f>VLOOKUP(B313,'[1]Срок Годности'!$A$2:$B$4,2,0)</f>
        <v>1500</v>
      </c>
      <c r="N313" s="60">
        <f t="shared" si="31"/>
        <v>21142</v>
      </c>
      <c r="O313" s="1" t="str">
        <f t="shared" si="32"/>
        <v>26 2012</v>
      </c>
      <c r="P313" s="1">
        <f t="shared" si="33"/>
        <v>21</v>
      </c>
      <c r="Q313" s="1">
        <f t="shared" ca="1" si="34"/>
        <v>4048</v>
      </c>
      <c r="S313" s="1">
        <f t="shared" si="28"/>
        <v>128747.000244</v>
      </c>
    </row>
    <row r="314" spans="1:19" x14ac:dyDescent="0.2">
      <c r="A314" s="57" t="s">
        <v>235</v>
      </c>
      <c r="B314" s="57" t="s">
        <v>244</v>
      </c>
      <c r="C314" s="57" t="s">
        <v>245</v>
      </c>
      <c r="D314" s="58">
        <v>33.659999999999997</v>
      </c>
      <c r="E314" s="59">
        <v>41086</v>
      </c>
      <c r="F314" s="58">
        <v>128751.000244</v>
      </c>
      <c r="G314" s="58">
        <v>19747</v>
      </c>
      <c r="H314" s="58">
        <v>20949</v>
      </c>
      <c r="I314" s="58">
        <v>127462.000244</v>
      </c>
      <c r="J314" s="58">
        <v>0</v>
      </c>
      <c r="K314" s="1">
        <f t="shared" si="29"/>
        <v>705143.34</v>
      </c>
      <c r="L314" s="1">
        <f t="shared" si="30"/>
        <v>20949</v>
      </c>
      <c r="M314" s="1">
        <f>VLOOKUP(B314,'[1]Срок Годности'!$A$2:$B$4,2,0)</f>
        <v>1500</v>
      </c>
      <c r="N314" s="60">
        <f t="shared" si="31"/>
        <v>19747</v>
      </c>
      <c r="O314" s="1" t="str">
        <f t="shared" si="32"/>
        <v>26 2012</v>
      </c>
      <c r="P314" s="1">
        <f t="shared" si="33"/>
        <v>21</v>
      </c>
      <c r="Q314" s="1">
        <f t="shared" ca="1" si="34"/>
        <v>4047</v>
      </c>
      <c r="S314" s="1">
        <f t="shared" si="28"/>
        <v>127462.000244</v>
      </c>
    </row>
    <row r="315" spans="1:19" x14ac:dyDescent="0.2">
      <c r="A315" s="57" t="s">
        <v>235</v>
      </c>
      <c r="B315" s="57" t="s">
        <v>244</v>
      </c>
      <c r="C315" s="57" t="s">
        <v>245</v>
      </c>
      <c r="D315" s="58">
        <v>33.659999999999997</v>
      </c>
      <c r="E315" s="59">
        <v>41087</v>
      </c>
      <c r="F315" s="58">
        <v>127462.000244</v>
      </c>
      <c r="G315" s="58">
        <v>22499</v>
      </c>
      <c r="H315" s="58">
        <v>22175</v>
      </c>
      <c r="I315" s="58">
        <v>127650.000244</v>
      </c>
      <c r="J315" s="58">
        <v>0</v>
      </c>
      <c r="K315" s="1">
        <f t="shared" si="29"/>
        <v>746410.49999999988</v>
      </c>
      <c r="L315" s="1">
        <f t="shared" si="30"/>
        <v>22175</v>
      </c>
      <c r="M315" s="1">
        <f>VLOOKUP(B315,'[1]Срок Годности'!$A$2:$B$4,2,0)</f>
        <v>1500</v>
      </c>
      <c r="N315" s="60">
        <f t="shared" si="31"/>
        <v>22499</v>
      </c>
      <c r="O315" s="1" t="str">
        <f t="shared" si="32"/>
        <v>26 2012</v>
      </c>
      <c r="P315" s="1">
        <f t="shared" si="33"/>
        <v>21</v>
      </c>
      <c r="Q315" s="1">
        <f t="shared" ca="1" si="34"/>
        <v>4046</v>
      </c>
      <c r="S315" s="1">
        <f t="shared" si="28"/>
        <v>127650.000244</v>
      </c>
    </row>
    <row r="316" spans="1:19" x14ac:dyDescent="0.2">
      <c r="A316" s="57" t="s">
        <v>235</v>
      </c>
      <c r="B316" s="57" t="s">
        <v>244</v>
      </c>
      <c r="C316" s="57" t="s">
        <v>245</v>
      </c>
      <c r="D316" s="58">
        <v>33.659999999999997</v>
      </c>
      <c r="E316" s="59">
        <v>41088</v>
      </c>
      <c r="F316" s="58">
        <v>127650.000244</v>
      </c>
      <c r="G316" s="58">
        <v>21962</v>
      </c>
      <c r="H316" s="58">
        <v>21802</v>
      </c>
      <c r="I316" s="58">
        <v>127687.000244</v>
      </c>
      <c r="J316" s="58">
        <v>1</v>
      </c>
      <c r="K316" s="1">
        <f t="shared" si="29"/>
        <v>733855.32</v>
      </c>
      <c r="L316" s="1">
        <f t="shared" si="30"/>
        <v>21802</v>
      </c>
      <c r="M316" s="1">
        <f>VLOOKUP(B316,'[1]Срок Годности'!$A$2:$B$4,2,0)</f>
        <v>1500</v>
      </c>
      <c r="N316" s="60">
        <f t="shared" si="31"/>
        <v>21962</v>
      </c>
      <c r="O316" s="1" t="str">
        <f t="shared" si="32"/>
        <v>26 2012</v>
      </c>
      <c r="P316" s="1">
        <f t="shared" si="33"/>
        <v>21</v>
      </c>
      <c r="Q316" s="1">
        <f t="shared" ca="1" si="34"/>
        <v>4045</v>
      </c>
      <c r="S316" s="1">
        <f t="shared" si="28"/>
        <v>127686.000244</v>
      </c>
    </row>
    <row r="317" spans="1:19" x14ac:dyDescent="0.2">
      <c r="A317" s="57" t="s">
        <v>235</v>
      </c>
      <c r="B317" s="57" t="s">
        <v>244</v>
      </c>
      <c r="C317" s="57" t="s">
        <v>245</v>
      </c>
      <c r="D317" s="58">
        <v>33.659999999999997</v>
      </c>
      <c r="E317" s="59">
        <v>41089</v>
      </c>
      <c r="F317" s="58">
        <v>127687.000244</v>
      </c>
      <c r="G317" s="58">
        <v>24400</v>
      </c>
      <c r="H317" s="58">
        <v>20860</v>
      </c>
      <c r="I317" s="58">
        <v>131063.000244</v>
      </c>
      <c r="J317" s="58">
        <v>1</v>
      </c>
      <c r="K317" s="1">
        <f t="shared" si="29"/>
        <v>702147.6</v>
      </c>
      <c r="L317" s="1">
        <f t="shared" si="30"/>
        <v>20860</v>
      </c>
      <c r="M317" s="1">
        <f>VLOOKUP(B317,'[1]Срок Годности'!$A$2:$B$4,2,0)</f>
        <v>1500</v>
      </c>
      <c r="N317" s="60">
        <f t="shared" si="31"/>
        <v>24400</v>
      </c>
      <c r="O317" s="1" t="str">
        <f t="shared" si="32"/>
        <v>26 2012</v>
      </c>
      <c r="P317" s="1">
        <f t="shared" si="33"/>
        <v>21</v>
      </c>
      <c r="Q317" s="1">
        <f t="shared" ca="1" si="34"/>
        <v>4044</v>
      </c>
      <c r="S317" s="1">
        <f t="shared" si="28"/>
        <v>131062.000244</v>
      </c>
    </row>
    <row r="318" spans="1:19" x14ac:dyDescent="0.2">
      <c r="A318" s="57" t="s">
        <v>235</v>
      </c>
      <c r="B318" s="57" t="s">
        <v>244</v>
      </c>
      <c r="C318" s="57" t="s">
        <v>245</v>
      </c>
      <c r="D318" s="58">
        <v>33.659999999999997</v>
      </c>
      <c r="E318" s="59">
        <v>41090</v>
      </c>
      <c r="F318" s="58">
        <v>131063.000244</v>
      </c>
      <c r="G318" s="58">
        <v>24416</v>
      </c>
      <c r="H318" s="58">
        <v>23367</v>
      </c>
      <c r="I318" s="58">
        <v>131975.000244</v>
      </c>
      <c r="J318" s="58">
        <v>0</v>
      </c>
      <c r="K318" s="1">
        <f t="shared" si="29"/>
        <v>786533.22</v>
      </c>
      <c r="L318" s="1">
        <f t="shared" si="30"/>
        <v>23367</v>
      </c>
      <c r="M318" s="1">
        <f>VLOOKUP(B318,'[1]Срок Годности'!$A$2:$B$4,2,0)</f>
        <v>1500</v>
      </c>
      <c r="N318" s="60">
        <f t="shared" si="31"/>
        <v>24416</v>
      </c>
      <c r="O318" s="1" t="str">
        <f t="shared" si="32"/>
        <v>26 2012</v>
      </c>
      <c r="P318" s="1">
        <f t="shared" si="33"/>
        <v>21</v>
      </c>
      <c r="Q318" s="1">
        <f t="shared" ca="1" si="34"/>
        <v>4043</v>
      </c>
      <c r="S318" s="1">
        <f t="shared" si="28"/>
        <v>131975.000244</v>
      </c>
    </row>
    <row r="319" spans="1:19" x14ac:dyDescent="0.2">
      <c r="A319" s="57" t="s">
        <v>235</v>
      </c>
      <c r="B319" s="57" t="s">
        <v>244</v>
      </c>
      <c r="C319" s="57" t="s">
        <v>245</v>
      </c>
      <c r="D319" s="58">
        <v>33.659999999999997</v>
      </c>
      <c r="E319" s="59">
        <v>41091</v>
      </c>
      <c r="F319" s="58">
        <v>131975.000244</v>
      </c>
      <c r="G319" s="58">
        <v>20411</v>
      </c>
      <c r="H319" s="58">
        <v>23822</v>
      </c>
      <c r="I319" s="58">
        <v>128440.000244</v>
      </c>
      <c r="J319" s="58">
        <v>0</v>
      </c>
      <c r="K319" s="1">
        <f t="shared" si="29"/>
        <v>801848.5199999999</v>
      </c>
      <c r="L319" s="1">
        <f t="shared" si="30"/>
        <v>23822</v>
      </c>
      <c r="M319" s="1">
        <f>VLOOKUP(B319,'[1]Срок Годности'!$A$2:$B$4,2,0)</f>
        <v>1500</v>
      </c>
      <c r="N319" s="60">
        <f t="shared" si="31"/>
        <v>0</v>
      </c>
      <c r="O319" s="1" t="str">
        <f t="shared" si="32"/>
        <v>27 2012</v>
      </c>
      <c r="P319" s="1">
        <f t="shared" si="33"/>
        <v>21</v>
      </c>
      <c r="Q319" s="1">
        <f t="shared" ca="1" si="34"/>
        <v>4042</v>
      </c>
      <c r="S319" s="1">
        <f t="shared" si="28"/>
        <v>128440.000244</v>
      </c>
    </row>
    <row r="320" spans="1:19" x14ac:dyDescent="0.2">
      <c r="A320" s="57" t="s">
        <v>235</v>
      </c>
      <c r="B320" s="57" t="s">
        <v>244</v>
      </c>
      <c r="C320" s="57" t="s">
        <v>245</v>
      </c>
      <c r="D320" s="58">
        <v>33.659999999999997</v>
      </c>
      <c r="E320" s="59">
        <v>41092</v>
      </c>
      <c r="F320" s="58">
        <v>128440.000244</v>
      </c>
      <c r="G320" s="58">
        <v>27477</v>
      </c>
      <c r="H320" s="58">
        <v>25513</v>
      </c>
      <c r="I320" s="58">
        <v>130230.000244</v>
      </c>
      <c r="J320" s="58">
        <v>0</v>
      </c>
      <c r="K320" s="1">
        <f t="shared" si="29"/>
        <v>858767.58</v>
      </c>
      <c r="L320" s="1">
        <f t="shared" si="30"/>
        <v>25513</v>
      </c>
      <c r="M320" s="1">
        <f>VLOOKUP(B320,'[1]Срок Годности'!$A$2:$B$4,2,0)</f>
        <v>1500</v>
      </c>
      <c r="N320" s="60">
        <f t="shared" si="31"/>
        <v>27477</v>
      </c>
      <c r="O320" s="1" t="str">
        <f t="shared" si="32"/>
        <v>27 2012</v>
      </c>
      <c r="P320" s="1">
        <f t="shared" si="33"/>
        <v>21</v>
      </c>
      <c r="Q320" s="1">
        <f t="shared" ca="1" si="34"/>
        <v>4041</v>
      </c>
      <c r="S320" s="1">
        <f t="shared" si="28"/>
        <v>130230.000244</v>
      </c>
    </row>
    <row r="321" spans="1:19" x14ac:dyDescent="0.2">
      <c r="A321" s="57" t="s">
        <v>235</v>
      </c>
      <c r="B321" s="57" t="s">
        <v>244</v>
      </c>
      <c r="C321" s="57" t="s">
        <v>245</v>
      </c>
      <c r="D321" s="58">
        <v>33.659999999999997</v>
      </c>
      <c r="E321" s="59">
        <v>41093</v>
      </c>
      <c r="F321" s="58">
        <v>130230.000244</v>
      </c>
      <c r="G321" s="58">
        <v>32950</v>
      </c>
      <c r="H321" s="58">
        <v>23888</v>
      </c>
      <c r="I321" s="58">
        <v>139145.000244</v>
      </c>
      <c r="J321" s="58">
        <v>0</v>
      </c>
      <c r="K321" s="1">
        <f t="shared" si="29"/>
        <v>804070.08</v>
      </c>
      <c r="L321" s="1">
        <f t="shared" si="30"/>
        <v>23888</v>
      </c>
      <c r="M321" s="1">
        <f>VLOOKUP(B321,'[1]Срок Годности'!$A$2:$B$4,2,0)</f>
        <v>1500</v>
      </c>
      <c r="N321" s="60">
        <f t="shared" si="31"/>
        <v>32950</v>
      </c>
      <c r="O321" s="1" t="str">
        <f t="shared" si="32"/>
        <v>27 2012</v>
      </c>
      <c r="P321" s="1">
        <f t="shared" si="33"/>
        <v>21</v>
      </c>
      <c r="Q321" s="1">
        <f t="shared" ca="1" si="34"/>
        <v>4040</v>
      </c>
      <c r="S321" s="1">
        <f t="shared" si="28"/>
        <v>139145.000244</v>
      </c>
    </row>
    <row r="322" spans="1:19" x14ac:dyDescent="0.2">
      <c r="A322" s="57" t="s">
        <v>235</v>
      </c>
      <c r="B322" s="57" t="s">
        <v>244</v>
      </c>
      <c r="C322" s="57" t="s">
        <v>245</v>
      </c>
      <c r="D322" s="58">
        <v>33.659999999999997</v>
      </c>
      <c r="E322" s="59">
        <v>41094</v>
      </c>
      <c r="F322" s="58">
        <v>139145.000244</v>
      </c>
      <c r="G322" s="58">
        <v>28249</v>
      </c>
      <c r="H322" s="58">
        <v>23230</v>
      </c>
      <c r="I322" s="58">
        <v>143854.000244</v>
      </c>
      <c r="J322" s="58">
        <v>1</v>
      </c>
      <c r="K322" s="1">
        <f t="shared" si="29"/>
        <v>781921.79999999993</v>
      </c>
      <c r="L322" s="1">
        <f t="shared" si="30"/>
        <v>23230</v>
      </c>
      <c r="M322" s="1">
        <f>VLOOKUP(B322,'[1]Срок Годности'!$A$2:$B$4,2,0)</f>
        <v>1500</v>
      </c>
      <c r="N322" s="60">
        <f t="shared" si="31"/>
        <v>28249</v>
      </c>
      <c r="O322" s="1" t="str">
        <f t="shared" si="32"/>
        <v>27 2012</v>
      </c>
      <c r="P322" s="1">
        <f t="shared" si="33"/>
        <v>21</v>
      </c>
      <c r="Q322" s="1">
        <f t="shared" ca="1" si="34"/>
        <v>4039</v>
      </c>
      <c r="S322" s="1">
        <f t="shared" si="28"/>
        <v>143853.000244</v>
      </c>
    </row>
    <row r="323" spans="1:19" x14ac:dyDescent="0.2">
      <c r="A323" s="57" t="s">
        <v>235</v>
      </c>
      <c r="B323" s="57" t="s">
        <v>244</v>
      </c>
      <c r="C323" s="57" t="s">
        <v>245</v>
      </c>
      <c r="D323" s="58">
        <v>33.659999999999997</v>
      </c>
      <c r="E323" s="59">
        <v>41095</v>
      </c>
      <c r="F323" s="58">
        <v>143854.000244</v>
      </c>
      <c r="G323" s="58">
        <v>27911</v>
      </c>
      <c r="H323" s="58">
        <v>23952</v>
      </c>
      <c r="I323" s="58">
        <v>147649.000244</v>
      </c>
      <c r="J323" s="58">
        <v>0</v>
      </c>
      <c r="K323" s="1">
        <f t="shared" si="29"/>
        <v>806224.32</v>
      </c>
      <c r="L323" s="1">
        <f t="shared" si="30"/>
        <v>23952</v>
      </c>
      <c r="M323" s="1">
        <f>VLOOKUP(B323,'[1]Срок Годности'!$A$2:$B$4,2,0)</f>
        <v>1500</v>
      </c>
      <c r="N323" s="60">
        <f t="shared" si="31"/>
        <v>27911</v>
      </c>
      <c r="O323" s="1" t="str">
        <f t="shared" si="32"/>
        <v>27 2012</v>
      </c>
      <c r="P323" s="1">
        <f t="shared" si="33"/>
        <v>21</v>
      </c>
      <c r="Q323" s="1">
        <f t="shared" ca="1" si="34"/>
        <v>4038</v>
      </c>
      <c r="S323" s="1">
        <f t="shared" si="28"/>
        <v>147649.000244</v>
      </c>
    </row>
    <row r="324" spans="1:19" x14ac:dyDescent="0.2">
      <c r="A324" s="57" t="s">
        <v>235</v>
      </c>
      <c r="B324" s="57" t="s">
        <v>244</v>
      </c>
      <c r="C324" s="57" t="s">
        <v>245</v>
      </c>
      <c r="D324" s="58">
        <v>33.659999999999997</v>
      </c>
      <c r="E324" s="59">
        <v>41096</v>
      </c>
      <c r="F324" s="58">
        <v>147649.000244</v>
      </c>
      <c r="G324" s="58">
        <v>23737</v>
      </c>
      <c r="H324" s="58">
        <v>24780</v>
      </c>
      <c r="I324" s="58">
        <v>146340.000244</v>
      </c>
      <c r="J324" s="58">
        <v>0</v>
      </c>
      <c r="K324" s="1">
        <f t="shared" si="29"/>
        <v>834094.79999999993</v>
      </c>
      <c r="L324" s="1">
        <f t="shared" si="30"/>
        <v>24780</v>
      </c>
      <c r="M324" s="1">
        <f>VLOOKUP(B324,'[1]Срок Годности'!$A$2:$B$4,2,0)</f>
        <v>1500</v>
      </c>
      <c r="N324" s="60">
        <f t="shared" si="31"/>
        <v>23737</v>
      </c>
      <c r="O324" s="1" t="str">
        <f t="shared" si="32"/>
        <v>27 2012</v>
      </c>
      <c r="P324" s="1">
        <f t="shared" si="33"/>
        <v>21</v>
      </c>
      <c r="Q324" s="1">
        <f t="shared" ca="1" si="34"/>
        <v>4037</v>
      </c>
      <c r="S324" s="1">
        <f t="shared" si="28"/>
        <v>146340.000244</v>
      </c>
    </row>
    <row r="325" spans="1:19" x14ac:dyDescent="0.2">
      <c r="A325" s="57" t="s">
        <v>235</v>
      </c>
      <c r="B325" s="57" t="s">
        <v>244</v>
      </c>
      <c r="C325" s="57" t="s">
        <v>245</v>
      </c>
      <c r="D325" s="58">
        <v>33.659999999999997</v>
      </c>
      <c r="E325" s="59">
        <v>41097</v>
      </c>
      <c r="F325" s="58">
        <v>146340.000244</v>
      </c>
      <c r="G325" s="58">
        <v>25303</v>
      </c>
      <c r="H325" s="58">
        <v>22662</v>
      </c>
      <c r="I325" s="58">
        <v>148835.000244</v>
      </c>
      <c r="J325" s="58">
        <v>2</v>
      </c>
      <c r="K325" s="1">
        <f t="shared" si="29"/>
        <v>762802.91999999993</v>
      </c>
      <c r="L325" s="1">
        <f t="shared" si="30"/>
        <v>22662</v>
      </c>
      <c r="M325" s="1">
        <f>VLOOKUP(B325,'[1]Срок Годности'!$A$2:$B$4,2,0)</f>
        <v>1500</v>
      </c>
      <c r="N325" s="60">
        <f t="shared" si="31"/>
        <v>25303</v>
      </c>
      <c r="O325" s="1" t="str">
        <f t="shared" si="32"/>
        <v>27 2012</v>
      </c>
      <c r="P325" s="1">
        <f t="shared" si="33"/>
        <v>21</v>
      </c>
      <c r="Q325" s="1">
        <f t="shared" ca="1" si="34"/>
        <v>4036</v>
      </c>
      <c r="S325" s="1">
        <f t="shared" si="28"/>
        <v>148833.000244</v>
      </c>
    </row>
    <row r="326" spans="1:19" x14ac:dyDescent="0.2">
      <c r="A326" s="57" t="s">
        <v>235</v>
      </c>
      <c r="B326" s="57" t="s">
        <v>244</v>
      </c>
      <c r="C326" s="57" t="s">
        <v>245</v>
      </c>
      <c r="D326" s="58">
        <v>33.659999999999997</v>
      </c>
      <c r="E326" s="59">
        <v>41098</v>
      </c>
      <c r="F326" s="58">
        <v>148835.000244</v>
      </c>
      <c r="G326" s="58">
        <v>27693</v>
      </c>
      <c r="H326" s="58">
        <v>21976</v>
      </c>
      <c r="I326" s="58">
        <v>154430.000244</v>
      </c>
      <c r="J326" s="58">
        <v>0</v>
      </c>
      <c r="K326" s="1">
        <f t="shared" si="29"/>
        <v>739712.15999999992</v>
      </c>
      <c r="L326" s="1">
        <f t="shared" si="30"/>
        <v>21976</v>
      </c>
      <c r="M326" s="1">
        <f>VLOOKUP(B326,'[1]Срок Годности'!$A$2:$B$4,2,0)</f>
        <v>1500</v>
      </c>
      <c r="N326" s="60">
        <f t="shared" si="31"/>
        <v>0</v>
      </c>
      <c r="O326" s="1" t="str">
        <f t="shared" si="32"/>
        <v>28 2012</v>
      </c>
      <c r="P326" s="1">
        <f t="shared" si="33"/>
        <v>21</v>
      </c>
      <c r="Q326" s="1">
        <f t="shared" ca="1" si="34"/>
        <v>4035</v>
      </c>
      <c r="S326" s="1">
        <f t="shared" si="28"/>
        <v>154430.000244</v>
      </c>
    </row>
    <row r="327" spans="1:19" x14ac:dyDescent="0.2">
      <c r="A327" s="57" t="s">
        <v>235</v>
      </c>
      <c r="B327" s="57" t="s">
        <v>244</v>
      </c>
      <c r="C327" s="57" t="s">
        <v>245</v>
      </c>
      <c r="D327" s="58">
        <v>33.659999999999997</v>
      </c>
      <c r="E327" s="59">
        <v>41099</v>
      </c>
      <c r="F327" s="58">
        <v>154430.000244</v>
      </c>
      <c r="G327" s="58">
        <v>23988</v>
      </c>
      <c r="H327" s="58">
        <v>22724</v>
      </c>
      <c r="I327" s="58">
        <v>155644.000244</v>
      </c>
      <c r="J327" s="58">
        <v>1</v>
      </c>
      <c r="K327" s="1">
        <f t="shared" si="29"/>
        <v>764889.84</v>
      </c>
      <c r="L327" s="1">
        <f t="shared" si="30"/>
        <v>22724</v>
      </c>
      <c r="M327" s="1">
        <f>VLOOKUP(B327,'[1]Срок Годности'!$A$2:$B$4,2,0)</f>
        <v>1500</v>
      </c>
      <c r="N327" s="60">
        <f t="shared" si="31"/>
        <v>23988</v>
      </c>
      <c r="O327" s="1" t="str">
        <f t="shared" si="32"/>
        <v>28 2012</v>
      </c>
      <c r="P327" s="1">
        <f t="shared" si="33"/>
        <v>21</v>
      </c>
      <c r="Q327" s="1">
        <f t="shared" ca="1" si="34"/>
        <v>4034</v>
      </c>
      <c r="S327" s="1">
        <f t="shared" ref="S327:S390" si="35">I327-J327</f>
        <v>155643.000244</v>
      </c>
    </row>
    <row r="328" spans="1:19" x14ac:dyDescent="0.2">
      <c r="A328" s="57" t="s">
        <v>235</v>
      </c>
      <c r="B328" s="57" t="s">
        <v>244</v>
      </c>
      <c r="C328" s="57" t="s">
        <v>245</v>
      </c>
      <c r="D328" s="58">
        <v>33.659999999999997</v>
      </c>
      <c r="E328" s="59">
        <v>41100</v>
      </c>
      <c r="F328" s="58">
        <v>155644.000244</v>
      </c>
      <c r="G328" s="58">
        <v>20736</v>
      </c>
      <c r="H328" s="58">
        <v>21520</v>
      </c>
      <c r="I328" s="58">
        <v>154764.000244</v>
      </c>
      <c r="J328" s="58">
        <v>0</v>
      </c>
      <c r="K328" s="1">
        <f t="shared" ref="K328:K391" si="36">H328*D328</f>
        <v>724363.2</v>
      </c>
      <c r="L328" s="1">
        <f t="shared" ref="L328:L391" si="37">IF(H328&gt;1000,H328,"")</f>
        <v>21520</v>
      </c>
      <c r="M328" s="1">
        <f>VLOOKUP(B328,'[1]Срок Годности'!$A$2:$B$4,2,0)</f>
        <v>1500</v>
      </c>
      <c r="N328" s="60">
        <f t="shared" ref="N328:N391" si="38">IF(WEEKDAY(E328) = 1, 0, G328)</f>
        <v>20736</v>
      </c>
      <c r="O328" s="1" t="str">
        <f t="shared" ref="O328:O391" si="39">WEEKNUM(E328) &amp; " " &amp; YEAR(E328)</f>
        <v>28 2012</v>
      </c>
      <c r="P328" s="1">
        <f t="shared" ref="P328:P391" si="40">LEN(C328)</f>
        <v>21</v>
      </c>
      <c r="Q328" s="1">
        <f t="shared" ref="Q328:Q391" ca="1" si="41">DATEDIF(E328,NOW(),"D")</f>
        <v>4033</v>
      </c>
      <c r="S328" s="1">
        <f t="shared" si="35"/>
        <v>154764.000244</v>
      </c>
    </row>
    <row r="329" spans="1:19" x14ac:dyDescent="0.2">
      <c r="A329" s="57" t="s">
        <v>235</v>
      </c>
      <c r="B329" s="57" t="s">
        <v>244</v>
      </c>
      <c r="C329" s="57" t="s">
        <v>245</v>
      </c>
      <c r="D329" s="58">
        <v>33.659999999999997</v>
      </c>
      <c r="E329" s="59">
        <v>41101</v>
      </c>
      <c r="F329" s="58">
        <v>154764.000244</v>
      </c>
      <c r="G329" s="58">
        <v>7013</v>
      </c>
      <c r="H329" s="58">
        <v>19878</v>
      </c>
      <c r="I329" s="58">
        <v>141772.000244</v>
      </c>
      <c r="J329" s="58">
        <v>0</v>
      </c>
      <c r="K329" s="1">
        <f t="shared" si="36"/>
        <v>669093.48</v>
      </c>
      <c r="L329" s="1">
        <f t="shared" si="37"/>
        <v>19878</v>
      </c>
      <c r="M329" s="1">
        <f>VLOOKUP(B329,'[1]Срок Годности'!$A$2:$B$4,2,0)</f>
        <v>1500</v>
      </c>
      <c r="N329" s="60">
        <f t="shared" si="38"/>
        <v>7013</v>
      </c>
      <c r="O329" s="1" t="str">
        <f t="shared" si="39"/>
        <v>28 2012</v>
      </c>
      <c r="P329" s="1">
        <f t="shared" si="40"/>
        <v>21</v>
      </c>
      <c r="Q329" s="1">
        <f t="shared" ca="1" si="41"/>
        <v>4032</v>
      </c>
      <c r="S329" s="1">
        <f t="shared" si="35"/>
        <v>141772.000244</v>
      </c>
    </row>
    <row r="330" spans="1:19" x14ac:dyDescent="0.2">
      <c r="A330" s="57" t="s">
        <v>235</v>
      </c>
      <c r="B330" s="57" t="s">
        <v>244</v>
      </c>
      <c r="C330" s="57" t="s">
        <v>245</v>
      </c>
      <c r="D330" s="58">
        <v>33.659999999999997</v>
      </c>
      <c r="E330" s="59">
        <v>41102</v>
      </c>
      <c r="F330" s="58">
        <v>141772.000244</v>
      </c>
      <c r="G330" s="58">
        <v>24432</v>
      </c>
      <c r="H330" s="58">
        <v>18857</v>
      </c>
      <c r="I330" s="58">
        <v>147267.000244</v>
      </c>
      <c r="J330" s="58">
        <v>0</v>
      </c>
      <c r="K330" s="1">
        <f t="shared" si="36"/>
        <v>634726.61999999988</v>
      </c>
      <c r="L330" s="1">
        <f t="shared" si="37"/>
        <v>18857</v>
      </c>
      <c r="M330" s="1">
        <f>VLOOKUP(B330,'[1]Срок Годности'!$A$2:$B$4,2,0)</f>
        <v>1500</v>
      </c>
      <c r="N330" s="60">
        <f t="shared" si="38"/>
        <v>24432</v>
      </c>
      <c r="O330" s="1" t="str">
        <f t="shared" si="39"/>
        <v>28 2012</v>
      </c>
      <c r="P330" s="1">
        <f t="shared" si="40"/>
        <v>21</v>
      </c>
      <c r="Q330" s="1">
        <f t="shared" ca="1" si="41"/>
        <v>4031</v>
      </c>
      <c r="S330" s="1">
        <f t="shared" si="35"/>
        <v>147267.000244</v>
      </c>
    </row>
    <row r="331" spans="1:19" x14ac:dyDescent="0.2">
      <c r="A331" s="57" t="s">
        <v>235</v>
      </c>
      <c r="B331" s="57" t="s">
        <v>244</v>
      </c>
      <c r="C331" s="57" t="s">
        <v>245</v>
      </c>
      <c r="D331" s="58">
        <v>33.659999999999997</v>
      </c>
      <c r="E331" s="59">
        <v>41103</v>
      </c>
      <c r="F331" s="58">
        <v>147267.000244</v>
      </c>
      <c r="G331" s="58">
        <v>25060</v>
      </c>
      <c r="H331" s="58">
        <v>18013</v>
      </c>
      <c r="I331" s="58">
        <v>154167.000244</v>
      </c>
      <c r="J331" s="58">
        <v>0</v>
      </c>
      <c r="K331" s="1">
        <f t="shared" si="36"/>
        <v>606317.57999999996</v>
      </c>
      <c r="L331" s="1">
        <f t="shared" si="37"/>
        <v>18013</v>
      </c>
      <c r="M331" s="1">
        <f>VLOOKUP(B331,'[1]Срок Годности'!$A$2:$B$4,2,0)</f>
        <v>1500</v>
      </c>
      <c r="N331" s="60">
        <f t="shared" si="38"/>
        <v>25060</v>
      </c>
      <c r="O331" s="1" t="str">
        <f t="shared" si="39"/>
        <v>28 2012</v>
      </c>
      <c r="P331" s="1">
        <f t="shared" si="40"/>
        <v>21</v>
      </c>
      <c r="Q331" s="1">
        <f t="shared" ca="1" si="41"/>
        <v>4030</v>
      </c>
      <c r="S331" s="1">
        <f t="shared" si="35"/>
        <v>154167.000244</v>
      </c>
    </row>
    <row r="332" spans="1:19" x14ac:dyDescent="0.2">
      <c r="A332" s="57" t="s">
        <v>235</v>
      </c>
      <c r="B332" s="57" t="s">
        <v>244</v>
      </c>
      <c r="C332" s="57" t="s">
        <v>245</v>
      </c>
      <c r="D332" s="58">
        <v>33.659999999999997</v>
      </c>
      <c r="E332" s="59">
        <v>41104</v>
      </c>
      <c r="F332" s="58">
        <v>154167.000244</v>
      </c>
      <c r="G332" s="58">
        <v>14276</v>
      </c>
      <c r="H332" s="58">
        <v>16743</v>
      </c>
      <c r="I332" s="58">
        <v>151611.000244</v>
      </c>
      <c r="J332" s="58">
        <v>0</v>
      </c>
      <c r="K332" s="1">
        <f t="shared" si="36"/>
        <v>563569.37999999989</v>
      </c>
      <c r="L332" s="1">
        <f t="shared" si="37"/>
        <v>16743</v>
      </c>
      <c r="M332" s="1">
        <f>VLOOKUP(B332,'[1]Срок Годности'!$A$2:$B$4,2,0)</f>
        <v>1500</v>
      </c>
      <c r="N332" s="60">
        <f t="shared" si="38"/>
        <v>14276</v>
      </c>
      <c r="O332" s="1" t="str">
        <f t="shared" si="39"/>
        <v>28 2012</v>
      </c>
      <c r="P332" s="1">
        <f t="shared" si="40"/>
        <v>21</v>
      </c>
      <c r="Q332" s="1">
        <f t="shared" ca="1" si="41"/>
        <v>4029</v>
      </c>
      <c r="S332" s="1">
        <f t="shared" si="35"/>
        <v>151611.000244</v>
      </c>
    </row>
    <row r="333" spans="1:19" x14ac:dyDescent="0.2">
      <c r="A333" s="57" t="s">
        <v>235</v>
      </c>
      <c r="B333" s="57" t="s">
        <v>244</v>
      </c>
      <c r="C333" s="57" t="s">
        <v>245</v>
      </c>
      <c r="D333" s="58">
        <v>33.659999999999997</v>
      </c>
      <c r="E333" s="59">
        <v>41105</v>
      </c>
      <c r="F333" s="58">
        <v>151611.000244</v>
      </c>
      <c r="G333" s="58">
        <v>11283</v>
      </c>
      <c r="H333" s="58">
        <v>13643</v>
      </c>
      <c r="I333" s="58">
        <v>149123.000244</v>
      </c>
      <c r="J333" s="58">
        <v>2</v>
      </c>
      <c r="K333" s="1">
        <f t="shared" si="36"/>
        <v>459223.37999999995</v>
      </c>
      <c r="L333" s="1">
        <f t="shared" si="37"/>
        <v>13643</v>
      </c>
      <c r="M333" s="1">
        <f>VLOOKUP(B333,'[1]Срок Годности'!$A$2:$B$4,2,0)</f>
        <v>1500</v>
      </c>
      <c r="N333" s="60">
        <f t="shared" si="38"/>
        <v>0</v>
      </c>
      <c r="O333" s="1" t="str">
        <f t="shared" si="39"/>
        <v>29 2012</v>
      </c>
      <c r="P333" s="1">
        <f t="shared" si="40"/>
        <v>21</v>
      </c>
      <c r="Q333" s="1">
        <f t="shared" ca="1" si="41"/>
        <v>4028</v>
      </c>
      <c r="S333" s="1">
        <f t="shared" si="35"/>
        <v>149121.000244</v>
      </c>
    </row>
    <row r="334" spans="1:19" x14ac:dyDescent="0.2">
      <c r="A334" s="57" t="s">
        <v>235</v>
      </c>
      <c r="B334" s="57" t="s">
        <v>244</v>
      </c>
      <c r="C334" s="57" t="s">
        <v>245</v>
      </c>
      <c r="D334" s="58">
        <v>33.659999999999997</v>
      </c>
      <c r="E334" s="59">
        <v>41106</v>
      </c>
      <c r="F334" s="58">
        <v>149123.000244</v>
      </c>
      <c r="G334" s="58">
        <v>11648</v>
      </c>
      <c r="H334" s="58">
        <v>14310</v>
      </c>
      <c r="I334" s="58">
        <v>146553.000244</v>
      </c>
      <c r="J334" s="58">
        <v>0</v>
      </c>
      <c r="K334" s="1">
        <f t="shared" si="36"/>
        <v>481674.6</v>
      </c>
      <c r="L334" s="1">
        <f t="shared" si="37"/>
        <v>14310</v>
      </c>
      <c r="M334" s="1">
        <f>VLOOKUP(B334,'[1]Срок Годности'!$A$2:$B$4,2,0)</f>
        <v>1500</v>
      </c>
      <c r="N334" s="60">
        <f t="shared" si="38"/>
        <v>11648</v>
      </c>
      <c r="O334" s="1" t="str">
        <f t="shared" si="39"/>
        <v>29 2012</v>
      </c>
      <c r="P334" s="1">
        <f t="shared" si="40"/>
        <v>21</v>
      </c>
      <c r="Q334" s="1">
        <f t="shared" ca="1" si="41"/>
        <v>4027</v>
      </c>
      <c r="S334" s="1">
        <f t="shared" si="35"/>
        <v>146553.000244</v>
      </c>
    </row>
    <row r="335" spans="1:19" x14ac:dyDescent="0.2">
      <c r="A335" s="57" t="s">
        <v>235</v>
      </c>
      <c r="B335" s="57" t="s">
        <v>244</v>
      </c>
      <c r="C335" s="57" t="s">
        <v>245</v>
      </c>
      <c r="D335" s="58">
        <v>33.659999999999997</v>
      </c>
      <c r="E335" s="59">
        <v>41107</v>
      </c>
      <c r="F335" s="58">
        <v>146553.000244</v>
      </c>
      <c r="G335" s="58">
        <v>6034</v>
      </c>
      <c r="H335" s="58">
        <v>13140</v>
      </c>
      <c r="I335" s="58">
        <v>139389.000244</v>
      </c>
      <c r="J335" s="58">
        <v>0</v>
      </c>
      <c r="K335" s="1">
        <f t="shared" si="36"/>
        <v>442292.39999999997</v>
      </c>
      <c r="L335" s="1">
        <f t="shared" si="37"/>
        <v>13140</v>
      </c>
      <c r="M335" s="1">
        <f>VLOOKUP(B335,'[1]Срок Годности'!$A$2:$B$4,2,0)</f>
        <v>1500</v>
      </c>
      <c r="N335" s="60">
        <f t="shared" si="38"/>
        <v>6034</v>
      </c>
      <c r="O335" s="1" t="str">
        <f t="shared" si="39"/>
        <v>29 2012</v>
      </c>
      <c r="P335" s="1">
        <f t="shared" si="40"/>
        <v>21</v>
      </c>
      <c r="Q335" s="1">
        <f t="shared" ca="1" si="41"/>
        <v>4026</v>
      </c>
      <c r="S335" s="1">
        <f t="shared" si="35"/>
        <v>139389.000244</v>
      </c>
    </row>
    <row r="336" spans="1:19" x14ac:dyDescent="0.2">
      <c r="A336" s="57" t="s">
        <v>235</v>
      </c>
      <c r="B336" s="57" t="s">
        <v>237</v>
      </c>
      <c r="C336" s="57" t="s">
        <v>238</v>
      </c>
      <c r="D336" s="58">
        <v>165.05</v>
      </c>
      <c r="E336" s="59">
        <v>41061</v>
      </c>
      <c r="F336" s="58">
        <v>12959</v>
      </c>
      <c r="G336" s="58">
        <v>5634</v>
      </c>
      <c r="H336" s="58">
        <v>4270</v>
      </c>
      <c r="I336" s="58">
        <v>14270</v>
      </c>
      <c r="J336" s="58">
        <v>0</v>
      </c>
      <c r="K336" s="1">
        <f t="shared" si="36"/>
        <v>704763.5</v>
      </c>
      <c r="L336" s="1">
        <f t="shared" si="37"/>
        <v>4270</v>
      </c>
      <c r="M336" s="1">
        <f>VLOOKUP(B336,'[1]Срок Годности'!$A$2:$B$4,2,0)</f>
        <v>1000</v>
      </c>
      <c r="N336" s="60">
        <f t="shared" si="38"/>
        <v>5634</v>
      </c>
      <c r="O336" s="1" t="str">
        <f t="shared" si="39"/>
        <v>22 2012</v>
      </c>
      <c r="P336" s="1">
        <f t="shared" si="40"/>
        <v>22</v>
      </c>
      <c r="Q336" s="1">
        <f t="shared" ca="1" si="41"/>
        <v>4072</v>
      </c>
      <c r="S336" s="1">
        <f t="shared" si="35"/>
        <v>14270</v>
      </c>
    </row>
    <row r="337" spans="1:19" x14ac:dyDescent="0.2">
      <c r="A337" s="57" t="s">
        <v>235</v>
      </c>
      <c r="B337" s="57" t="s">
        <v>237</v>
      </c>
      <c r="C337" s="57" t="s">
        <v>238</v>
      </c>
      <c r="D337" s="58">
        <v>165.05</v>
      </c>
      <c r="E337" s="59">
        <v>41062</v>
      </c>
      <c r="F337" s="58">
        <v>14270</v>
      </c>
      <c r="G337" s="58">
        <v>930</v>
      </c>
      <c r="H337" s="58">
        <v>5324</v>
      </c>
      <c r="I337" s="58">
        <v>9787</v>
      </c>
      <c r="J337" s="58">
        <v>1</v>
      </c>
      <c r="K337" s="1">
        <f t="shared" si="36"/>
        <v>878726.20000000007</v>
      </c>
      <c r="L337" s="1">
        <f t="shared" si="37"/>
        <v>5324</v>
      </c>
      <c r="M337" s="1">
        <f>VLOOKUP(B337,'[1]Срок Годности'!$A$2:$B$4,2,0)</f>
        <v>1000</v>
      </c>
      <c r="N337" s="60">
        <f t="shared" si="38"/>
        <v>930</v>
      </c>
      <c r="O337" s="1" t="str">
        <f t="shared" si="39"/>
        <v>22 2012</v>
      </c>
      <c r="P337" s="1">
        <f t="shared" si="40"/>
        <v>22</v>
      </c>
      <c r="Q337" s="1">
        <f t="shared" ca="1" si="41"/>
        <v>4071</v>
      </c>
      <c r="S337" s="1">
        <f t="shared" si="35"/>
        <v>9786</v>
      </c>
    </row>
    <row r="338" spans="1:19" x14ac:dyDescent="0.2">
      <c r="A338" s="57" t="s">
        <v>235</v>
      </c>
      <c r="B338" s="57" t="s">
        <v>237</v>
      </c>
      <c r="C338" s="57" t="s">
        <v>238</v>
      </c>
      <c r="D338" s="58">
        <v>165.05</v>
      </c>
      <c r="E338" s="59">
        <v>41063</v>
      </c>
      <c r="F338" s="58">
        <v>9787</v>
      </c>
      <c r="G338" s="58">
        <v>5896</v>
      </c>
      <c r="H338" s="58">
        <v>4106</v>
      </c>
      <c r="I338" s="58">
        <v>11574</v>
      </c>
      <c r="J338" s="58">
        <v>0</v>
      </c>
      <c r="K338" s="1">
        <f t="shared" si="36"/>
        <v>677695.3</v>
      </c>
      <c r="L338" s="1">
        <f t="shared" si="37"/>
        <v>4106</v>
      </c>
      <c r="M338" s="1">
        <f>VLOOKUP(B338,'[1]Срок Годности'!$A$2:$B$4,2,0)</f>
        <v>1000</v>
      </c>
      <c r="N338" s="60">
        <f t="shared" si="38"/>
        <v>0</v>
      </c>
      <c r="O338" s="1" t="str">
        <f t="shared" si="39"/>
        <v>23 2012</v>
      </c>
      <c r="P338" s="1">
        <f t="shared" si="40"/>
        <v>22</v>
      </c>
      <c r="Q338" s="1">
        <f t="shared" ca="1" si="41"/>
        <v>4070</v>
      </c>
      <c r="S338" s="1">
        <f t="shared" si="35"/>
        <v>11574</v>
      </c>
    </row>
    <row r="339" spans="1:19" x14ac:dyDescent="0.2">
      <c r="A339" s="57" t="s">
        <v>235</v>
      </c>
      <c r="B339" s="57" t="s">
        <v>237</v>
      </c>
      <c r="C339" s="57" t="s">
        <v>238</v>
      </c>
      <c r="D339" s="58">
        <v>165.05</v>
      </c>
      <c r="E339" s="59">
        <v>41064</v>
      </c>
      <c r="F339" s="58">
        <v>11574</v>
      </c>
      <c r="G339" s="58">
        <v>-1</v>
      </c>
      <c r="H339" s="58">
        <v>2763</v>
      </c>
      <c r="I339" s="58">
        <v>8783</v>
      </c>
      <c r="J339" s="58">
        <v>0</v>
      </c>
      <c r="K339" s="1">
        <f t="shared" si="36"/>
        <v>456033.15</v>
      </c>
      <c r="L339" s="1">
        <f t="shared" si="37"/>
        <v>2763</v>
      </c>
      <c r="M339" s="1">
        <f>VLOOKUP(B339,'[1]Срок Годности'!$A$2:$B$4,2,0)</f>
        <v>1000</v>
      </c>
      <c r="N339" s="60">
        <f t="shared" si="38"/>
        <v>-1</v>
      </c>
      <c r="O339" s="1" t="str">
        <f t="shared" si="39"/>
        <v>23 2012</v>
      </c>
      <c r="P339" s="1">
        <f t="shared" si="40"/>
        <v>22</v>
      </c>
      <c r="Q339" s="1">
        <f t="shared" ca="1" si="41"/>
        <v>4069</v>
      </c>
      <c r="S339" s="1">
        <f t="shared" si="35"/>
        <v>8783</v>
      </c>
    </row>
    <row r="340" spans="1:19" x14ac:dyDescent="0.2">
      <c r="A340" s="57" t="s">
        <v>235</v>
      </c>
      <c r="B340" s="57" t="s">
        <v>237</v>
      </c>
      <c r="C340" s="57" t="s">
        <v>238</v>
      </c>
      <c r="D340" s="58">
        <v>165.05</v>
      </c>
      <c r="E340" s="59">
        <v>41065</v>
      </c>
      <c r="F340" s="58">
        <v>8783</v>
      </c>
      <c r="G340" s="58">
        <v>5311</v>
      </c>
      <c r="H340" s="58">
        <v>2677</v>
      </c>
      <c r="I340" s="58">
        <v>11392</v>
      </c>
      <c r="J340" s="58">
        <v>0</v>
      </c>
      <c r="K340" s="1">
        <f t="shared" si="36"/>
        <v>441838.85000000003</v>
      </c>
      <c r="L340" s="1">
        <f t="shared" si="37"/>
        <v>2677</v>
      </c>
      <c r="M340" s="1">
        <f>VLOOKUP(B340,'[1]Срок Годности'!$A$2:$B$4,2,0)</f>
        <v>1000</v>
      </c>
      <c r="N340" s="60">
        <f t="shared" si="38"/>
        <v>5311</v>
      </c>
      <c r="O340" s="1" t="str">
        <f t="shared" si="39"/>
        <v>23 2012</v>
      </c>
      <c r="P340" s="1">
        <f t="shared" si="40"/>
        <v>22</v>
      </c>
      <c r="Q340" s="1">
        <f t="shared" ca="1" si="41"/>
        <v>4068</v>
      </c>
      <c r="S340" s="1">
        <f t="shared" si="35"/>
        <v>11392</v>
      </c>
    </row>
    <row r="341" spans="1:19" x14ac:dyDescent="0.2">
      <c r="A341" s="57" t="s">
        <v>235</v>
      </c>
      <c r="B341" s="57" t="s">
        <v>237</v>
      </c>
      <c r="C341" s="57" t="s">
        <v>238</v>
      </c>
      <c r="D341" s="58">
        <v>165.05</v>
      </c>
      <c r="E341" s="59">
        <v>41066</v>
      </c>
      <c r="F341" s="58">
        <v>11392</v>
      </c>
      <c r="G341" s="58">
        <v>0</v>
      </c>
      <c r="H341" s="58">
        <v>3037</v>
      </c>
      <c r="I341" s="58">
        <v>8359</v>
      </c>
      <c r="J341" s="58">
        <v>0</v>
      </c>
      <c r="K341" s="1">
        <f t="shared" si="36"/>
        <v>501256.85000000003</v>
      </c>
      <c r="L341" s="1">
        <f t="shared" si="37"/>
        <v>3037</v>
      </c>
      <c r="M341" s="1">
        <f>VLOOKUP(B341,'[1]Срок Годности'!$A$2:$B$4,2,0)</f>
        <v>1000</v>
      </c>
      <c r="N341" s="60">
        <f t="shared" si="38"/>
        <v>0</v>
      </c>
      <c r="O341" s="1" t="str">
        <f t="shared" si="39"/>
        <v>23 2012</v>
      </c>
      <c r="P341" s="1">
        <f t="shared" si="40"/>
        <v>22</v>
      </c>
      <c r="Q341" s="1">
        <f t="shared" ca="1" si="41"/>
        <v>4067</v>
      </c>
      <c r="S341" s="1">
        <f t="shared" si="35"/>
        <v>8359</v>
      </c>
    </row>
    <row r="342" spans="1:19" x14ac:dyDescent="0.2">
      <c r="A342" s="57" t="s">
        <v>235</v>
      </c>
      <c r="B342" s="57" t="s">
        <v>237</v>
      </c>
      <c r="C342" s="57" t="s">
        <v>238</v>
      </c>
      <c r="D342" s="58">
        <v>165.05</v>
      </c>
      <c r="E342" s="59">
        <v>41067</v>
      </c>
      <c r="F342" s="58">
        <v>8359</v>
      </c>
      <c r="G342" s="58">
        <v>1957</v>
      </c>
      <c r="H342" s="58">
        <v>2848</v>
      </c>
      <c r="I342" s="58">
        <v>7414</v>
      </c>
      <c r="J342" s="58">
        <v>0</v>
      </c>
      <c r="K342" s="1">
        <f t="shared" si="36"/>
        <v>470062.4</v>
      </c>
      <c r="L342" s="1">
        <f t="shared" si="37"/>
        <v>2848</v>
      </c>
      <c r="M342" s="1">
        <f>VLOOKUP(B342,'[1]Срок Годности'!$A$2:$B$4,2,0)</f>
        <v>1000</v>
      </c>
      <c r="N342" s="60">
        <f t="shared" si="38"/>
        <v>1957</v>
      </c>
      <c r="O342" s="1" t="str">
        <f t="shared" si="39"/>
        <v>23 2012</v>
      </c>
      <c r="P342" s="1">
        <f t="shared" si="40"/>
        <v>22</v>
      </c>
      <c r="Q342" s="1">
        <f t="shared" ca="1" si="41"/>
        <v>4066</v>
      </c>
      <c r="S342" s="1">
        <f t="shared" si="35"/>
        <v>7414</v>
      </c>
    </row>
    <row r="343" spans="1:19" x14ac:dyDescent="0.2">
      <c r="A343" s="57" t="s">
        <v>235</v>
      </c>
      <c r="B343" s="57" t="s">
        <v>237</v>
      </c>
      <c r="C343" s="57" t="s">
        <v>238</v>
      </c>
      <c r="D343" s="58">
        <v>165.05</v>
      </c>
      <c r="E343" s="59">
        <v>41068</v>
      </c>
      <c r="F343" s="58">
        <v>7414</v>
      </c>
      <c r="G343" s="58">
        <v>0</v>
      </c>
      <c r="H343" s="58">
        <v>2589</v>
      </c>
      <c r="I343" s="58">
        <v>4789</v>
      </c>
      <c r="J343" s="58">
        <v>1</v>
      </c>
      <c r="K343" s="1">
        <f t="shared" si="36"/>
        <v>427314.45</v>
      </c>
      <c r="L343" s="1">
        <f t="shared" si="37"/>
        <v>2589</v>
      </c>
      <c r="M343" s="1">
        <f>VLOOKUP(B343,'[1]Срок Годности'!$A$2:$B$4,2,0)</f>
        <v>1000</v>
      </c>
      <c r="N343" s="60">
        <f t="shared" si="38"/>
        <v>0</v>
      </c>
      <c r="O343" s="1" t="str">
        <f t="shared" si="39"/>
        <v>23 2012</v>
      </c>
      <c r="P343" s="1">
        <f t="shared" si="40"/>
        <v>22</v>
      </c>
      <c r="Q343" s="1">
        <f t="shared" ca="1" si="41"/>
        <v>4065</v>
      </c>
      <c r="S343" s="1">
        <f t="shared" si="35"/>
        <v>4788</v>
      </c>
    </row>
    <row r="344" spans="1:19" x14ac:dyDescent="0.2">
      <c r="A344" s="57" t="s">
        <v>235</v>
      </c>
      <c r="B344" s="57" t="s">
        <v>237</v>
      </c>
      <c r="C344" s="57" t="s">
        <v>238</v>
      </c>
      <c r="D344" s="58">
        <v>165.05</v>
      </c>
      <c r="E344" s="59">
        <v>41069</v>
      </c>
      <c r="F344" s="58">
        <v>4789</v>
      </c>
      <c r="G344" s="58">
        <v>10145</v>
      </c>
      <c r="H344" s="58">
        <v>3449</v>
      </c>
      <c r="I344" s="58">
        <v>11442</v>
      </c>
      <c r="J344" s="58">
        <v>0</v>
      </c>
      <c r="K344" s="1">
        <f t="shared" si="36"/>
        <v>569257.45000000007</v>
      </c>
      <c r="L344" s="1">
        <f t="shared" si="37"/>
        <v>3449</v>
      </c>
      <c r="M344" s="1">
        <f>VLOOKUP(B344,'[1]Срок Годности'!$A$2:$B$4,2,0)</f>
        <v>1000</v>
      </c>
      <c r="N344" s="60">
        <f t="shared" si="38"/>
        <v>10145</v>
      </c>
      <c r="O344" s="1" t="str">
        <f t="shared" si="39"/>
        <v>23 2012</v>
      </c>
      <c r="P344" s="1">
        <f t="shared" si="40"/>
        <v>22</v>
      </c>
      <c r="Q344" s="1">
        <f t="shared" ca="1" si="41"/>
        <v>4064</v>
      </c>
      <c r="S344" s="1">
        <f t="shared" si="35"/>
        <v>11442</v>
      </c>
    </row>
    <row r="345" spans="1:19" x14ac:dyDescent="0.2">
      <c r="A345" s="57" t="s">
        <v>235</v>
      </c>
      <c r="B345" s="57" t="s">
        <v>237</v>
      </c>
      <c r="C345" s="57" t="s">
        <v>238</v>
      </c>
      <c r="D345" s="58">
        <v>165.05</v>
      </c>
      <c r="E345" s="59">
        <v>41070</v>
      </c>
      <c r="F345" s="58">
        <v>11442</v>
      </c>
      <c r="G345" s="58">
        <v>3264</v>
      </c>
      <c r="H345" s="58">
        <v>4895</v>
      </c>
      <c r="I345" s="58">
        <v>9753</v>
      </c>
      <c r="J345" s="58">
        <v>0</v>
      </c>
      <c r="K345" s="1">
        <f t="shared" si="36"/>
        <v>807919.75</v>
      </c>
      <c r="L345" s="1">
        <f t="shared" si="37"/>
        <v>4895</v>
      </c>
      <c r="M345" s="1">
        <f>VLOOKUP(B345,'[1]Срок Годности'!$A$2:$B$4,2,0)</f>
        <v>1000</v>
      </c>
      <c r="N345" s="60">
        <f t="shared" si="38"/>
        <v>0</v>
      </c>
      <c r="O345" s="1" t="str">
        <f t="shared" si="39"/>
        <v>24 2012</v>
      </c>
      <c r="P345" s="1">
        <f t="shared" si="40"/>
        <v>22</v>
      </c>
      <c r="Q345" s="1">
        <f t="shared" ca="1" si="41"/>
        <v>4063</v>
      </c>
      <c r="S345" s="1">
        <f t="shared" si="35"/>
        <v>9753</v>
      </c>
    </row>
    <row r="346" spans="1:19" x14ac:dyDescent="0.2">
      <c r="A346" s="57" t="s">
        <v>235</v>
      </c>
      <c r="B346" s="57" t="s">
        <v>237</v>
      </c>
      <c r="C346" s="57" t="s">
        <v>238</v>
      </c>
      <c r="D346" s="58">
        <v>165.05</v>
      </c>
      <c r="E346" s="59">
        <v>41071</v>
      </c>
      <c r="F346" s="58">
        <v>9753</v>
      </c>
      <c r="G346" s="58">
        <v>3476</v>
      </c>
      <c r="H346" s="58">
        <v>4596</v>
      </c>
      <c r="I346" s="58">
        <v>8534</v>
      </c>
      <c r="J346" s="58">
        <v>0</v>
      </c>
      <c r="K346" s="1">
        <f t="shared" si="36"/>
        <v>758569.8</v>
      </c>
      <c r="L346" s="1">
        <f t="shared" si="37"/>
        <v>4596</v>
      </c>
      <c r="M346" s="1">
        <f>VLOOKUP(B346,'[1]Срок Годности'!$A$2:$B$4,2,0)</f>
        <v>1000</v>
      </c>
      <c r="N346" s="60">
        <f t="shared" si="38"/>
        <v>3476</v>
      </c>
      <c r="O346" s="1" t="str">
        <f t="shared" si="39"/>
        <v>24 2012</v>
      </c>
      <c r="P346" s="1">
        <f t="shared" si="40"/>
        <v>22</v>
      </c>
      <c r="Q346" s="1">
        <f t="shared" ca="1" si="41"/>
        <v>4062</v>
      </c>
      <c r="S346" s="1">
        <f t="shared" si="35"/>
        <v>8534</v>
      </c>
    </row>
    <row r="347" spans="1:19" x14ac:dyDescent="0.2">
      <c r="A347" s="57" t="s">
        <v>235</v>
      </c>
      <c r="B347" s="57" t="s">
        <v>237</v>
      </c>
      <c r="C347" s="57" t="s">
        <v>238</v>
      </c>
      <c r="D347" s="58">
        <v>165.05</v>
      </c>
      <c r="E347" s="59">
        <v>41072</v>
      </c>
      <c r="F347" s="58">
        <v>8534</v>
      </c>
      <c r="G347" s="58">
        <v>7</v>
      </c>
      <c r="H347" s="58">
        <v>3278</v>
      </c>
      <c r="I347" s="58">
        <v>5230</v>
      </c>
      <c r="J347" s="58">
        <v>0</v>
      </c>
      <c r="K347" s="1">
        <f t="shared" si="36"/>
        <v>541033.9</v>
      </c>
      <c r="L347" s="1">
        <f t="shared" si="37"/>
        <v>3278</v>
      </c>
      <c r="M347" s="1">
        <f>VLOOKUP(B347,'[1]Срок Годности'!$A$2:$B$4,2,0)</f>
        <v>1000</v>
      </c>
      <c r="N347" s="60">
        <f t="shared" si="38"/>
        <v>7</v>
      </c>
      <c r="O347" s="1" t="str">
        <f t="shared" si="39"/>
        <v>24 2012</v>
      </c>
      <c r="P347" s="1">
        <f t="shared" si="40"/>
        <v>22</v>
      </c>
      <c r="Q347" s="1">
        <f t="shared" ca="1" si="41"/>
        <v>4061</v>
      </c>
      <c r="S347" s="1">
        <f t="shared" si="35"/>
        <v>5230</v>
      </c>
    </row>
    <row r="348" spans="1:19" x14ac:dyDescent="0.2">
      <c r="A348" s="57" t="s">
        <v>235</v>
      </c>
      <c r="B348" s="57" t="s">
        <v>237</v>
      </c>
      <c r="C348" s="57" t="s">
        <v>238</v>
      </c>
      <c r="D348" s="58">
        <v>165.05</v>
      </c>
      <c r="E348" s="59">
        <v>41073</v>
      </c>
      <c r="F348" s="58">
        <v>5230</v>
      </c>
      <c r="G348" s="58">
        <v>9480</v>
      </c>
      <c r="H348" s="58">
        <v>3289</v>
      </c>
      <c r="I348" s="58">
        <v>11373</v>
      </c>
      <c r="J348" s="58">
        <v>0</v>
      </c>
      <c r="K348" s="1">
        <f t="shared" si="36"/>
        <v>542849.45000000007</v>
      </c>
      <c r="L348" s="1">
        <f t="shared" si="37"/>
        <v>3289</v>
      </c>
      <c r="M348" s="1">
        <f>VLOOKUP(B348,'[1]Срок Годности'!$A$2:$B$4,2,0)</f>
        <v>1000</v>
      </c>
      <c r="N348" s="60">
        <f t="shared" si="38"/>
        <v>9480</v>
      </c>
      <c r="O348" s="1" t="str">
        <f t="shared" si="39"/>
        <v>24 2012</v>
      </c>
      <c r="P348" s="1">
        <f t="shared" si="40"/>
        <v>22</v>
      </c>
      <c r="Q348" s="1">
        <f t="shared" ca="1" si="41"/>
        <v>4060</v>
      </c>
      <c r="S348" s="1">
        <f t="shared" si="35"/>
        <v>11373</v>
      </c>
    </row>
    <row r="349" spans="1:19" x14ac:dyDescent="0.2">
      <c r="A349" s="57" t="s">
        <v>235</v>
      </c>
      <c r="B349" s="57" t="s">
        <v>237</v>
      </c>
      <c r="C349" s="57" t="s">
        <v>238</v>
      </c>
      <c r="D349" s="58">
        <v>165.05</v>
      </c>
      <c r="E349" s="59">
        <v>41074</v>
      </c>
      <c r="F349" s="58">
        <v>11373</v>
      </c>
      <c r="G349" s="58">
        <v>3831</v>
      </c>
      <c r="H349" s="58">
        <v>3772</v>
      </c>
      <c r="I349" s="58">
        <v>11394</v>
      </c>
      <c r="J349" s="58">
        <v>0</v>
      </c>
      <c r="K349" s="1">
        <f t="shared" si="36"/>
        <v>622568.60000000009</v>
      </c>
      <c r="L349" s="1">
        <f t="shared" si="37"/>
        <v>3772</v>
      </c>
      <c r="M349" s="1">
        <f>VLOOKUP(B349,'[1]Срок Годности'!$A$2:$B$4,2,0)</f>
        <v>1000</v>
      </c>
      <c r="N349" s="60">
        <f t="shared" si="38"/>
        <v>3831</v>
      </c>
      <c r="O349" s="1" t="str">
        <f t="shared" si="39"/>
        <v>24 2012</v>
      </c>
      <c r="P349" s="1">
        <f t="shared" si="40"/>
        <v>22</v>
      </c>
      <c r="Q349" s="1">
        <f t="shared" ca="1" si="41"/>
        <v>4059</v>
      </c>
      <c r="S349" s="1">
        <f t="shared" si="35"/>
        <v>11394</v>
      </c>
    </row>
    <row r="350" spans="1:19" x14ac:dyDescent="0.2">
      <c r="A350" s="57" t="s">
        <v>235</v>
      </c>
      <c r="B350" s="57" t="s">
        <v>237</v>
      </c>
      <c r="C350" s="57" t="s">
        <v>238</v>
      </c>
      <c r="D350" s="58">
        <v>165.05</v>
      </c>
      <c r="E350" s="59">
        <v>41075</v>
      </c>
      <c r="F350" s="58">
        <v>11394</v>
      </c>
      <c r="G350" s="58">
        <v>7269</v>
      </c>
      <c r="H350" s="58">
        <v>3902</v>
      </c>
      <c r="I350" s="58">
        <v>14735</v>
      </c>
      <c r="J350" s="58">
        <v>0</v>
      </c>
      <c r="K350" s="1">
        <f t="shared" si="36"/>
        <v>644025.10000000009</v>
      </c>
      <c r="L350" s="1">
        <f t="shared" si="37"/>
        <v>3902</v>
      </c>
      <c r="M350" s="1">
        <f>VLOOKUP(B350,'[1]Срок Годности'!$A$2:$B$4,2,0)</f>
        <v>1000</v>
      </c>
      <c r="N350" s="60">
        <f t="shared" si="38"/>
        <v>7269</v>
      </c>
      <c r="O350" s="1" t="str">
        <f t="shared" si="39"/>
        <v>24 2012</v>
      </c>
      <c r="P350" s="1">
        <f t="shared" si="40"/>
        <v>22</v>
      </c>
      <c r="Q350" s="1">
        <f t="shared" ca="1" si="41"/>
        <v>4058</v>
      </c>
      <c r="S350" s="1">
        <f t="shared" si="35"/>
        <v>14735</v>
      </c>
    </row>
    <row r="351" spans="1:19" x14ac:dyDescent="0.2">
      <c r="A351" s="57" t="s">
        <v>235</v>
      </c>
      <c r="B351" s="57" t="s">
        <v>237</v>
      </c>
      <c r="C351" s="57" t="s">
        <v>238</v>
      </c>
      <c r="D351" s="58">
        <v>165.05</v>
      </c>
      <c r="E351" s="59">
        <v>41076</v>
      </c>
      <c r="F351" s="58">
        <v>14735</v>
      </c>
      <c r="G351" s="58">
        <v>7049</v>
      </c>
      <c r="H351" s="58">
        <v>4667</v>
      </c>
      <c r="I351" s="58">
        <v>17089</v>
      </c>
      <c r="J351" s="58">
        <v>0</v>
      </c>
      <c r="K351" s="1">
        <f t="shared" si="36"/>
        <v>770288.35000000009</v>
      </c>
      <c r="L351" s="1">
        <f t="shared" si="37"/>
        <v>4667</v>
      </c>
      <c r="M351" s="1">
        <f>VLOOKUP(B351,'[1]Срок Годности'!$A$2:$B$4,2,0)</f>
        <v>1000</v>
      </c>
      <c r="N351" s="60">
        <f t="shared" si="38"/>
        <v>7049</v>
      </c>
      <c r="O351" s="1" t="str">
        <f t="shared" si="39"/>
        <v>24 2012</v>
      </c>
      <c r="P351" s="1">
        <f t="shared" si="40"/>
        <v>22</v>
      </c>
      <c r="Q351" s="1">
        <f t="shared" ca="1" si="41"/>
        <v>4057</v>
      </c>
      <c r="S351" s="1">
        <f t="shared" si="35"/>
        <v>17089</v>
      </c>
    </row>
    <row r="352" spans="1:19" x14ac:dyDescent="0.2">
      <c r="A352" s="57" t="s">
        <v>235</v>
      </c>
      <c r="B352" s="57" t="s">
        <v>237</v>
      </c>
      <c r="C352" s="57" t="s">
        <v>238</v>
      </c>
      <c r="D352" s="58">
        <v>165.05</v>
      </c>
      <c r="E352" s="59">
        <v>41077</v>
      </c>
      <c r="F352" s="58">
        <v>17089</v>
      </c>
      <c r="G352" s="58">
        <v>4940</v>
      </c>
      <c r="H352" s="58">
        <v>4646</v>
      </c>
      <c r="I352" s="58">
        <v>17350</v>
      </c>
      <c r="J352" s="58">
        <v>0</v>
      </c>
      <c r="K352" s="1">
        <f t="shared" si="36"/>
        <v>766822.3</v>
      </c>
      <c r="L352" s="1">
        <f t="shared" si="37"/>
        <v>4646</v>
      </c>
      <c r="M352" s="1">
        <f>VLOOKUP(B352,'[1]Срок Годности'!$A$2:$B$4,2,0)</f>
        <v>1000</v>
      </c>
      <c r="N352" s="60">
        <f t="shared" si="38"/>
        <v>0</v>
      </c>
      <c r="O352" s="1" t="str">
        <f t="shared" si="39"/>
        <v>25 2012</v>
      </c>
      <c r="P352" s="1">
        <f t="shared" si="40"/>
        <v>22</v>
      </c>
      <c r="Q352" s="1">
        <f t="shared" ca="1" si="41"/>
        <v>4056</v>
      </c>
      <c r="S352" s="1">
        <f t="shared" si="35"/>
        <v>17350</v>
      </c>
    </row>
    <row r="353" spans="1:19" x14ac:dyDescent="0.2">
      <c r="A353" s="57" t="s">
        <v>235</v>
      </c>
      <c r="B353" s="57" t="s">
        <v>237</v>
      </c>
      <c r="C353" s="57" t="s">
        <v>238</v>
      </c>
      <c r="D353" s="58">
        <v>165.05</v>
      </c>
      <c r="E353" s="59">
        <v>41078</v>
      </c>
      <c r="F353" s="58">
        <v>17350</v>
      </c>
      <c r="G353" s="58">
        <v>3372</v>
      </c>
      <c r="H353" s="58">
        <v>4172</v>
      </c>
      <c r="I353" s="58">
        <v>16507</v>
      </c>
      <c r="J353" s="58">
        <v>1</v>
      </c>
      <c r="K353" s="1">
        <f t="shared" si="36"/>
        <v>688588.60000000009</v>
      </c>
      <c r="L353" s="1">
        <f t="shared" si="37"/>
        <v>4172</v>
      </c>
      <c r="M353" s="1">
        <f>VLOOKUP(B353,'[1]Срок Годности'!$A$2:$B$4,2,0)</f>
        <v>1000</v>
      </c>
      <c r="N353" s="60">
        <f t="shared" si="38"/>
        <v>3372</v>
      </c>
      <c r="O353" s="1" t="str">
        <f t="shared" si="39"/>
        <v>25 2012</v>
      </c>
      <c r="P353" s="1">
        <f t="shared" si="40"/>
        <v>22</v>
      </c>
      <c r="Q353" s="1">
        <f t="shared" ca="1" si="41"/>
        <v>4055</v>
      </c>
      <c r="S353" s="1">
        <f t="shared" si="35"/>
        <v>16506</v>
      </c>
    </row>
    <row r="354" spans="1:19" x14ac:dyDescent="0.2">
      <c r="A354" s="57" t="s">
        <v>235</v>
      </c>
      <c r="B354" s="57" t="s">
        <v>237</v>
      </c>
      <c r="C354" s="57" t="s">
        <v>238</v>
      </c>
      <c r="D354" s="58">
        <v>165.05</v>
      </c>
      <c r="E354" s="59">
        <v>41079</v>
      </c>
      <c r="F354" s="58">
        <v>16507</v>
      </c>
      <c r="G354" s="58">
        <v>6439</v>
      </c>
      <c r="H354" s="58">
        <v>4064</v>
      </c>
      <c r="I354" s="58">
        <v>18813</v>
      </c>
      <c r="J354" s="58">
        <v>0</v>
      </c>
      <c r="K354" s="1">
        <f t="shared" si="36"/>
        <v>670763.20000000007</v>
      </c>
      <c r="L354" s="1">
        <f t="shared" si="37"/>
        <v>4064</v>
      </c>
      <c r="M354" s="1">
        <f>VLOOKUP(B354,'[1]Срок Годности'!$A$2:$B$4,2,0)</f>
        <v>1000</v>
      </c>
      <c r="N354" s="60">
        <f t="shared" si="38"/>
        <v>6439</v>
      </c>
      <c r="O354" s="1" t="str">
        <f t="shared" si="39"/>
        <v>25 2012</v>
      </c>
      <c r="P354" s="1">
        <f t="shared" si="40"/>
        <v>22</v>
      </c>
      <c r="Q354" s="1">
        <f t="shared" ca="1" si="41"/>
        <v>4054</v>
      </c>
      <c r="S354" s="1">
        <f t="shared" si="35"/>
        <v>18813</v>
      </c>
    </row>
    <row r="355" spans="1:19" x14ac:dyDescent="0.2">
      <c r="A355" s="57" t="s">
        <v>235</v>
      </c>
      <c r="B355" s="57" t="s">
        <v>237</v>
      </c>
      <c r="C355" s="57" t="s">
        <v>238</v>
      </c>
      <c r="D355" s="58">
        <v>165.05</v>
      </c>
      <c r="E355" s="59">
        <v>41080</v>
      </c>
      <c r="F355" s="58">
        <v>18813</v>
      </c>
      <c r="G355" s="58">
        <v>4630</v>
      </c>
      <c r="H355" s="58">
        <v>3737</v>
      </c>
      <c r="I355" s="58">
        <v>19673</v>
      </c>
      <c r="J355" s="58">
        <v>0</v>
      </c>
      <c r="K355" s="1">
        <f t="shared" si="36"/>
        <v>616791.85000000009</v>
      </c>
      <c r="L355" s="1">
        <f t="shared" si="37"/>
        <v>3737</v>
      </c>
      <c r="M355" s="1">
        <f>VLOOKUP(B355,'[1]Срок Годности'!$A$2:$B$4,2,0)</f>
        <v>1000</v>
      </c>
      <c r="N355" s="60">
        <f t="shared" si="38"/>
        <v>4630</v>
      </c>
      <c r="O355" s="1" t="str">
        <f t="shared" si="39"/>
        <v>25 2012</v>
      </c>
      <c r="P355" s="1">
        <f t="shared" si="40"/>
        <v>22</v>
      </c>
      <c r="Q355" s="1">
        <f t="shared" ca="1" si="41"/>
        <v>4053</v>
      </c>
      <c r="S355" s="1">
        <f t="shared" si="35"/>
        <v>19673</v>
      </c>
    </row>
    <row r="356" spans="1:19" x14ac:dyDescent="0.2">
      <c r="A356" s="57" t="s">
        <v>235</v>
      </c>
      <c r="B356" s="57" t="s">
        <v>237</v>
      </c>
      <c r="C356" s="57" t="s">
        <v>238</v>
      </c>
      <c r="D356" s="58">
        <v>165.05</v>
      </c>
      <c r="E356" s="59">
        <v>41081</v>
      </c>
      <c r="F356" s="58">
        <v>19673</v>
      </c>
      <c r="G356" s="58">
        <v>4210</v>
      </c>
      <c r="H356" s="58">
        <v>3433</v>
      </c>
      <c r="I356" s="58">
        <v>20431</v>
      </c>
      <c r="J356" s="58">
        <v>0</v>
      </c>
      <c r="K356" s="1">
        <f t="shared" si="36"/>
        <v>566616.65</v>
      </c>
      <c r="L356" s="1">
        <f t="shared" si="37"/>
        <v>3433</v>
      </c>
      <c r="M356" s="1">
        <f>VLOOKUP(B356,'[1]Срок Годности'!$A$2:$B$4,2,0)</f>
        <v>1000</v>
      </c>
      <c r="N356" s="60">
        <f t="shared" si="38"/>
        <v>4210</v>
      </c>
      <c r="O356" s="1" t="str">
        <f t="shared" si="39"/>
        <v>25 2012</v>
      </c>
      <c r="P356" s="1">
        <f t="shared" si="40"/>
        <v>22</v>
      </c>
      <c r="Q356" s="1">
        <f t="shared" ca="1" si="41"/>
        <v>4052</v>
      </c>
      <c r="S356" s="1">
        <f t="shared" si="35"/>
        <v>20431</v>
      </c>
    </row>
    <row r="357" spans="1:19" x14ac:dyDescent="0.2">
      <c r="A357" s="57" t="s">
        <v>235</v>
      </c>
      <c r="B357" s="57" t="s">
        <v>237</v>
      </c>
      <c r="C357" s="57" t="s">
        <v>238</v>
      </c>
      <c r="D357" s="58">
        <v>165.05</v>
      </c>
      <c r="E357" s="59">
        <v>41082</v>
      </c>
      <c r="F357" s="58">
        <v>20431</v>
      </c>
      <c r="G357" s="58">
        <v>2894</v>
      </c>
      <c r="H357" s="58">
        <v>3297</v>
      </c>
      <c r="I357" s="58">
        <v>19984</v>
      </c>
      <c r="J357" s="58">
        <v>0</v>
      </c>
      <c r="K357" s="1">
        <f t="shared" si="36"/>
        <v>544169.85000000009</v>
      </c>
      <c r="L357" s="1">
        <f t="shared" si="37"/>
        <v>3297</v>
      </c>
      <c r="M357" s="1">
        <f>VLOOKUP(B357,'[1]Срок Годности'!$A$2:$B$4,2,0)</f>
        <v>1000</v>
      </c>
      <c r="N357" s="60">
        <f t="shared" si="38"/>
        <v>2894</v>
      </c>
      <c r="O357" s="1" t="str">
        <f t="shared" si="39"/>
        <v>25 2012</v>
      </c>
      <c r="P357" s="1">
        <f t="shared" si="40"/>
        <v>22</v>
      </c>
      <c r="Q357" s="1">
        <f t="shared" ca="1" si="41"/>
        <v>4051</v>
      </c>
      <c r="S357" s="1">
        <f t="shared" si="35"/>
        <v>19984</v>
      </c>
    </row>
    <row r="358" spans="1:19" x14ac:dyDescent="0.2">
      <c r="A358" s="57" t="s">
        <v>235</v>
      </c>
      <c r="B358" s="57" t="s">
        <v>237</v>
      </c>
      <c r="C358" s="57" t="s">
        <v>238</v>
      </c>
      <c r="D358" s="58">
        <v>165.05</v>
      </c>
      <c r="E358" s="59">
        <v>41083</v>
      </c>
      <c r="F358" s="58">
        <v>19984</v>
      </c>
      <c r="G358" s="58">
        <v>3664</v>
      </c>
      <c r="H358" s="58">
        <v>3559</v>
      </c>
      <c r="I358" s="58">
        <v>20070</v>
      </c>
      <c r="J358" s="58">
        <v>0</v>
      </c>
      <c r="K358" s="1">
        <f t="shared" si="36"/>
        <v>587412.95000000007</v>
      </c>
      <c r="L358" s="1">
        <f t="shared" si="37"/>
        <v>3559</v>
      </c>
      <c r="M358" s="1">
        <f>VLOOKUP(B358,'[1]Срок Годности'!$A$2:$B$4,2,0)</f>
        <v>1000</v>
      </c>
      <c r="N358" s="60">
        <f t="shared" si="38"/>
        <v>3664</v>
      </c>
      <c r="O358" s="1" t="str">
        <f t="shared" si="39"/>
        <v>25 2012</v>
      </c>
      <c r="P358" s="1">
        <f t="shared" si="40"/>
        <v>22</v>
      </c>
      <c r="Q358" s="1">
        <f t="shared" ca="1" si="41"/>
        <v>4050</v>
      </c>
      <c r="S358" s="1">
        <f t="shared" si="35"/>
        <v>20070</v>
      </c>
    </row>
    <row r="359" spans="1:19" x14ac:dyDescent="0.2">
      <c r="A359" s="57" t="s">
        <v>235</v>
      </c>
      <c r="B359" s="57" t="s">
        <v>237</v>
      </c>
      <c r="C359" s="57" t="s">
        <v>238</v>
      </c>
      <c r="D359" s="58">
        <v>165.05</v>
      </c>
      <c r="E359" s="59">
        <v>41084</v>
      </c>
      <c r="F359" s="58">
        <v>20070</v>
      </c>
      <c r="G359" s="58">
        <v>2956</v>
      </c>
      <c r="H359" s="58">
        <v>3276</v>
      </c>
      <c r="I359" s="58">
        <v>19743</v>
      </c>
      <c r="J359" s="58">
        <v>0</v>
      </c>
      <c r="K359" s="1">
        <f t="shared" si="36"/>
        <v>540703.80000000005</v>
      </c>
      <c r="L359" s="1">
        <f t="shared" si="37"/>
        <v>3276</v>
      </c>
      <c r="M359" s="1">
        <f>VLOOKUP(B359,'[1]Срок Годности'!$A$2:$B$4,2,0)</f>
        <v>1000</v>
      </c>
      <c r="N359" s="60">
        <f t="shared" si="38"/>
        <v>0</v>
      </c>
      <c r="O359" s="1" t="str">
        <f t="shared" si="39"/>
        <v>26 2012</v>
      </c>
      <c r="P359" s="1">
        <f t="shared" si="40"/>
        <v>22</v>
      </c>
      <c r="Q359" s="1">
        <f t="shared" ca="1" si="41"/>
        <v>4049</v>
      </c>
      <c r="S359" s="1">
        <f t="shared" si="35"/>
        <v>19743</v>
      </c>
    </row>
    <row r="360" spans="1:19" x14ac:dyDescent="0.2">
      <c r="A360" s="57" t="s">
        <v>235</v>
      </c>
      <c r="B360" s="57" t="s">
        <v>237</v>
      </c>
      <c r="C360" s="57" t="s">
        <v>238</v>
      </c>
      <c r="D360" s="58">
        <v>165.05</v>
      </c>
      <c r="E360" s="59">
        <v>41085</v>
      </c>
      <c r="F360" s="58">
        <v>19743</v>
      </c>
      <c r="G360" s="58">
        <v>3075</v>
      </c>
      <c r="H360" s="58">
        <v>2962</v>
      </c>
      <c r="I360" s="58">
        <v>19832</v>
      </c>
      <c r="J360" s="58">
        <v>0</v>
      </c>
      <c r="K360" s="1">
        <f t="shared" si="36"/>
        <v>488878.10000000003</v>
      </c>
      <c r="L360" s="1">
        <f t="shared" si="37"/>
        <v>2962</v>
      </c>
      <c r="M360" s="1">
        <f>VLOOKUP(B360,'[1]Срок Годности'!$A$2:$B$4,2,0)</f>
        <v>1000</v>
      </c>
      <c r="N360" s="60">
        <f t="shared" si="38"/>
        <v>3075</v>
      </c>
      <c r="O360" s="1" t="str">
        <f t="shared" si="39"/>
        <v>26 2012</v>
      </c>
      <c r="P360" s="1">
        <f t="shared" si="40"/>
        <v>22</v>
      </c>
      <c r="Q360" s="1">
        <f t="shared" ca="1" si="41"/>
        <v>4048</v>
      </c>
      <c r="S360" s="1">
        <f t="shared" si="35"/>
        <v>19832</v>
      </c>
    </row>
    <row r="361" spans="1:19" x14ac:dyDescent="0.2">
      <c r="A361" s="57" t="s">
        <v>235</v>
      </c>
      <c r="B361" s="57" t="s">
        <v>237</v>
      </c>
      <c r="C361" s="57" t="s">
        <v>238</v>
      </c>
      <c r="D361" s="58">
        <v>165.05</v>
      </c>
      <c r="E361" s="59">
        <v>41086</v>
      </c>
      <c r="F361" s="58">
        <v>19832</v>
      </c>
      <c r="G361" s="58">
        <v>3150</v>
      </c>
      <c r="H361" s="58">
        <v>3063</v>
      </c>
      <c r="I361" s="58">
        <v>19888</v>
      </c>
      <c r="J361" s="58">
        <v>0</v>
      </c>
      <c r="K361" s="1">
        <f t="shared" si="36"/>
        <v>505548.15</v>
      </c>
      <c r="L361" s="1">
        <f t="shared" si="37"/>
        <v>3063</v>
      </c>
      <c r="M361" s="1">
        <f>VLOOKUP(B361,'[1]Срок Годности'!$A$2:$B$4,2,0)</f>
        <v>1000</v>
      </c>
      <c r="N361" s="60">
        <f t="shared" si="38"/>
        <v>3150</v>
      </c>
      <c r="O361" s="1" t="str">
        <f t="shared" si="39"/>
        <v>26 2012</v>
      </c>
      <c r="P361" s="1">
        <f t="shared" si="40"/>
        <v>22</v>
      </c>
      <c r="Q361" s="1">
        <f t="shared" ca="1" si="41"/>
        <v>4047</v>
      </c>
      <c r="S361" s="1">
        <f t="shared" si="35"/>
        <v>19888</v>
      </c>
    </row>
    <row r="362" spans="1:19" x14ac:dyDescent="0.2">
      <c r="A362" s="57" t="s">
        <v>235</v>
      </c>
      <c r="B362" s="57" t="s">
        <v>237</v>
      </c>
      <c r="C362" s="57" t="s">
        <v>238</v>
      </c>
      <c r="D362" s="58">
        <v>165.05</v>
      </c>
      <c r="E362" s="59">
        <v>41087</v>
      </c>
      <c r="F362" s="58">
        <v>19888</v>
      </c>
      <c r="G362" s="58">
        <v>2392</v>
      </c>
      <c r="H362" s="58">
        <v>3145</v>
      </c>
      <c r="I362" s="58">
        <v>19103</v>
      </c>
      <c r="J362" s="58">
        <v>0</v>
      </c>
      <c r="K362" s="1">
        <f t="shared" si="36"/>
        <v>519082.25000000006</v>
      </c>
      <c r="L362" s="1">
        <f t="shared" si="37"/>
        <v>3145</v>
      </c>
      <c r="M362" s="1">
        <f>VLOOKUP(B362,'[1]Срок Годности'!$A$2:$B$4,2,0)</f>
        <v>1000</v>
      </c>
      <c r="N362" s="60">
        <f t="shared" si="38"/>
        <v>2392</v>
      </c>
      <c r="O362" s="1" t="str">
        <f t="shared" si="39"/>
        <v>26 2012</v>
      </c>
      <c r="P362" s="1">
        <f t="shared" si="40"/>
        <v>22</v>
      </c>
      <c r="Q362" s="1">
        <f t="shared" ca="1" si="41"/>
        <v>4046</v>
      </c>
      <c r="S362" s="1">
        <f t="shared" si="35"/>
        <v>19103</v>
      </c>
    </row>
    <row r="363" spans="1:19" x14ac:dyDescent="0.2">
      <c r="A363" s="57" t="s">
        <v>235</v>
      </c>
      <c r="B363" s="57" t="s">
        <v>237</v>
      </c>
      <c r="C363" s="57" t="s">
        <v>238</v>
      </c>
      <c r="D363" s="58">
        <v>165.05</v>
      </c>
      <c r="E363" s="59">
        <v>41088</v>
      </c>
      <c r="F363" s="58">
        <v>19103</v>
      </c>
      <c r="G363" s="58">
        <v>2119</v>
      </c>
      <c r="H363" s="58">
        <v>3112</v>
      </c>
      <c r="I363" s="58">
        <v>18087</v>
      </c>
      <c r="J363" s="58">
        <v>0</v>
      </c>
      <c r="K363" s="1">
        <f t="shared" si="36"/>
        <v>513635.60000000003</v>
      </c>
      <c r="L363" s="1">
        <f t="shared" si="37"/>
        <v>3112</v>
      </c>
      <c r="M363" s="1">
        <f>VLOOKUP(B363,'[1]Срок Годности'!$A$2:$B$4,2,0)</f>
        <v>1000</v>
      </c>
      <c r="N363" s="60">
        <f t="shared" si="38"/>
        <v>2119</v>
      </c>
      <c r="O363" s="1" t="str">
        <f t="shared" si="39"/>
        <v>26 2012</v>
      </c>
      <c r="P363" s="1">
        <f t="shared" si="40"/>
        <v>22</v>
      </c>
      <c r="Q363" s="1">
        <f t="shared" ca="1" si="41"/>
        <v>4045</v>
      </c>
      <c r="S363" s="1">
        <f t="shared" si="35"/>
        <v>18087</v>
      </c>
    </row>
    <row r="364" spans="1:19" x14ac:dyDescent="0.2">
      <c r="A364" s="57" t="s">
        <v>235</v>
      </c>
      <c r="B364" s="57" t="s">
        <v>237</v>
      </c>
      <c r="C364" s="57" t="s">
        <v>238</v>
      </c>
      <c r="D364" s="58">
        <v>165.05</v>
      </c>
      <c r="E364" s="59">
        <v>41089</v>
      </c>
      <c r="F364" s="58">
        <v>18087</v>
      </c>
      <c r="G364" s="58">
        <v>2513</v>
      </c>
      <c r="H364" s="58">
        <v>3411</v>
      </c>
      <c r="I364" s="58">
        <v>17122</v>
      </c>
      <c r="J364" s="58">
        <v>0</v>
      </c>
      <c r="K364" s="1">
        <f t="shared" si="36"/>
        <v>562985.55000000005</v>
      </c>
      <c r="L364" s="1">
        <f t="shared" si="37"/>
        <v>3411</v>
      </c>
      <c r="M364" s="1">
        <f>VLOOKUP(B364,'[1]Срок Годности'!$A$2:$B$4,2,0)</f>
        <v>1000</v>
      </c>
      <c r="N364" s="60">
        <f t="shared" si="38"/>
        <v>2513</v>
      </c>
      <c r="O364" s="1" t="str">
        <f t="shared" si="39"/>
        <v>26 2012</v>
      </c>
      <c r="P364" s="1">
        <f t="shared" si="40"/>
        <v>22</v>
      </c>
      <c r="Q364" s="1">
        <f t="shared" ca="1" si="41"/>
        <v>4044</v>
      </c>
      <c r="S364" s="1">
        <f t="shared" si="35"/>
        <v>17122</v>
      </c>
    </row>
    <row r="365" spans="1:19" x14ac:dyDescent="0.2">
      <c r="A365" s="57" t="s">
        <v>235</v>
      </c>
      <c r="B365" s="57" t="s">
        <v>237</v>
      </c>
      <c r="C365" s="57" t="s">
        <v>238</v>
      </c>
      <c r="D365" s="58">
        <v>165.05</v>
      </c>
      <c r="E365" s="59">
        <v>41090</v>
      </c>
      <c r="F365" s="58">
        <v>17122</v>
      </c>
      <c r="G365" s="58">
        <v>2567</v>
      </c>
      <c r="H365" s="58">
        <v>4223</v>
      </c>
      <c r="I365" s="58">
        <v>15412</v>
      </c>
      <c r="J365" s="58">
        <v>2</v>
      </c>
      <c r="K365" s="1">
        <f t="shared" si="36"/>
        <v>697006.15</v>
      </c>
      <c r="L365" s="1">
        <f t="shared" si="37"/>
        <v>4223</v>
      </c>
      <c r="M365" s="1">
        <f>VLOOKUP(B365,'[1]Срок Годности'!$A$2:$B$4,2,0)</f>
        <v>1000</v>
      </c>
      <c r="N365" s="60">
        <f t="shared" si="38"/>
        <v>2567</v>
      </c>
      <c r="O365" s="1" t="str">
        <f t="shared" si="39"/>
        <v>26 2012</v>
      </c>
      <c r="P365" s="1">
        <f t="shared" si="40"/>
        <v>22</v>
      </c>
      <c r="Q365" s="1">
        <f t="shared" ca="1" si="41"/>
        <v>4043</v>
      </c>
      <c r="S365" s="1">
        <f t="shared" si="35"/>
        <v>15410</v>
      </c>
    </row>
    <row r="366" spans="1:19" x14ac:dyDescent="0.2">
      <c r="A366" s="57" t="s">
        <v>235</v>
      </c>
      <c r="B366" s="57" t="s">
        <v>237</v>
      </c>
      <c r="C366" s="57" t="s">
        <v>238</v>
      </c>
      <c r="D366" s="58">
        <v>165.05</v>
      </c>
      <c r="E366" s="59">
        <v>41091</v>
      </c>
      <c r="F366" s="58">
        <v>15412</v>
      </c>
      <c r="G366" s="58">
        <v>3665</v>
      </c>
      <c r="H366" s="58">
        <v>4492</v>
      </c>
      <c r="I366" s="58">
        <v>14554</v>
      </c>
      <c r="J366" s="58">
        <v>0</v>
      </c>
      <c r="K366" s="1">
        <f t="shared" si="36"/>
        <v>741404.60000000009</v>
      </c>
      <c r="L366" s="1">
        <f t="shared" si="37"/>
        <v>4492</v>
      </c>
      <c r="M366" s="1">
        <f>VLOOKUP(B366,'[1]Срок Годности'!$A$2:$B$4,2,0)</f>
        <v>1000</v>
      </c>
      <c r="N366" s="60">
        <f t="shared" si="38"/>
        <v>0</v>
      </c>
      <c r="O366" s="1" t="str">
        <f t="shared" si="39"/>
        <v>27 2012</v>
      </c>
      <c r="P366" s="1">
        <f t="shared" si="40"/>
        <v>22</v>
      </c>
      <c r="Q366" s="1">
        <f t="shared" ca="1" si="41"/>
        <v>4042</v>
      </c>
      <c r="S366" s="1">
        <f t="shared" si="35"/>
        <v>14554</v>
      </c>
    </row>
    <row r="367" spans="1:19" x14ac:dyDescent="0.2">
      <c r="A367" s="57" t="s">
        <v>235</v>
      </c>
      <c r="B367" s="57" t="s">
        <v>237</v>
      </c>
      <c r="C367" s="57" t="s">
        <v>238</v>
      </c>
      <c r="D367" s="58">
        <v>165.05</v>
      </c>
      <c r="E367" s="59">
        <v>41092</v>
      </c>
      <c r="F367" s="58">
        <v>14554</v>
      </c>
      <c r="G367" s="58">
        <v>4466</v>
      </c>
      <c r="H367" s="58">
        <v>4401</v>
      </c>
      <c r="I367" s="58">
        <v>14585</v>
      </c>
      <c r="J367" s="58">
        <v>0</v>
      </c>
      <c r="K367" s="1">
        <f t="shared" si="36"/>
        <v>726385.05</v>
      </c>
      <c r="L367" s="1">
        <f t="shared" si="37"/>
        <v>4401</v>
      </c>
      <c r="M367" s="1">
        <f>VLOOKUP(B367,'[1]Срок Годности'!$A$2:$B$4,2,0)</f>
        <v>1000</v>
      </c>
      <c r="N367" s="60">
        <f t="shared" si="38"/>
        <v>4466</v>
      </c>
      <c r="O367" s="1" t="str">
        <f t="shared" si="39"/>
        <v>27 2012</v>
      </c>
      <c r="P367" s="1">
        <f t="shared" si="40"/>
        <v>22</v>
      </c>
      <c r="Q367" s="1">
        <f t="shared" ca="1" si="41"/>
        <v>4041</v>
      </c>
      <c r="S367" s="1">
        <f t="shared" si="35"/>
        <v>14585</v>
      </c>
    </row>
    <row r="368" spans="1:19" x14ac:dyDescent="0.2">
      <c r="A368" s="57" t="s">
        <v>235</v>
      </c>
      <c r="B368" s="57" t="s">
        <v>237</v>
      </c>
      <c r="C368" s="57" t="s">
        <v>238</v>
      </c>
      <c r="D368" s="58">
        <v>165.05</v>
      </c>
      <c r="E368" s="59">
        <v>41093</v>
      </c>
      <c r="F368" s="58">
        <v>14585</v>
      </c>
      <c r="G368" s="58">
        <v>5439</v>
      </c>
      <c r="H368" s="58">
        <v>4000</v>
      </c>
      <c r="I368" s="58">
        <v>15964</v>
      </c>
      <c r="J368" s="58">
        <v>1</v>
      </c>
      <c r="K368" s="1">
        <f t="shared" si="36"/>
        <v>660200</v>
      </c>
      <c r="L368" s="1">
        <f t="shared" si="37"/>
        <v>4000</v>
      </c>
      <c r="M368" s="1">
        <f>VLOOKUP(B368,'[1]Срок Годности'!$A$2:$B$4,2,0)</f>
        <v>1000</v>
      </c>
      <c r="N368" s="60">
        <f t="shared" si="38"/>
        <v>5439</v>
      </c>
      <c r="O368" s="1" t="str">
        <f t="shared" si="39"/>
        <v>27 2012</v>
      </c>
      <c r="P368" s="1">
        <f t="shared" si="40"/>
        <v>22</v>
      </c>
      <c r="Q368" s="1">
        <f t="shared" ca="1" si="41"/>
        <v>4040</v>
      </c>
      <c r="S368" s="1">
        <f t="shared" si="35"/>
        <v>15963</v>
      </c>
    </row>
    <row r="369" spans="1:19" x14ac:dyDescent="0.2">
      <c r="A369" s="57" t="s">
        <v>235</v>
      </c>
      <c r="B369" s="57" t="s">
        <v>237</v>
      </c>
      <c r="C369" s="57" t="s">
        <v>238</v>
      </c>
      <c r="D369" s="58">
        <v>165.05</v>
      </c>
      <c r="E369" s="59">
        <v>41094</v>
      </c>
      <c r="F369" s="58">
        <v>15964</v>
      </c>
      <c r="G369" s="58">
        <v>5582</v>
      </c>
      <c r="H369" s="58">
        <v>3900</v>
      </c>
      <c r="I369" s="58">
        <v>17600</v>
      </c>
      <c r="J369" s="58">
        <v>0</v>
      </c>
      <c r="K369" s="1">
        <f t="shared" si="36"/>
        <v>643695</v>
      </c>
      <c r="L369" s="1">
        <f t="shared" si="37"/>
        <v>3900</v>
      </c>
      <c r="M369" s="1">
        <f>VLOOKUP(B369,'[1]Срок Годности'!$A$2:$B$4,2,0)</f>
        <v>1000</v>
      </c>
      <c r="N369" s="60">
        <f t="shared" si="38"/>
        <v>5582</v>
      </c>
      <c r="O369" s="1" t="str">
        <f t="shared" si="39"/>
        <v>27 2012</v>
      </c>
      <c r="P369" s="1">
        <f t="shared" si="40"/>
        <v>22</v>
      </c>
      <c r="Q369" s="1">
        <f t="shared" ca="1" si="41"/>
        <v>4039</v>
      </c>
      <c r="S369" s="1">
        <f t="shared" si="35"/>
        <v>17600</v>
      </c>
    </row>
    <row r="370" spans="1:19" x14ac:dyDescent="0.2">
      <c r="A370" s="57" t="s">
        <v>235</v>
      </c>
      <c r="B370" s="57" t="s">
        <v>237</v>
      </c>
      <c r="C370" s="57" t="s">
        <v>238</v>
      </c>
      <c r="D370" s="58">
        <v>165.05</v>
      </c>
      <c r="E370" s="59">
        <v>41095</v>
      </c>
      <c r="F370" s="58">
        <v>17600</v>
      </c>
      <c r="G370" s="58">
        <v>4650</v>
      </c>
      <c r="H370" s="58">
        <v>3686</v>
      </c>
      <c r="I370" s="58">
        <v>18519</v>
      </c>
      <c r="J370" s="58">
        <v>0</v>
      </c>
      <c r="K370" s="1">
        <f t="shared" si="36"/>
        <v>608374.30000000005</v>
      </c>
      <c r="L370" s="1">
        <f t="shared" si="37"/>
        <v>3686</v>
      </c>
      <c r="M370" s="1">
        <f>VLOOKUP(B370,'[1]Срок Годности'!$A$2:$B$4,2,0)</f>
        <v>1000</v>
      </c>
      <c r="N370" s="60">
        <f t="shared" si="38"/>
        <v>4650</v>
      </c>
      <c r="O370" s="1" t="str">
        <f t="shared" si="39"/>
        <v>27 2012</v>
      </c>
      <c r="P370" s="1">
        <f t="shared" si="40"/>
        <v>22</v>
      </c>
      <c r="Q370" s="1">
        <f t="shared" ca="1" si="41"/>
        <v>4038</v>
      </c>
      <c r="S370" s="1">
        <f t="shared" si="35"/>
        <v>18519</v>
      </c>
    </row>
    <row r="371" spans="1:19" x14ac:dyDescent="0.2">
      <c r="A371" s="57" t="s">
        <v>235</v>
      </c>
      <c r="B371" s="57" t="s">
        <v>237</v>
      </c>
      <c r="C371" s="57" t="s">
        <v>238</v>
      </c>
      <c r="D371" s="58">
        <v>165.05</v>
      </c>
      <c r="E371" s="59">
        <v>41096</v>
      </c>
      <c r="F371" s="58">
        <v>18519</v>
      </c>
      <c r="G371" s="58">
        <v>3720</v>
      </c>
      <c r="H371" s="58">
        <v>3871</v>
      </c>
      <c r="I371" s="58">
        <v>18316</v>
      </c>
      <c r="J371" s="58">
        <v>0</v>
      </c>
      <c r="K371" s="1">
        <f t="shared" si="36"/>
        <v>638908.55000000005</v>
      </c>
      <c r="L371" s="1">
        <f t="shared" si="37"/>
        <v>3871</v>
      </c>
      <c r="M371" s="1">
        <f>VLOOKUP(B371,'[1]Срок Годности'!$A$2:$B$4,2,0)</f>
        <v>1000</v>
      </c>
      <c r="N371" s="60">
        <f t="shared" si="38"/>
        <v>3720</v>
      </c>
      <c r="O371" s="1" t="str">
        <f t="shared" si="39"/>
        <v>27 2012</v>
      </c>
      <c r="P371" s="1">
        <f t="shared" si="40"/>
        <v>22</v>
      </c>
      <c r="Q371" s="1">
        <f t="shared" ca="1" si="41"/>
        <v>4037</v>
      </c>
      <c r="S371" s="1">
        <f t="shared" si="35"/>
        <v>18316</v>
      </c>
    </row>
    <row r="372" spans="1:19" x14ac:dyDescent="0.2">
      <c r="A372" s="57" t="s">
        <v>235</v>
      </c>
      <c r="B372" s="57" t="s">
        <v>237</v>
      </c>
      <c r="C372" s="57" t="s">
        <v>238</v>
      </c>
      <c r="D372" s="58">
        <v>165.05</v>
      </c>
      <c r="E372" s="59">
        <v>41097</v>
      </c>
      <c r="F372" s="58">
        <v>18316</v>
      </c>
      <c r="G372" s="58">
        <v>4353</v>
      </c>
      <c r="H372" s="58">
        <v>4276</v>
      </c>
      <c r="I372" s="58">
        <v>18352</v>
      </c>
      <c r="J372" s="58">
        <v>0</v>
      </c>
      <c r="K372" s="1">
        <f t="shared" si="36"/>
        <v>705753.8</v>
      </c>
      <c r="L372" s="1">
        <f t="shared" si="37"/>
        <v>4276</v>
      </c>
      <c r="M372" s="1">
        <f>VLOOKUP(B372,'[1]Срок Годности'!$A$2:$B$4,2,0)</f>
        <v>1000</v>
      </c>
      <c r="N372" s="60">
        <f t="shared" si="38"/>
        <v>4353</v>
      </c>
      <c r="O372" s="1" t="str">
        <f t="shared" si="39"/>
        <v>27 2012</v>
      </c>
      <c r="P372" s="1">
        <f t="shared" si="40"/>
        <v>22</v>
      </c>
      <c r="Q372" s="1">
        <f t="shared" ca="1" si="41"/>
        <v>4036</v>
      </c>
      <c r="S372" s="1">
        <f t="shared" si="35"/>
        <v>18352</v>
      </c>
    </row>
    <row r="373" spans="1:19" x14ac:dyDescent="0.2">
      <c r="A373" s="57" t="s">
        <v>235</v>
      </c>
      <c r="B373" s="57" t="s">
        <v>237</v>
      </c>
      <c r="C373" s="57" t="s">
        <v>238</v>
      </c>
      <c r="D373" s="58">
        <v>165.05</v>
      </c>
      <c r="E373" s="59">
        <v>41098</v>
      </c>
      <c r="F373" s="58">
        <v>18352</v>
      </c>
      <c r="G373" s="58">
        <v>4185</v>
      </c>
      <c r="H373" s="58">
        <v>3838</v>
      </c>
      <c r="I373" s="58">
        <v>18635</v>
      </c>
      <c r="J373" s="58">
        <v>0</v>
      </c>
      <c r="K373" s="1">
        <f t="shared" si="36"/>
        <v>633461.9</v>
      </c>
      <c r="L373" s="1">
        <f t="shared" si="37"/>
        <v>3838</v>
      </c>
      <c r="M373" s="1">
        <f>VLOOKUP(B373,'[1]Срок Годности'!$A$2:$B$4,2,0)</f>
        <v>1000</v>
      </c>
      <c r="N373" s="60">
        <f t="shared" si="38"/>
        <v>0</v>
      </c>
      <c r="O373" s="1" t="str">
        <f t="shared" si="39"/>
        <v>28 2012</v>
      </c>
      <c r="P373" s="1">
        <f t="shared" si="40"/>
        <v>22</v>
      </c>
      <c r="Q373" s="1">
        <f t="shared" ca="1" si="41"/>
        <v>4035</v>
      </c>
      <c r="S373" s="1">
        <f t="shared" si="35"/>
        <v>18635</v>
      </c>
    </row>
    <row r="374" spans="1:19" x14ac:dyDescent="0.2">
      <c r="A374" s="57" t="s">
        <v>235</v>
      </c>
      <c r="B374" s="57" t="s">
        <v>237</v>
      </c>
      <c r="C374" s="57" t="s">
        <v>238</v>
      </c>
      <c r="D374" s="58">
        <v>165.05</v>
      </c>
      <c r="E374" s="59">
        <v>41099</v>
      </c>
      <c r="F374" s="58">
        <v>18635</v>
      </c>
      <c r="G374" s="58">
        <v>4621</v>
      </c>
      <c r="H374" s="58">
        <v>3479</v>
      </c>
      <c r="I374" s="58">
        <v>19684</v>
      </c>
      <c r="J374" s="58">
        <v>0</v>
      </c>
      <c r="K374" s="1">
        <f t="shared" si="36"/>
        <v>574208.95000000007</v>
      </c>
      <c r="L374" s="1">
        <f t="shared" si="37"/>
        <v>3479</v>
      </c>
      <c r="M374" s="1">
        <f>VLOOKUP(B374,'[1]Срок Годности'!$A$2:$B$4,2,0)</f>
        <v>1000</v>
      </c>
      <c r="N374" s="60">
        <f t="shared" si="38"/>
        <v>4621</v>
      </c>
      <c r="O374" s="1" t="str">
        <f t="shared" si="39"/>
        <v>28 2012</v>
      </c>
      <c r="P374" s="1">
        <f t="shared" si="40"/>
        <v>22</v>
      </c>
      <c r="Q374" s="1">
        <f t="shared" ca="1" si="41"/>
        <v>4034</v>
      </c>
      <c r="S374" s="1">
        <f t="shared" si="35"/>
        <v>19684</v>
      </c>
    </row>
    <row r="375" spans="1:19" x14ac:dyDescent="0.2">
      <c r="A375" s="57" t="s">
        <v>235</v>
      </c>
      <c r="B375" s="57" t="s">
        <v>237</v>
      </c>
      <c r="C375" s="57" t="s">
        <v>238</v>
      </c>
      <c r="D375" s="58">
        <v>165.05</v>
      </c>
      <c r="E375" s="59">
        <v>41100</v>
      </c>
      <c r="F375" s="58">
        <v>19684</v>
      </c>
      <c r="G375" s="58">
        <v>3630</v>
      </c>
      <c r="H375" s="58">
        <v>3288</v>
      </c>
      <c r="I375" s="58">
        <v>19960</v>
      </c>
      <c r="J375" s="58">
        <v>0</v>
      </c>
      <c r="K375" s="1">
        <f t="shared" si="36"/>
        <v>542684.4</v>
      </c>
      <c r="L375" s="1">
        <f t="shared" si="37"/>
        <v>3288</v>
      </c>
      <c r="M375" s="1">
        <f>VLOOKUP(B375,'[1]Срок Годности'!$A$2:$B$4,2,0)</f>
        <v>1000</v>
      </c>
      <c r="N375" s="60">
        <f t="shared" si="38"/>
        <v>3630</v>
      </c>
      <c r="O375" s="1" t="str">
        <f t="shared" si="39"/>
        <v>28 2012</v>
      </c>
      <c r="P375" s="1">
        <f t="shared" si="40"/>
        <v>22</v>
      </c>
      <c r="Q375" s="1">
        <f t="shared" ca="1" si="41"/>
        <v>4033</v>
      </c>
      <c r="S375" s="1">
        <f t="shared" si="35"/>
        <v>19960</v>
      </c>
    </row>
    <row r="376" spans="1:19" x14ac:dyDescent="0.2">
      <c r="A376" s="57" t="s">
        <v>235</v>
      </c>
      <c r="B376" s="57" t="s">
        <v>237</v>
      </c>
      <c r="C376" s="57" t="s">
        <v>238</v>
      </c>
      <c r="D376" s="58">
        <v>165.05</v>
      </c>
      <c r="E376" s="59">
        <v>41101</v>
      </c>
      <c r="F376" s="58">
        <v>19960</v>
      </c>
      <c r="G376" s="58">
        <v>3122</v>
      </c>
      <c r="H376" s="58">
        <v>3133</v>
      </c>
      <c r="I376" s="58">
        <v>19932</v>
      </c>
      <c r="J376" s="58">
        <v>0</v>
      </c>
      <c r="K376" s="1">
        <f t="shared" si="36"/>
        <v>517101.65</v>
      </c>
      <c r="L376" s="1">
        <f t="shared" si="37"/>
        <v>3133</v>
      </c>
      <c r="M376" s="1">
        <f>VLOOKUP(B376,'[1]Срок Годности'!$A$2:$B$4,2,0)</f>
        <v>1000</v>
      </c>
      <c r="N376" s="60">
        <f t="shared" si="38"/>
        <v>3122</v>
      </c>
      <c r="O376" s="1" t="str">
        <f t="shared" si="39"/>
        <v>28 2012</v>
      </c>
      <c r="P376" s="1">
        <f t="shared" si="40"/>
        <v>22</v>
      </c>
      <c r="Q376" s="1">
        <f t="shared" ca="1" si="41"/>
        <v>4032</v>
      </c>
      <c r="S376" s="1">
        <f t="shared" si="35"/>
        <v>19932</v>
      </c>
    </row>
    <row r="377" spans="1:19" x14ac:dyDescent="0.2">
      <c r="A377" s="57" t="s">
        <v>235</v>
      </c>
      <c r="B377" s="57" t="s">
        <v>237</v>
      </c>
      <c r="C377" s="57" t="s">
        <v>238</v>
      </c>
      <c r="D377" s="58">
        <v>165.05</v>
      </c>
      <c r="E377" s="59">
        <v>41102</v>
      </c>
      <c r="F377" s="58">
        <v>19932</v>
      </c>
      <c r="G377" s="58">
        <v>2494</v>
      </c>
      <c r="H377" s="58">
        <v>2939</v>
      </c>
      <c r="I377" s="58">
        <v>19447</v>
      </c>
      <c r="J377" s="58">
        <v>0</v>
      </c>
      <c r="K377" s="1">
        <f t="shared" si="36"/>
        <v>485081.95</v>
      </c>
      <c r="L377" s="1">
        <f t="shared" si="37"/>
        <v>2939</v>
      </c>
      <c r="M377" s="1">
        <f>VLOOKUP(B377,'[1]Срок Годности'!$A$2:$B$4,2,0)</f>
        <v>1000</v>
      </c>
      <c r="N377" s="60">
        <f t="shared" si="38"/>
        <v>2494</v>
      </c>
      <c r="O377" s="1" t="str">
        <f t="shared" si="39"/>
        <v>28 2012</v>
      </c>
      <c r="P377" s="1">
        <f t="shared" si="40"/>
        <v>22</v>
      </c>
      <c r="Q377" s="1">
        <f t="shared" ca="1" si="41"/>
        <v>4031</v>
      </c>
      <c r="S377" s="1">
        <f t="shared" si="35"/>
        <v>19447</v>
      </c>
    </row>
    <row r="378" spans="1:19" x14ac:dyDescent="0.2">
      <c r="A378" s="57" t="s">
        <v>235</v>
      </c>
      <c r="B378" s="57" t="s">
        <v>237</v>
      </c>
      <c r="C378" s="57" t="s">
        <v>238</v>
      </c>
      <c r="D378" s="58">
        <v>165.05</v>
      </c>
      <c r="E378" s="59">
        <v>41103</v>
      </c>
      <c r="F378" s="58">
        <v>19447</v>
      </c>
      <c r="G378" s="58">
        <v>2586</v>
      </c>
      <c r="H378" s="58">
        <v>2828</v>
      </c>
      <c r="I378" s="58">
        <v>19163</v>
      </c>
      <c r="J378" s="58">
        <v>0</v>
      </c>
      <c r="K378" s="1">
        <f t="shared" si="36"/>
        <v>466761.4</v>
      </c>
      <c r="L378" s="1">
        <f t="shared" si="37"/>
        <v>2828</v>
      </c>
      <c r="M378" s="1">
        <f>VLOOKUP(B378,'[1]Срок Годности'!$A$2:$B$4,2,0)</f>
        <v>1000</v>
      </c>
      <c r="N378" s="60">
        <f t="shared" si="38"/>
        <v>2586</v>
      </c>
      <c r="O378" s="1" t="str">
        <f t="shared" si="39"/>
        <v>28 2012</v>
      </c>
      <c r="P378" s="1">
        <f t="shared" si="40"/>
        <v>22</v>
      </c>
      <c r="Q378" s="1">
        <f t="shared" ca="1" si="41"/>
        <v>4030</v>
      </c>
      <c r="S378" s="1">
        <f t="shared" si="35"/>
        <v>19163</v>
      </c>
    </row>
    <row r="379" spans="1:19" x14ac:dyDescent="0.2">
      <c r="A379" s="57" t="s">
        <v>235</v>
      </c>
      <c r="B379" s="57" t="s">
        <v>237</v>
      </c>
      <c r="C379" s="57" t="s">
        <v>238</v>
      </c>
      <c r="D379" s="58">
        <v>165.05</v>
      </c>
      <c r="E379" s="59">
        <v>41104</v>
      </c>
      <c r="F379" s="58">
        <v>19163</v>
      </c>
      <c r="G379" s="58">
        <v>2458</v>
      </c>
      <c r="H379" s="58">
        <v>2887</v>
      </c>
      <c r="I379" s="58">
        <v>18706</v>
      </c>
      <c r="J379" s="58">
        <v>1</v>
      </c>
      <c r="K379" s="1">
        <f t="shared" si="36"/>
        <v>476499.35000000003</v>
      </c>
      <c r="L379" s="1">
        <f t="shared" si="37"/>
        <v>2887</v>
      </c>
      <c r="M379" s="1">
        <f>VLOOKUP(B379,'[1]Срок Годности'!$A$2:$B$4,2,0)</f>
        <v>1000</v>
      </c>
      <c r="N379" s="60">
        <f t="shared" si="38"/>
        <v>2458</v>
      </c>
      <c r="O379" s="1" t="str">
        <f t="shared" si="39"/>
        <v>28 2012</v>
      </c>
      <c r="P379" s="1">
        <f t="shared" si="40"/>
        <v>22</v>
      </c>
      <c r="Q379" s="1">
        <f t="shared" ca="1" si="41"/>
        <v>4029</v>
      </c>
      <c r="S379" s="1">
        <f t="shared" si="35"/>
        <v>18705</v>
      </c>
    </row>
    <row r="380" spans="1:19" x14ac:dyDescent="0.2">
      <c r="A380" s="57" t="s">
        <v>235</v>
      </c>
      <c r="B380" s="57" t="s">
        <v>237</v>
      </c>
      <c r="C380" s="57" t="s">
        <v>238</v>
      </c>
      <c r="D380" s="58">
        <v>165.05</v>
      </c>
      <c r="E380" s="59">
        <v>41105</v>
      </c>
      <c r="F380" s="58">
        <v>18706</v>
      </c>
      <c r="G380" s="58">
        <v>2247</v>
      </c>
      <c r="H380" s="58">
        <v>2399</v>
      </c>
      <c r="I380" s="58">
        <v>18536</v>
      </c>
      <c r="J380" s="58">
        <v>0</v>
      </c>
      <c r="K380" s="1">
        <f t="shared" si="36"/>
        <v>395954.95</v>
      </c>
      <c r="L380" s="1">
        <f t="shared" si="37"/>
        <v>2399</v>
      </c>
      <c r="M380" s="1">
        <f>VLOOKUP(B380,'[1]Срок Годности'!$A$2:$B$4,2,0)</f>
        <v>1000</v>
      </c>
      <c r="N380" s="60">
        <f t="shared" si="38"/>
        <v>0</v>
      </c>
      <c r="O380" s="1" t="str">
        <f t="shared" si="39"/>
        <v>29 2012</v>
      </c>
      <c r="P380" s="1">
        <f t="shared" si="40"/>
        <v>22</v>
      </c>
      <c r="Q380" s="1">
        <f t="shared" ca="1" si="41"/>
        <v>4028</v>
      </c>
      <c r="S380" s="1">
        <f t="shared" si="35"/>
        <v>18536</v>
      </c>
    </row>
    <row r="381" spans="1:19" x14ac:dyDescent="0.2">
      <c r="A381" s="57" t="s">
        <v>235</v>
      </c>
      <c r="B381" s="57" t="s">
        <v>237</v>
      </c>
      <c r="C381" s="57" t="s">
        <v>238</v>
      </c>
      <c r="D381" s="58">
        <v>165.05</v>
      </c>
      <c r="E381" s="59">
        <v>41106</v>
      </c>
      <c r="F381" s="58">
        <v>18536</v>
      </c>
      <c r="G381" s="58">
        <v>2195</v>
      </c>
      <c r="H381" s="58">
        <v>2124</v>
      </c>
      <c r="I381" s="58">
        <v>18596</v>
      </c>
      <c r="J381" s="58">
        <v>0</v>
      </c>
      <c r="K381" s="1">
        <f t="shared" si="36"/>
        <v>350566.2</v>
      </c>
      <c r="L381" s="1">
        <f t="shared" si="37"/>
        <v>2124</v>
      </c>
      <c r="M381" s="1">
        <f>VLOOKUP(B381,'[1]Срок Годности'!$A$2:$B$4,2,0)</f>
        <v>1000</v>
      </c>
      <c r="N381" s="60">
        <f t="shared" si="38"/>
        <v>2195</v>
      </c>
      <c r="O381" s="1" t="str">
        <f t="shared" si="39"/>
        <v>29 2012</v>
      </c>
      <c r="P381" s="1">
        <f t="shared" si="40"/>
        <v>22</v>
      </c>
      <c r="Q381" s="1">
        <f t="shared" ca="1" si="41"/>
        <v>4027</v>
      </c>
      <c r="S381" s="1">
        <f t="shared" si="35"/>
        <v>18596</v>
      </c>
    </row>
    <row r="382" spans="1:19" x14ac:dyDescent="0.2">
      <c r="A382" s="57" t="s">
        <v>235</v>
      </c>
      <c r="B382" s="57" t="s">
        <v>237</v>
      </c>
      <c r="C382" s="57" t="s">
        <v>238</v>
      </c>
      <c r="D382" s="58">
        <v>165.05</v>
      </c>
      <c r="E382" s="59">
        <v>41107</v>
      </c>
      <c r="F382" s="58">
        <v>18596</v>
      </c>
      <c r="G382" s="58">
        <v>1639</v>
      </c>
      <c r="H382" s="58">
        <v>1916</v>
      </c>
      <c r="I382" s="58">
        <v>18293</v>
      </c>
      <c r="J382" s="58">
        <v>1</v>
      </c>
      <c r="K382" s="1">
        <f t="shared" si="36"/>
        <v>316235.80000000005</v>
      </c>
      <c r="L382" s="1">
        <f t="shared" si="37"/>
        <v>1916</v>
      </c>
      <c r="M382" s="1">
        <f>VLOOKUP(B382,'[1]Срок Годности'!$A$2:$B$4,2,0)</f>
        <v>1000</v>
      </c>
      <c r="N382" s="60">
        <f t="shared" si="38"/>
        <v>1639</v>
      </c>
      <c r="O382" s="1" t="str">
        <f t="shared" si="39"/>
        <v>29 2012</v>
      </c>
      <c r="P382" s="1">
        <f t="shared" si="40"/>
        <v>22</v>
      </c>
      <c r="Q382" s="1">
        <f t="shared" ca="1" si="41"/>
        <v>4026</v>
      </c>
      <c r="S382" s="1">
        <f t="shared" si="35"/>
        <v>18292</v>
      </c>
    </row>
    <row r="383" spans="1:19" x14ac:dyDescent="0.2">
      <c r="A383" s="57" t="s">
        <v>234</v>
      </c>
      <c r="B383" s="57" t="s">
        <v>225</v>
      </c>
      <c r="C383" s="57" t="s">
        <v>226</v>
      </c>
      <c r="D383" s="58">
        <v>317.08</v>
      </c>
      <c r="E383" s="59">
        <v>41061</v>
      </c>
      <c r="F383" s="58">
        <v>228</v>
      </c>
      <c r="G383" s="58">
        <v>11</v>
      </c>
      <c r="H383" s="58">
        <v>27</v>
      </c>
      <c r="I383" s="58">
        <v>212</v>
      </c>
      <c r="J383" s="58">
        <v>0</v>
      </c>
      <c r="K383" s="1">
        <f t="shared" si="36"/>
        <v>8561.16</v>
      </c>
      <c r="L383" s="1" t="str">
        <f t="shared" si="37"/>
        <v/>
      </c>
      <c r="M383" s="1">
        <f>VLOOKUP(B383,'[1]Срок Годности'!$A$2:$B$4,2,0)</f>
        <v>500</v>
      </c>
      <c r="N383" s="60">
        <f t="shared" si="38"/>
        <v>11</v>
      </c>
      <c r="O383" s="1" t="str">
        <f t="shared" si="39"/>
        <v>22 2012</v>
      </c>
      <c r="P383" s="1">
        <f t="shared" si="40"/>
        <v>23</v>
      </c>
      <c r="Q383" s="1">
        <f t="shared" ca="1" si="41"/>
        <v>4072</v>
      </c>
      <c r="S383" s="1">
        <f t="shared" si="35"/>
        <v>212</v>
      </c>
    </row>
    <row r="384" spans="1:19" x14ac:dyDescent="0.2">
      <c r="A384" s="57" t="s">
        <v>234</v>
      </c>
      <c r="B384" s="57" t="s">
        <v>225</v>
      </c>
      <c r="C384" s="57" t="s">
        <v>226</v>
      </c>
      <c r="D384" s="58">
        <v>317.08</v>
      </c>
      <c r="E384" s="59">
        <v>41062</v>
      </c>
      <c r="F384" s="58">
        <v>212</v>
      </c>
      <c r="G384" s="58">
        <v>0</v>
      </c>
      <c r="H384" s="58">
        <v>17</v>
      </c>
      <c r="I384" s="58">
        <v>198</v>
      </c>
      <c r="J384" s="58">
        <v>0</v>
      </c>
      <c r="K384" s="1">
        <f t="shared" si="36"/>
        <v>5390.36</v>
      </c>
      <c r="L384" s="1" t="str">
        <f t="shared" si="37"/>
        <v/>
      </c>
      <c r="M384" s="1">
        <f>VLOOKUP(B384,'[1]Срок Годности'!$A$2:$B$4,2,0)</f>
        <v>500</v>
      </c>
      <c r="N384" s="60">
        <f t="shared" si="38"/>
        <v>0</v>
      </c>
      <c r="O384" s="1" t="str">
        <f t="shared" si="39"/>
        <v>22 2012</v>
      </c>
      <c r="P384" s="1">
        <f t="shared" si="40"/>
        <v>23</v>
      </c>
      <c r="Q384" s="1">
        <f t="shared" ca="1" si="41"/>
        <v>4071</v>
      </c>
      <c r="S384" s="1">
        <f t="shared" si="35"/>
        <v>198</v>
      </c>
    </row>
    <row r="385" spans="1:19" x14ac:dyDescent="0.2">
      <c r="A385" s="57" t="s">
        <v>234</v>
      </c>
      <c r="B385" s="57" t="s">
        <v>225</v>
      </c>
      <c r="C385" s="57" t="s">
        <v>226</v>
      </c>
      <c r="D385" s="58">
        <v>317.08</v>
      </c>
      <c r="E385" s="59">
        <v>41063</v>
      </c>
      <c r="F385" s="58">
        <v>198</v>
      </c>
      <c r="G385" s="58">
        <v>3315</v>
      </c>
      <c r="H385" s="58">
        <v>67</v>
      </c>
      <c r="I385" s="58">
        <v>3447</v>
      </c>
      <c r="J385" s="58">
        <v>0</v>
      </c>
      <c r="K385" s="1">
        <f t="shared" si="36"/>
        <v>21244.36</v>
      </c>
      <c r="L385" s="1" t="str">
        <f t="shared" si="37"/>
        <v/>
      </c>
      <c r="M385" s="1">
        <f>VLOOKUP(B385,'[1]Срок Годности'!$A$2:$B$4,2,0)</f>
        <v>500</v>
      </c>
      <c r="N385" s="60">
        <f t="shared" si="38"/>
        <v>0</v>
      </c>
      <c r="O385" s="1" t="str">
        <f t="shared" si="39"/>
        <v>23 2012</v>
      </c>
      <c r="P385" s="1">
        <f t="shared" si="40"/>
        <v>23</v>
      </c>
      <c r="Q385" s="1">
        <f t="shared" ca="1" si="41"/>
        <v>4070</v>
      </c>
      <c r="S385" s="1">
        <f t="shared" si="35"/>
        <v>3447</v>
      </c>
    </row>
    <row r="386" spans="1:19" x14ac:dyDescent="0.2">
      <c r="A386" s="57" t="s">
        <v>234</v>
      </c>
      <c r="B386" s="57" t="s">
        <v>225</v>
      </c>
      <c r="C386" s="57" t="s">
        <v>226</v>
      </c>
      <c r="D386" s="58">
        <v>317.08</v>
      </c>
      <c r="E386" s="59">
        <v>41064</v>
      </c>
      <c r="F386" s="58">
        <v>3447</v>
      </c>
      <c r="G386" s="58">
        <v>1492</v>
      </c>
      <c r="H386" s="58">
        <v>275</v>
      </c>
      <c r="I386" s="58">
        <v>4659</v>
      </c>
      <c r="J386" s="58">
        <v>0</v>
      </c>
      <c r="K386" s="1">
        <f t="shared" si="36"/>
        <v>87197</v>
      </c>
      <c r="L386" s="1" t="str">
        <f t="shared" si="37"/>
        <v/>
      </c>
      <c r="M386" s="1">
        <f>VLOOKUP(B386,'[1]Срок Годности'!$A$2:$B$4,2,0)</f>
        <v>500</v>
      </c>
      <c r="N386" s="60">
        <f t="shared" si="38"/>
        <v>1492</v>
      </c>
      <c r="O386" s="1" t="str">
        <f t="shared" si="39"/>
        <v>23 2012</v>
      </c>
      <c r="P386" s="1">
        <f t="shared" si="40"/>
        <v>23</v>
      </c>
      <c r="Q386" s="1">
        <f t="shared" ca="1" si="41"/>
        <v>4069</v>
      </c>
      <c r="S386" s="1">
        <f t="shared" si="35"/>
        <v>4659</v>
      </c>
    </row>
    <row r="387" spans="1:19" x14ac:dyDescent="0.2">
      <c r="A387" s="57" t="s">
        <v>234</v>
      </c>
      <c r="B387" s="57" t="s">
        <v>225</v>
      </c>
      <c r="C387" s="57" t="s">
        <v>226</v>
      </c>
      <c r="D387" s="58">
        <v>317.08</v>
      </c>
      <c r="E387" s="59">
        <v>41065</v>
      </c>
      <c r="F387" s="58">
        <v>4659</v>
      </c>
      <c r="G387" s="58">
        <v>405</v>
      </c>
      <c r="H387" s="58">
        <v>397</v>
      </c>
      <c r="I387" s="58">
        <v>4665</v>
      </c>
      <c r="J387" s="58">
        <v>0</v>
      </c>
      <c r="K387" s="1">
        <f t="shared" si="36"/>
        <v>125880.76</v>
      </c>
      <c r="L387" s="1" t="str">
        <f t="shared" si="37"/>
        <v/>
      </c>
      <c r="M387" s="1">
        <f>VLOOKUP(B387,'[1]Срок Годности'!$A$2:$B$4,2,0)</f>
        <v>500</v>
      </c>
      <c r="N387" s="60">
        <f t="shared" si="38"/>
        <v>405</v>
      </c>
      <c r="O387" s="1" t="str">
        <f t="shared" si="39"/>
        <v>23 2012</v>
      </c>
      <c r="P387" s="1">
        <f t="shared" si="40"/>
        <v>23</v>
      </c>
      <c r="Q387" s="1">
        <f t="shared" ca="1" si="41"/>
        <v>4068</v>
      </c>
      <c r="S387" s="1">
        <f t="shared" si="35"/>
        <v>4665</v>
      </c>
    </row>
    <row r="388" spans="1:19" x14ac:dyDescent="0.2">
      <c r="A388" s="57" t="s">
        <v>234</v>
      </c>
      <c r="B388" s="57" t="s">
        <v>225</v>
      </c>
      <c r="C388" s="57" t="s">
        <v>226</v>
      </c>
      <c r="D388" s="58">
        <v>317.08</v>
      </c>
      <c r="E388" s="59">
        <v>41066</v>
      </c>
      <c r="F388" s="58">
        <v>4665</v>
      </c>
      <c r="G388" s="58">
        <v>314</v>
      </c>
      <c r="H388" s="58">
        <v>534</v>
      </c>
      <c r="I388" s="58">
        <v>4446</v>
      </c>
      <c r="J388" s="58">
        <v>0</v>
      </c>
      <c r="K388" s="1">
        <f t="shared" si="36"/>
        <v>169320.72</v>
      </c>
      <c r="L388" s="1" t="str">
        <f t="shared" si="37"/>
        <v/>
      </c>
      <c r="M388" s="1">
        <f>VLOOKUP(B388,'[1]Срок Годности'!$A$2:$B$4,2,0)</f>
        <v>500</v>
      </c>
      <c r="N388" s="60">
        <f t="shared" si="38"/>
        <v>314</v>
      </c>
      <c r="O388" s="1" t="str">
        <f t="shared" si="39"/>
        <v>23 2012</v>
      </c>
      <c r="P388" s="1">
        <f t="shared" si="40"/>
        <v>23</v>
      </c>
      <c r="Q388" s="1">
        <f t="shared" ca="1" si="41"/>
        <v>4067</v>
      </c>
      <c r="S388" s="1">
        <f t="shared" si="35"/>
        <v>4446</v>
      </c>
    </row>
    <row r="389" spans="1:19" x14ac:dyDescent="0.2">
      <c r="A389" s="57" t="s">
        <v>234</v>
      </c>
      <c r="B389" s="57" t="s">
        <v>225</v>
      </c>
      <c r="C389" s="57" t="s">
        <v>226</v>
      </c>
      <c r="D389" s="58">
        <v>317.08</v>
      </c>
      <c r="E389" s="59">
        <v>41067</v>
      </c>
      <c r="F389" s="58">
        <v>4446</v>
      </c>
      <c r="G389" s="58">
        <v>243</v>
      </c>
      <c r="H389" s="58">
        <v>560</v>
      </c>
      <c r="I389" s="58">
        <v>4123</v>
      </c>
      <c r="J389" s="58">
        <v>0</v>
      </c>
      <c r="K389" s="1">
        <f t="shared" si="36"/>
        <v>177564.79999999999</v>
      </c>
      <c r="L389" s="1" t="str">
        <f t="shared" si="37"/>
        <v/>
      </c>
      <c r="M389" s="1">
        <f>VLOOKUP(B389,'[1]Срок Годности'!$A$2:$B$4,2,0)</f>
        <v>500</v>
      </c>
      <c r="N389" s="60">
        <f t="shared" si="38"/>
        <v>243</v>
      </c>
      <c r="O389" s="1" t="str">
        <f t="shared" si="39"/>
        <v>23 2012</v>
      </c>
      <c r="P389" s="1">
        <f t="shared" si="40"/>
        <v>23</v>
      </c>
      <c r="Q389" s="1">
        <f t="shared" ca="1" si="41"/>
        <v>4066</v>
      </c>
      <c r="S389" s="1">
        <f t="shared" si="35"/>
        <v>4123</v>
      </c>
    </row>
    <row r="390" spans="1:19" x14ac:dyDescent="0.2">
      <c r="A390" s="57" t="s">
        <v>234</v>
      </c>
      <c r="B390" s="57" t="s">
        <v>225</v>
      </c>
      <c r="C390" s="57" t="s">
        <v>226</v>
      </c>
      <c r="D390" s="58">
        <v>317.08</v>
      </c>
      <c r="E390" s="59">
        <v>41068</v>
      </c>
      <c r="F390" s="58">
        <v>4123</v>
      </c>
      <c r="G390" s="58">
        <v>423</v>
      </c>
      <c r="H390" s="58">
        <v>639</v>
      </c>
      <c r="I390" s="58">
        <v>3903</v>
      </c>
      <c r="J390" s="58">
        <v>0</v>
      </c>
      <c r="K390" s="1">
        <f t="shared" si="36"/>
        <v>202614.12</v>
      </c>
      <c r="L390" s="1" t="str">
        <f t="shared" si="37"/>
        <v/>
      </c>
      <c r="M390" s="1">
        <f>VLOOKUP(B390,'[1]Срок Годности'!$A$2:$B$4,2,0)</f>
        <v>500</v>
      </c>
      <c r="N390" s="60">
        <f t="shared" si="38"/>
        <v>423</v>
      </c>
      <c r="O390" s="1" t="str">
        <f t="shared" si="39"/>
        <v>23 2012</v>
      </c>
      <c r="P390" s="1">
        <f t="shared" si="40"/>
        <v>23</v>
      </c>
      <c r="Q390" s="1">
        <f t="shared" ca="1" si="41"/>
        <v>4065</v>
      </c>
      <c r="S390" s="1">
        <f t="shared" si="35"/>
        <v>3903</v>
      </c>
    </row>
    <row r="391" spans="1:19" x14ac:dyDescent="0.2">
      <c r="A391" s="57" t="s">
        <v>234</v>
      </c>
      <c r="B391" s="57" t="s">
        <v>225</v>
      </c>
      <c r="C391" s="57" t="s">
        <v>226</v>
      </c>
      <c r="D391" s="58">
        <v>317.08</v>
      </c>
      <c r="E391" s="59">
        <v>41069</v>
      </c>
      <c r="F391" s="58">
        <v>3903</v>
      </c>
      <c r="G391" s="58">
        <v>570</v>
      </c>
      <c r="H391" s="58">
        <v>637</v>
      </c>
      <c r="I391" s="58">
        <v>3826</v>
      </c>
      <c r="J391" s="58">
        <v>0</v>
      </c>
      <c r="K391" s="1">
        <f t="shared" si="36"/>
        <v>201979.96</v>
      </c>
      <c r="L391" s="1" t="str">
        <f t="shared" si="37"/>
        <v/>
      </c>
      <c r="M391" s="1">
        <f>VLOOKUP(B391,'[1]Срок Годности'!$A$2:$B$4,2,0)</f>
        <v>500</v>
      </c>
      <c r="N391" s="60">
        <f t="shared" si="38"/>
        <v>570</v>
      </c>
      <c r="O391" s="1" t="str">
        <f t="shared" si="39"/>
        <v>23 2012</v>
      </c>
      <c r="P391" s="1">
        <f t="shared" si="40"/>
        <v>23</v>
      </c>
      <c r="Q391" s="1">
        <f t="shared" ca="1" si="41"/>
        <v>4064</v>
      </c>
      <c r="S391" s="1">
        <f t="shared" ref="S391:S454" si="42">I391-J391</f>
        <v>3826</v>
      </c>
    </row>
    <row r="392" spans="1:19" x14ac:dyDescent="0.2">
      <c r="A392" s="57" t="s">
        <v>234</v>
      </c>
      <c r="B392" s="57" t="s">
        <v>225</v>
      </c>
      <c r="C392" s="57" t="s">
        <v>226</v>
      </c>
      <c r="D392" s="58">
        <v>317.08</v>
      </c>
      <c r="E392" s="59">
        <v>41070</v>
      </c>
      <c r="F392" s="58">
        <v>3826</v>
      </c>
      <c r="G392" s="58">
        <v>302</v>
      </c>
      <c r="H392" s="58">
        <v>420</v>
      </c>
      <c r="I392" s="58">
        <v>3687</v>
      </c>
      <c r="J392" s="58">
        <v>0</v>
      </c>
      <c r="K392" s="1">
        <f t="shared" ref="K392:K455" si="43">H392*D392</f>
        <v>133173.6</v>
      </c>
      <c r="L392" s="1" t="str">
        <f t="shared" ref="L392:L455" si="44">IF(H392&gt;1000,H392,"")</f>
        <v/>
      </c>
      <c r="M392" s="1">
        <f>VLOOKUP(B392,'[1]Срок Годности'!$A$2:$B$4,2,0)</f>
        <v>500</v>
      </c>
      <c r="N392" s="60">
        <f t="shared" ref="N392:N455" si="45">IF(WEEKDAY(E392) = 1, 0, G392)</f>
        <v>0</v>
      </c>
      <c r="O392" s="1" t="str">
        <f t="shared" ref="O392:O455" si="46">WEEKNUM(E392) &amp; " " &amp; YEAR(E392)</f>
        <v>24 2012</v>
      </c>
      <c r="P392" s="1">
        <f t="shared" ref="P392:P455" si="47">LEN(C392)</f>
        <v>23</v>
      </c>
      <c r="Q392" s="1">
        <f t="shared" ref="Q392:Q455" ca="1" si="48">DATEDIF(E392,NOW(),"D")</f>
        <v>4063</v>
      </c>
      <c r="S392" s="1">
        <f t="shared" si="42"/>
        <v>3687</v>
      </c>
    </row>
    <row r="393" spans="1:19" x14ac:dyDescent="0.2">
      <c r="A393" s="57" t="s">
        <v>234</v>
      </c>
      <c r="B393" s="57" t="s">
        <v>225</v>
      </c>
      <c r="C393" s="57" t="s">
        <v>226</v>
      </c>
      <c r="D393" s="58">
        <v>317.08</v>
      </c>
      <c r="E393" s="59">
        <v>41071</v>
      </c>
      <c r="F393" s="58">
        <v>3687</v>
      </c>
      <c r="G393" s="58">
        <v>443</v>
      </c>
      <c r="H393" s="58">
        <v>334</v>
      </c>
      <c r="I393" s="58">
        <v>3790</v>
      </c>
      <c r="J393" s="58">
        <v>0</v>
      </c>
      <c r="K393" s="1">
        <f t="shared" si="43"/>
        <v>105904.72</v>
      </c>
      <c r="L393" s="1" t="str">
        <f t="shared" si="44"/>
        <v/>
      </c>
      <c r="M393" s="1">
        <f>VLOOKUP(B393,'[1]Срок Годности'!$A$2:$B$4,2,0)</f>
        <v>500</v>
      </c>
      <c r="N393" s="60">
        <f t="shared" si="45"/>
        <v>443</v>
      </c>
      <c r="O393" s="1" t="str">
        <f t="shared" si="46"/>
        <v>24 2012</v>
      </c>
      <c r="P393" s="1">
        <f t="shared" si="47"/>
        <v>23</v>
      </c>
      <c r="Q393" s="1">
        <f t="shared" ca="1" si="48"/>
        <v>4062</v>
      </c>
      <c r="S393" s="1">
        <f t="shared" si="42"/>
        <v>3790</v>
      </c>
    </row>
    <row r="394" spans="1:19" x14ac:dyDescent="0.2">
      <c r="A394" s="57" t="s">
        <v>234</v>
      </c>
      <c r="B394" s="57" t="s">
        <v>225</v>
      </c>
      <c r="C394" s="57" t="s">
        <v>226</v>
      </c>
      <c r="D394" s="58">
        <v>317.08</v>
      </c>
      <c r="E394" s="59">
        <v>41072</v>
      </c>
      <c r="F394" s="58">
        <v>3790</v>
      </c>
      <c r="G394" s="58">
        <v>289</v>
      </c>
      <c r="H394" s="58">
        <v>307</v>
      </c>
      <c r="I394" s="58">
        <v>3759</v>
      </c>
      <c r="J394" s="58">
        <v>0</v>
      </c>
      <c r="K394" s="1">
        <f t="shared" si="43"/>
        <v>97343.56</v>
      </c>
      <c r="L394" s="1" t="str">
        <f t="shared" si="44"/>
        <v/>
      </c>
      <c r="M394" s="1">
        <f>VLOOKUP(B394,'[1]Срок Годности'!$A$2:$B$4,2,0)</f>
        <v>500</v>
      </c>
      <c r="N394" s="60">
        <f t="shared" si="45"/>
        <v>289</v>
      </c>
      <c r="O394" s="1" t="str">
        <f t="shared" si="46"/>
        <v>24 2012</v>
      </c>
      <c r="P394" s="1">
        <f t="shared" si="47"/>
        <v>23</v>
      </c>
      <c r="Q394" s="1">
        <f t="shared" ca="1" si="48"/>
        <v>4061</v>
      </c>
      <c r="S394" s="1">
        <f t="shared" si="42"/>
        <v>3759</v>
      </c>
    </row>
    <row r="395" spans="1:19" x14ac:dyDescent="0.2">
      <c r="A395" s="57" t="s">
        <v>234</v>
      </c>
      <c r="B395" s="57" t="s">
        <v>225</v>
      </c>
      <c r="C395" s="57" t="s">
        <v>226</v>
      </c>
      <c r="D395" s="58">
        <v>317.08</v>
      </c>
      <c r="E395" s="59">
        <v>41073</v>
      </c>
      <c r="F395" s="58">
        <v>3759</v>
      </c>
      <c r="G395" s="58">
        <v>229</v>
      </c>
      <c r="H395" s="58">
        <v>356</v>
      </c>
      <c r="I395" s="58">
        <v>3623</v>
      </c>
      <c r="J395" s="58">
        <v>0</v>
      </c>
      <c r="K395" s="1">
        <f t="shared" si="43"/>
        <v>112880.48</v>
      </c>
      <c r="L395" s="1" t="str">
        <f t="shared" si="44"/>
        <v/>
      </c>
      <c r="M395" s="1">
        <f>VLOOKUP(B395,'[1]Срок Годности'!$A$2:$B$4,2,0)</f>
        <v>500</v>
      </c>
      <c r="N395" s="60">
        <f t="shared" si="45"/>
        <v>229</v>
      </c>
      <c r="O395" s="1" t="str">
        <f t="shared" si="46"/>
        <v>24 2012</v>
      </c>
      <c r="P395" s="1">
        <f t="shared" si="47"/>
        <v>23</v>
      </c>
      <c r="Q395" s="1">
        <f t="shared" ca="1" si="48"/>
        <v>4060</v>
      </c>
      <c r="S395" s="1">
        <f t="shared" si="42"/>
        <v>3623</v>
      </c>
    </row>
    <row r="396" spans="1:19" x14ac:dyDescent="0.2">
      <c r="A396" s="57" t="s">
        <v>234</v>
      </c>
      <c r="B396" s="57" t="s">
        <v>225</v>
      </c>
      <c r="C396" s="57" t="s">
        <v>226</v>
      </c>
      <c r="D396" s="58">
        <v>317.08</v>
      </c>
      <c r="E396" s="59">
        <v>41074</v>
      </c>
      <c r="F396" s="58">
        <v>3623</v>
      </c>
      <c r="G396" s="58">
        <v>226</v>
      </c>
      <c r="H396" s="58">
        <v>384</v>
      </c>
      <c r="I396" s="58">
        <v>3449</v>
      </c>
      <c r="J396" s="58">
        <v>0</v>
      </c>
      <c r="K396" s="1">
        <f t="shared" si="43"/>
        <v>121758.72</v>
      </c>
      <c r="L396" s="1" t="str">
        <f t="shared" si="44"/>
        <v/>
      </c>
      <c r="M396" s="1">
        <f>VLOOKUP(B396,'[1]Срок Годности'!$A$2:$B$4,2,0)</f>
        <v>500</v>
      </c>
      <c r="N396" s="60">
        <f t="shared" si="45"/>
        <v>226</v>
      </c>
      <c r="O396" s="1" t="str">
        <f t="shared" si="46"/>
        <v>24 2012</v>
      </c>
      <c r="P396" s="1">
        <f t="shared" si="47"/>
        <v>23</v>
      </c>
      <c r="Q396" s="1">
        <f t="shared" ca="1" si="48"/>
        <v>4059</v>
      </c>
      <c r="S396" s="1">
        <f t="shared" si="42"/>
        <v>3449</v>
      </c>
    </row>
    <row r="397" spans="1:19" x14ac:dyDescent="0.2">
      <c r="A397" s="57" t="s">
        <v>234</v>
      </c>
      <c r="B397" s="57" t="s">
        <v>225</v>
      </c>
      <c r="C397" s="57" t="s">
        <v>226</v>
      </c>
      <c r="D397" s="58">
        <v>317.08</v>
      </c>
      <c r="E397" s="59">
        <v>41075</v>
      </c>
      <c r="F397" s="58">
        <v>3449</v>
      </c>
      <c r="G397" s="58">
        <v>303</v>
      </c>
      <c r="H397" s="58">
        <v>332</v>
      </c>
      <c r="I397" s="58">
        <v>3419</v>
      </c>
      <c r="J397" s="58">
        <v>0</v>
      </c>
      <c r="K397" s="1">
        <f t="shared" si="43"/>
        <v>105270.56</v>
      </c>
      <c r="L397" s="1" t="str">
        <f t="shared" si="44"/>
        <v/>
      </c>
      <c r="M397" s="1">
        <f>VLOOKUP(B397,'[1]Срок Годности'!$A$2:$B$4,2,0)</f>
        <v>500</v>
      </c>
      <c r="N397" s="60">
        <f t="shared" si="45"/>
        <v>303</v>
      </c>
      <c r="O397" s="1" t="str">
        <f t="shared" si="46"/>
        <v>24 2012</v>
      </c>
      <c r="P397" s="1">
        <f t="shared" si="47"/>
        <v>23</v>
      </c>
      <c r="Q397" s="1">
        <f t="shared" ca="1" si="48"/>
        <v>4058</v>
      </c>
      <c r="S397" s="1">
        <f t="shared" si="42"/>
        <v>3419</v>
      </c>
    </row>
    <row r="398" spans="1:19" x14ac:dyDescent="0.2">
      <c r="A398" s="57" t="s">
        <v>234</v>
      </c>
      <c r="B398" s="57" t="s">
        <v>225</v>
      </c>
      <c r="C398" s="57" t="s">
        <v>226</v>
      </c>
      <c r="D398" s="58">
        <v>317.08</v>
      </c>
      <c r="E398" s="59">
        <v>41076</v>
      </c>
      <c r="F398" s="58">
        <v>3419</v>
      </c>
      <c r="G398" s="58">
        <v>305</v>
      </c>
      <c r="H398" s="58">
        <v>402</v>
      </c>
      <c r="I398" s="58">
        <v>3318</v>
      </c>
      <c r="J398" s="58">
        <v>0</v>
      </c>
      <c r="K398" s="1">
        <f t="shared" si="43"/>
        <v>127466.15999999999</v>
      </c>
      <c r="L398" s="1" t="str">
        <f t="shared" si="44"/>
        <v/>
      </c>
      <c r="M398" s="1">
        <f>VLOOKUP(B398,'[1]Срок Годности'!$A$2:$B$4,2,0)</f>
        <v>500</v>
      </c>
      <c r="N398" s="60">
        <f t="shared" si="45"/>
        <v>305</v>
      </c>
      <c r="O398" s="1" t="str">
        <f t="shared" si="46"/>
        <v>24 2012</v>
      </c>
      <c r="P398" s="1">
        <f t="shared" si="47"/>
        <v>23</v>
      </c>
      <c r="Q398" s="1">
        <f t="shared" ca="1" si="48"/>
        <v>4057</v>
      </c>
      <c r="S398" s="1">
        <f t="shared" si="42"/>
        <v>3318</v>
      </c>
    </row>
    <row r="399" spans="1:19" x14ac:dyDescent="0.2">
      <c r="A399" s="57" t="s">
        <v>234</v>
      </c>
      <c r="B399" s="57" t="s">
        <v>225</v>
      </c>
      <c r="C399" s="57" t="s">
        <v>226</v>
      </c>
      <c r="D399" s="58">
        <v>317.08</v>
      </c>
      <c r="E399" s="59">
        <v>41077</v>
      </c>
      <c r="F399" s="58">
        <v>3318</v>
      </c>
      <c r="G399" s="58">
        <v>272</v>
      </c>
      <c r="H399" s="58">
        <v>337</v>
      </c>
      <c r="I399" s="58">
        <v>3252</v>
      </c>
      <c r="J399" s="58">
        <v>0</v>
      </c>
      <c r="K399" s="1">
        <f t="shared" si="43"/>
        <v>106855.95999999999</v>
      </c>
      <c r="L399" s="1" t="str">
        <f t="shared" si="44"/>
        <v/>
      </c>
      <c r="M399" s="1">
        <f>VLOOKUP(B399,'[1]Срок Годности'!$A$2:$B$4,2,0)</f>
        <v>500</v>
      </c>
      <c r="N399" s="60">
        <f t="shared" si="45"/>
        <v>0</v>
      </c>
      <c r="O399" s="1" t="str">
        <f t="shared" si="46"/>
        <v>25 2012</v>
      </c>
      <c r="P399" s="1">
        <f t="shared" si="47"/>
        <v>23</v>
      </c>
      <c r="Q399" s="1">
        <f t="shared" ca="1" si="48"/>
        <v>4056</v>
      </c>
      <c r="S399" s="1">
        <f t="shared" si="42"/>
        <v>3252</v>
      </c>
    </row>
    <row r="400" spans="1:19" x14ac:dyDescent="0.2">
      <c r="A400" s="57" t="s">
        <v>234</v>
      </c>
      <c r="B400" s="57" t="s">
        <v>225</v>
      </c>
      <c r="C400" s="57" t="s">
        <v>226</v>
      </c>
      <c r="D400" s="58">
        <v>317.08</v>
      </c>
      <c r="E400" s="59">
        <v>41078</v>
      </c>
      <c r="F400" s="58">
        <v>3252</v>
      </c>
      <c r="G400" s="58">
        <v>285</v>
      </c>
      <c r="H400" s="58">
        <v>378</v>
      </c>
      <c r="I400" s="58">
        <v>3153</v>
      </c>
      <c r="J400" s="58">
        <v>0</v>
      </c>
      <c r="K400" s="1">
        <f t="shared" si="43"/>
        <v>119856.23999999999</v>
      </c>
      <c r="L400" s="1" t="str">
        <f t="shared" si="44"/>
        <v/>
      </c>
      <c r="M400" s="1">
        <f>VLOOKUP(B400,'[1]Срок Годности'!$A$2:$B$4,2,0)</f>
        <v>500</v>
      </c>
      <c r="N400" s="60">
        <f t="shared" si="45"/>
        <v>285</v>
      </c>
      <c r="O400" s="1" t="str">
        <f t="shared" si="46"/>
        <v>25 2012</v>
      </c>
      <c r="P400" s="1">
        <f t="shared" si="47"/>
        <v>23</v>
      </c>
      <c r="Q400" s="1">
        <f t="shared" ca="1" si="48"/>
        <v>4055</v>
      </c>
      <c r="S400" s="1">
        <f t="shared" si="42"/>
        <v>3153</v>
      </c>
    </row>
    <row r="401" spans="1:19" x14ac:dyDescent="0.2">
      <c r="A401" s="57" t="s">
        <v>234</v>
      </c>
      <c r="B401" s="57" t="s">
        <v>225</v>
      </c>
      <c r="C401" s="57" t="s">
        <v>226</v>
      </c>
      <c r="D401" s="58">
        <v>317.08</v>
      </c>
      <c r="E401" s="59">
        <v>41079</v>
      </c>
      <c r="F401" s="58">
        <v>3153</v>
      </c>
      <c r="G401" s="58">
        <v>421</v>
      </c>
      <c r="H401" s="58">
        <v>363</v>
      </c>
      <c r="I401" s="58">
        <v>3205</v>
      </c>
      <c r="J401" s="58">
        <v>0</v>
      </c>
      <c r="K401" s="1">
        <f t="shared" si="43"/>
        <v>115100.04</v>
      </c>
      <c r="L401" s="1" t="str">
        <f t="shared" si="44"/>
        <v/>
      </c>
      <c r="M401" s="1">
        <f>VLOOKUP(B401,'[1]Срок Годности'!$A$2:$B$4,2,0)</f>
        <v>500</v>
      </c>
      <c r="N401" s="60">
        <f t="shared" si="45"/>
        <v>421</v>
      </c>
      <c r="O401" s="1" t="str">
        <f t="shared" si="46"/>
        <v>25 2012</v>
      </c>
      <c r="P401" s="1">
        <f t="shared" si="47"/>
        <v>23</v>
      </c>
      <c r="Q401" s="1">
        <f t="shared" ca="1" si="48"/>
        <v>4054</v>
      </c>
      <c r="S401" s="1">
        <f t="shared" si="42"/>
        <v>3205</v>
      </c>
    </row>
    <row r="402" spans="1:19" x14ac:dyDescent="0.2">
      <c r="A402" s="57" t="s">
        <v>234</v>
      </c>
      <c r="B402" s="57" t="s">
        <v>225</v>
      </c>
      <c r="C402" s="57" t="s">
        <v>226</v>
      </c>
      <c r="D402" s="58">
        <v>317.08</v>
      </c>
      <c r="E402" s="59">
        <v>41080</v>
      </c>
      <c r="F402" s="58">
        <v>3205</v>
      </c>
      <c r="G402" s="58">
        <v>420</v>
      </c>
      <c r="H402" s="58">
        <v>368</v>
      </c>
      <c r="I402" s="58">
        <v>3242</v>
      </c>
      <c r="J402" s="58">
        <v>0</v>
      </c>
      <c r="K402" s="1">
        <f t="shared" si="43"/>
        <v>116685.43999999999</v>
      </c>
      <c r="L402" s="1" t="str">
        <f t="shared" si="44"/>
        <v/>
      </c>
      <c r="M402" s="1">
        <f>VLOOKUP(B402,'[1]Срок Годности'!$A$2:$B$4,2,0)</f>
        <v>500</v>
      </c>
      <c r="N402" s="60">
        <f t="shared" si="45"/>
        <v>420</v>
      </c>
      <c r="O402" s="1" t="str">
        <f t="shared" si="46"/>
        <v>25 2012</v>
      </c>
      <c r="P402" s="1">
        <f t="shared" si="47"/>
        <v>23</v>
      </c>
      <c r="Q402" s="1">
        <f t="shared" ca="1" si="48"/>
        <v>4053</v>
      </c>
      <c r="S402" s="1">
        <f t="shared" si="42"/>
        <v>3242</v>
      </c>
    </row>
    <row r="403" spans="1:19" x14ac:dyDescent="0.2">
      <c r="A403" s="57" t="s">
        <v>234</v>
      </c>
      <c r="B403" s="57" t="s">
        <v>225</v>
      </c>
      <c r="C403" s="57" t="s">
        <v>226</v>
      </c>
      <c r="D403" s="58">
        <v>317.08</v>
      </c>
      <c r="E403" s="59">
        <v>41081</v>
      </c>
      <c r="F403" s="58">
        <v>3242</v>
      </c>
      <c r="G403" s="58">
        <v>515</v>
      </c>
      <c r="H403" s="58">
        <v>408</v>
      </c>
      <c r="I403" s="58">
        <v>3329</v>
      </c>
      <c r="J403" s="58">
        <v>0</v>
      </c>
      <c r="K403" s="1">
        <f t="shared" si="43"/>
        <v>129368.64</v>
      </c>
      <c r="L403" s="1" t="str">
        <f t="shared" si="44"/>
        <v/>
      </c>
      <c r="M403" s="1">
        <f>VLOOKUP(B403,'[1]Срок Годности'!$A$2:$B$4,2,0)</f>
        <v>500</v>
      </c>
      <c r="N403" s="60">
        <f t="shared" si="45"/>
        <v>515</v>
      </c>
      <c r="O403" s="1" t="str">
        <f t="shared" si="46"/>
        <v>25 2012</v>
      </c>
      <c r="P403" s="1">
        <f t="shared" si="47"/>
        <v>23</v>
      </c>
      <c r="Q403" s="1">
        <f t="shared" ca="1" si="48"/>
        <v>4052</v>
      </c>
      <c r="S403" s="1">
        <f t="shared" si="42"/>
        <v>3329</v>
      </c>
    </row>
    <row r="404" spans="1:19" x14ac:dyDescent="0.2">
      <c r="A404" s="57" t="s">
        <v>234</v>
      </c>
      <c r="B404" s="57" t="s">
        <v>225</v>
      </c>
      <c r="C404" s="57" t="s">
        <v>226</v>
      </c>
      <c r="D404" s="58">
        <v>317.08</v>
      </c>
      <c r="E404" s="59">
        <v>41082</v>
      </c>
      <c r="F404" s="58">
        <v>3329</v>
      </c>
      <c r="G404" s="58">
        <v>362</v>
      </c>
      <c r="H404" s="58">
        <v>488</v>
      </c>
      <c r="I404" s="58">
        <v>3189</v>
      </c>
      <c r="J404" s="58">
        <v>0</v>
      </c>
      <c r="K404" s="1">
        <f t="shared" si="43"/>
        <v>154735.03999999998</v>
      </c>
      <c r="L404" s="1" t="str">
        <f t="shared" si="44"/>
        <v/>
      </c>
      <c r="M404" s="1">
        <f>VLOOKUP(B404,'[1]Срок Годности'!$A$2:$B$4,2,0)</f>
        <v>500</v>
      </c>
      <c r="N404" s="60">
        <f t="shared" si="45"/>
        <v>362</v>
      </c>
      <c r="O404" s="1" t="str">
        <f t="shared" si="46"/>
        <v>25 2012</v>
      </c>
      <c r="P404" s="1">
        <f t="shared" si="47"/>
        <v>23</v>
      </c>
      <c r="Q404" s="1">
        <f t="shared" ca="1" si="48"/>
        <v>4051</v>
      </c>
      <c r="S404" s="1">
        <f t="shared" si="42"/>
        <v>3189</v>
      </c>
    </row>
    <row r="405" spans="1:19" x14ac:dyDescent="0.2">
      <c r="A405" s="57" t="s">
        <v>234</v>
      </c>
      <c r="B405" s="57" t="s">
        <v>225</v>
      </c>
      <c r="C405" s="57" t="s">
        <v>226</v>
      </c>
      <c r="D405" s="58">
        <v>317.08</v>
      </c>
      <c r="E405" s="59">
        <v>41083</v>
      </c>
      <c r="F405" s="58">
        <v>3189</v>
      </c>
      <c r="G405" s="58">
        <v>223</v>
      </c>
      <c r="H405" s="58">
        <v>429</v>
      </c>
      <c r="I405" s="58">
        <v>2968</v>
      </c>
      <c r="J405" s="58">
        <v>0</v>
      </c>
      <c r="K405" s="1">
        <f t="shared" si="43"/>
        <v>136027.32</v>
      </c>
      <c r="L405" s="1" t="str">
        <f t="shared" si="44"/>
        <v/>
      </c>
      <c r="M405" s="1">
        <f>VLOOKUP(B405,'[1]Срок Годности'!$A$2:$B$4,2,0)</f>
        <v>500</v>
      </c>
      <c r="N405" s="60">
        <f t="shared" si="45"/>
        <v>223</v>
      </c>
      <c r="O405" s="1" t="str">
        <f t="shared" si="46"/>
        <v>25 2012</v>
      </c>
      <c r="P405" s="1">
        <f t="shared" si="47"/>
        <v>23</v>
      </c>
      <c r="Q405" s="1">
        <f t="shared" ca="1" si="48"/>
        <v>4050</v>
      </c>
      <c r="S405" s="1">
        <f t="shared" si="42"/>
        <v>2968</v>
      </c>
    </row>
    <row r="406" spans="1:19" x14ac:dyDescent="0.2">
      <c r="A406" s="57" t="s">
        <v>234</v>
      </c>
      <c r="B406" s="57" t="s">
        <v>225</v>
      </c>
      <c r="C406" s="57" t="s">
        <v>226</v>
      </c>
      <c r="D406" s="58">
        <v>317.08</v>
      </c>
      <c r="E406" s="59">
        <v>41084</v>
      </c>
      <c r="F406" s="58">
        <v>2968</v>
      </c>
      <c r="G406" s="58">
        <v>320</v>
      </c>
      <c r="H406" s="58">
        <v>442</v>
      </c>
      <c r="I406" s="58">
        <v>2831</v>
      </c>
      <c r="J406" s="58">
        <v>0</v>
      </c>
      <c r="K406" s="1">
        <f t="shared" si="43"/>
        <v>140149.35999999999</v>
      </c>
      <c r="L406" s="1" t="str">
        <f t="shared" si="44"/>
        <v/>
      </c>
      <c r="M406" s="1">
        <f>VLOOKUP(B406,'[1]Срок Годности'!$A$2:$B$4,2,0)</f>
        <v>500</v>
      </c>
      <c r="N406" s="60">
        <f t="shared" si="45"/>
        <v>0</v>
      </c>
      <c r="O406" s="1" t="str">
        <f t="shared" si="46"/>
        <v>26 2012</v>
      </c>
      <c r="P406" s="1">
        <f t="shared" si="47"/>
        <v>23</v>
      </c>
      <c r="Q406" s="1">
        <f t="shared" ca="1" si="48"/>
        <v>4049</v>
      </c>
      <c r="S406" s="1">
        <f t="shared" si="42"/>
        <v>2831</v>
      </c>
    </row>
    <row r="407" spans="1:19" x14ac:dyDescent="0.2">
      <c r="A407" s="57" t="s">
        <v>234</v>
      </c>
      <c r="B407" s="57" t="s">
        <v>225</v>
      </c>
      <c r="C407" s="57" t="s">
        <v>226</v>
      </c>
      <c r="D407" s="58">
        <v>317.08</v>
      </c>
      <c r="E407" s="59">
        <v>41085</v>
      </c>
      <c r="F407" s="58">
        <v>2831</v>
      </c>
      <c r="G407" s="58">
        <v>546</v>
      </c>
      <c r="H407" s="58">
        <v>423</v>
      </c>
      <c r="I407" s="58">
        <v>2947</v>
      </c>
      <c r="J407" s="58">
        <v>0</v>
      </c>
      <c r="K407" s="1">
        <f t="shared" si="43"/>
        <v>134124.84</v>
      </c>
      <c r="L407" s="1" t="str">
        <f t="shared" si="44"/>
        <v/>
      </c>
      <c r="M407" s="1">
        <f>VLOOKUP(B407,'[1]Срок Годности'!$A$2:$B$4,2,0)</f>
        <v>500</v>
      </c>
      <c r="N407" s="60">
        <f t="shared" si="45"/>
        <v>546</v>
      </c>
      <c r="O407" s="1" t="str">
        <f t="shared" si="46"/>
        <v>26 2012</v>
      </c>
      <c r="P407" s="1">
        <f t="shared" si="47"/>
        <v>23</v>
      </c>
      <c r="Q407" s="1">
        <f t="shared" ca="1" si="48"/>
        <v>4048</v>
      </c>
      <c r="S407" s="1">
        <f t="shared" si="42"/>
        <v>2947</v>
      </c>
    </row>
    <row r="408" spans="1:19" x14ac:dyDescent="0.2">
      <c r="A408" s="57" t="s">
        <v>234</v>
      </c>
      <c r="B408" s="57" t="s">
        <v>225</v>
      </c>
      <c r="C408" s="57" t="s">
        <v>226</v>
      </c>
      <c r="D408" s="58">
        <v>317.08</v>
      </c>
      <c r="E408" s="59">
        <v>41086</v>
      </c>
      <c r="F408" s="58">
        <v>2947</v>
      </c>
      <c r="G408" s="58">
        <v>599</v>
      </c>
      <c r="H408" s="58">
        <v>456</v>
      </c>
      <c r="I408" s="58">
        <v>3089</v>
      </c>
      <c r="J408" s="58">
        <v>0</v>
      </c>
      <c r="K408" s="1">
        <f t="shared" si="43"/>
        <v>144588.47999999998</v>
      </c>
      <c r="L408" s="1" t="str">
        <f t="shared" si="44"/>
        <v/>
      </c>
      <c r="M408" s="1">
        <f>VLOOKUP(B408,'[1]Срок Годности'!$A$2:$B$4,2,0)</f>
        <v>500</v>
      </c>
      <c r="N408" s="60">
        <f t="shared" si="45"/>
        <v>599</v>
      </c>
      <c r="O408" s="1" t="str">
        <f t="shared" si="46"/>
        <v>26 2012</v>
      </c>
      <c r="P408" s="1">
        <f t="shared" si="47"/>
        <v>23</v>
      </c>
      <c r="Q408" s="1">
        <f t="shared" ca="1" si="48"/>
        <v>4047</v>
      </c>
      <c r="S408" s="1">
        <f t="shared" si="42"/>
        <v>3089</v>
      </c>
    </row>
    <row r="409" spans="1:19" x14ac:dyDescent="0.2">
      <c r="A409" s="57" t="s">
        <v>234</v>
      </c>
      <c r="B409" s="57" t="s">
        <v>225</v>
      </c>
      <c r="C409" s="57" t="s">
        <v>226</v>
      </c>
      <c r="D409" s="58">
        <v>317.08</v>
      </c>
      <c r="E409" s="59">
        <v>41087</v>
      </c>
      <c r="F409" s="58">
        <v>3089</v>
      </c>
      <c r="G409" s="58">
        <v>574</v>
      </c>
      <c r="H409" s="58">
        <v>490</v>
      </c>
      <c r="I409" s="58">
        <v>3170</v>
      </c>
      <c r="J409" s="58">
        <v>0</v>
      </c>
      <c r="K409" s="1">
        <f t="shared" si="43"/>
        <v>155369.19999999998</v>
      </c>
      <c r="L409" s="1" t="str">
        <f t="shared" si="44"/>
        <v/>
      </c>
      <c r="M409" s="1">
        <f>VLOOKUP(B409,'[1]Срок Годности'!$A$2:$B$4,2,0)</f>
        <v>500</v>
      </c>
      <c r="N409" s="60">
        <f t="shared" si="45"/>
        <v>574</v>
      </c>
      <c r="O409" s="1" t="str">
        <f t="shared" si="46"/>
        <v>26 2012</v>
      </c>
      <c r="P409" s="1">
        <f t="shared" si="47"/>
        <v>23</v>
      </c>
      <c r="Q409" s="1">
        <f t="shared" ca="1" si="48"/>
        <v>4046</v>
      </c>
      <c r="S409" s="1">
        <f t="shared" si="42"/>
        <v>3170</v>
      </c>
    </row>
    <row r="410" spans="1:19" x14ac:dyDescent="0.2">
      <c r="A410" s="57" t="s">
        <v>234</v>
      </c>
      <c r="B410" s="57" t="s">
        <v>225</v>
      </c>
      <c r="C410" s="57" t="s">
        <v>226</v>
      </c>
      <c r="D410" s="58">
        <v>317.08</v>
      </c>
      <c r="E410" s="59">
        <v>41088</v>
      </c>
      <c r="F410" s="58">
        <v>3170</v>
      </c>
      <c r="G410" s="58">
        <v>533</v>
      </c>
      <c r="H410" s="58">
        <v>593</v>
      </c>
      <c r="I410" s="58">
        <v>3085</v>
      </c>
      <c r="J410" s="58">
        <v>0</v>
      </c>
      <c r="K410" s="1">
        <f t="shared" si="43"/>
        <v>188028.44</v>
      </c>
      <c r="L410" s="1" t="str">
        <f t="shared" si="44"/>
        <v/>
      </c>
      <c r="M410" s="1">
        <f>VLOOKUP(B410,'[1]Срок Годности'!$A$2:$B$4,2,0)</f>
        <v>500</v>
      </c>
      <c r="N410" s="60">
        <f t="shared" si="45"/>
        <v>533</v>
      </c>
      <c r="O410" s="1" t="str">
        <f t="shared" si="46"/>
        <v>26 2012</v>
      </c>
      <c r="P410" s="1">
        <f t="shared" si="47"/>
        <v>23</v>
      </c>
      <c r="Q410" s="1">
        <f t="shared" ca="1" si="48"/>
        <v>4045</v>
      </c>
      <c r="S410" s="1">
        <f t="shared" si="42"/>
        <v>3085</v>
      </c>
    </row>
    <row r="411" spans="1:19" x14ac:dyDescent="0.2">
      <c r="A411" s="57" t="s">
        <v>234</v>
      </c>
      <c r="B411" s="57" t="s">
        <v>225</v>
      </c>
      <c r="C411" s="57" t="s">
        <v>226</v>
      </c>
      <c r="D411" s="58">
        <v>317.08</v>
      </c>
      <c r="E411" s="59">
        <v>41089</v>
      </c>
      <c r="F411" s="58">
        <v>3085</v>
      </c>
      <c r="G411" s="58">
        <v>450</v>
      </c>
      <c r="H411" s="58">
        <v>638</v>
      </c>
      <c r="I411" s="58">
        <v>2890</v>
      </c>
      <c r="J411" s="58">
        <v>0</v>
      </c>
      <c r="K411" s="1">
        <f t="shared" si="43"/>
        <v>202297.03999999998</v>
      </c>
      <c r="L411" s="1" t="str">
        <f t="shared" si="44"/>
        <v/>
      </c>
      <c r="M411" s="1">
        <f>VLOOKUP(B411,'[1]Срок Годности'!$A$2:$B$4,2,0)</f>
        <v>500</v>
      </c>
      <c r="N411" s="60">
        <f t="shared" si="45"/>
        <v>450</v>
      </c>
      <c r="O411" s="1" t="str">
        <f t="shared" si="46"/>
        <v>26 2012</v>
      </c>
      <c r="P411" s="1">
        <f t="shared" si="47"/>
        <v>23</v>
      </c>
      <c r="Q411" s="1">
        <f t="shared" ca="1" si="48"/>
        <v>4044</v>
      </c>
      <c r="S411" s="1">
        <f t="shared" si="42"/>
        <v>2890</v>
      </c>
    </row>
    <row r="412" spans="1:19" x14ac:dyDescent="0.2">
      <c r="A412" s="57" t="s">
        <v>234</v>
      </c>
      <c r="B412" s="57" t="s">
        <v>225</v>
      </c>
      <c r="C412" s="57" t="s">
        <v>226</v>
      </c>
      <c r="D412" s="58">
        <v>317.08</v>
      </c>
      <c r="E412" s="59">
        <v>41090</v>
      </c>
      <c r="F412" s="58">
        <v>2890</v>
      </c>
      <c r="G412" s="58">
        <v>368</v>
      </c>
      <c r="H412" s="58">
        <v>493</v>
      </c>
      <c r="I412" s="58">
        <v>2748</v>
      </c>
      <c r="J412" s="58">
        <v>0</v>
      </c>
      <c r="K412" s="1">
        <f t="shared" si="43"/>
        <v>156320.44</v>
      </c>
      <c r="L412" s="1" t="str">
        <f t="shared" si="44"/>
        <v/>
      </c>
      <c r="M412" s="1">
        <f>VLOOKUP(B412,'[1]Срок Годности'!$A$2:$B$4,2,0)</f>
        <v>500</v>
      </c>
      <c r="N412" s="60">
        <f t="shared" si="45"/>
        <v>368</v>
      </c>
      <c r="O412" s="1" t="str">
        <f t="shared" si="46"/>
        <v>26 2012</v>
      </c>
      <c r="P412" s="1">
        <f t="shared" si="47"/>
        <v>23</v>
      </c>
      <c r="Q412" s="1">
        <f t="shared" ca="1" si="48"/>
        <v>4043</v>
      </c>
      <c r="S412" s="1">
        <f t="shared" si="42"/>
        <v>2748</v>
      </c>
    </row>
    <row r="413" spans="1:19" x14ac:dyDescent="0.2">
      <c r="A413" s="57" t="s">
        <v>234</v>
      </c>
      <c r="B413" s="57" t="s">
        <v>225</v>
      </c>
      <c r="C413" s="57" t="s">
        <v>226</v>
      </c>
      <c r="D413" s="58">
        <v>317.08</v>
      </c>
      <c r="E413" s="59">
        <v>41091</v>
      </c>
      <c r="F413" s="58">
        <v>2748</v>
      </c>
      <c r="G413" s="58">
        <v>818</v>
      </c>
      <c r="H413" s="58">
        <v>402</v>
      </c>
      <c r="I413" s="58">
        <v>3159</v>
      </c>
      <c r="J413" s="58">
        <v>0</v>
      </c>
      <c r="K413" s="1">
        <f t="shared" si="43"/>
        <v>127466.15999999999</v>
      </c>
      <c r="L413" s="1" t="str">
        <f t="shared" si="44"/>
        <v/>
      </c>
      <c r="M413" s="1">
        <f>VLOOKUP(B413,'[1]Срок Годности'!$A$2:$B$4,2,0)</f>
        <v>500</v>
      </c>
      <c r="N413" s="60">
        <f t="shared" si="45"/>
        <v>0</v>
      </c>
      <c r="O413" s="1" t="str">
        <f t="shared" si="46"/>
        <v>27 2012</v>
      </c>
      <c r="P413" s="1">
        <f t="shared" si="47"/>
        <v>23</v>
      </c>
      <c r="Q413" s="1">
        <f t="shared" ca="1" si="48"/>
        <v>4042</v>
      </c>
      <c r="S413" s="1">
        <f t="shared" si="42"/>
        <v>3159</v>
      </c>
    </row>
    <row r="414" spans="1:19" x14ac:dyDescent="0.2">
      <c r="A414" s="57" t="s">
        <v>234</v>
      </c>
      <c r="B414" s="57" t="s">
        <v>225</v>
      </c>
      <c r="C414" s="57" t="s">
        <v>226</v>
      </c>
      <c r="D414" s="58">
        <v>317.08</v>
      </c>
      <c r="E414" s="59">
        <v>41092</v>
      </c>
      <c r="F414" s="58">
        <v>3159</v>
      </c>
      <c r="G414" s="58">
        <v>1151</v>
      </c>
      <c r="H414" s="58">
        <v>498</v>
      </c>
      <c r="I414" s="58">
        <v>3767</v>
      </c>
      <c r="J414" s="58">
        <v>0</v>
      </c>
      <c r="K414" s="1">
        <f t="shared" si="43"/>
        <v>157905.84</v>
      </c>
      <c r="L414" s="1" t="str">
        <f t="shared" si="44"/>
        <v/>
      </c>
      <c r="M414" s="1">
        <f>VLOOKUP(B414,'[1]Срок Годности'!$A$2:$B$4,2,0)</f>
        <v>500</v>
      </c>
      <c r="N414" s="60">
        <f t="shared" si="45"/>
        <v>1151</v>
      </c>
      <c r="O414" s="1" t="str">
        <f t="shared" si="46"/>
        <v>27 2012</v>
      </c>
      <c r="P414" s="1">
        <f t="shared" si="47"/>
        <v>23</v>
      </c>
      <c r="Q414" s="1">
        <f t="shared" ca="1" si="48"/>
        <v>4041</v>
      </c>
      <c r="S414" s="1">
        <f t="shared" si="42"/>
        <v>3767</v>
      </c>
    </row>
    <row r="415" spans="1:19" x14ac:dyDescent="0.2">
      <c r="A415" s="57" t="s">
        <v>234</v>
      </c>
      <c r="B415" s="57" t="s">
        <v>225</v>
      </c>
      <c r="C415" s="57" t="s">
        <v>226</v>
      </c>
      <c r="D415" s="58">
        <v>317.08</v>
      </c>
      <c r="E415" s="59">
        <v>41093</v>
      </c>
      <c r="F415" s="58">
        <v>3767</v>
      </c>
      <c r="G415" s="58">
        <v>601</v>
      </c>
      <c r="H415" s="58">
        <v>568</v>
      </c>
      <c r="I415" s="58">
        <v>3794</v>
      </c>
      <c r="J415" s="58">
        <v>0</v>
      </c>
      <c r="K415" s="1">
        <f t="shared" si="43"/>
        <v>180101.44</v>
      </c>
      <c r="L415" s="1" t="str">
        <f t="shared" si="44"/>
        <v/>
      </c>
      <c r="M415" s="1">
        <f>VLOOKUP(B415,'[1]Срок Годности'!$A$2:$B$4,2,0)</f>
        <v>500</v>
      </c>
      <c r="N415" s="60">
        <f t="shared" si="45"/>
        <v>601</v>
      </c>
      <c r="O415" s="1" t="str">
        <f t="shared" si="46"/>
        <v>27 2012</v>
      </c>
      <c r="P415" s="1">
        <f t="shared" si="47"/>
        <v>23</v>
      </c>
      <c r="Q415" s="1">
        <f t="shared" ca="1" si="48"/>
        <v>4040</v>
      </c>
      <c r="S415" s="1">
        <f t="shared" si="42"/>
        <v>3794</v>
      </c>
    </row>
    <row r="416" spans="1:19" x14ac:dyDescent="0.2">
      <c r="A416" s="57" t="s">
        <v>234</v>
      </c>
      <c r="B416" s="57" t="s">
        <v>225</v>
      </c>
      <c r="C416" s="57" t="s">
        <v>226</v>
      </c>
      <c r="D416" s="58">
        <v>317.08</v>
      </c>
      <c r="E416" s="59">
        <v>41094</v>
      </c>
      <c r="F416" s="58">
        <v>3794</v>
      </c>
      <c r="G416" s="58">
        <v>416</v>
      </c>
      <c r="H416" s="58">
        <v>628</v>
      </c>
      <c r="I416" s="58">
        <v>3572</v>
      </c>
      <c r="J416" s="58">
        <v>0</v>
      </c>
      <c r="K416" s="1">
        <f t="shared" si="43"/>
        <v>199126.24</v>
      </c>
      <c r="L416" s="1" t="str">
        <f t="shared" si="44"/>
        <v/>
      </c>
      <c r="M416" s="1">
        <f>VLOOKUP(B416,'[1]Срок Годности'!$A$2:$B$4,2,0)</f>
        <v>500</v>
      </c>
      <c r="N416" s="60">
        <f t="shared" si="45"/>
        <v>416</v>
      </c>
      <c r="O416" s="1" t="str">
        <f t="shared" si="46"/>
        <v>27 2012</v>
      </c>
      <c r="P416" s="1">
        <f t="shared" si="47"/>
        <v>23</v>
      </c>
      <c r="Q416" s="1">
        <f t="shared" ca="1" si="48"/>
        <v>4039</v>
      </c>
      <c r="S416" s="1">
        <f t="shared" si="42"/>
        <v>3572</v>
      </c>
    </row>
    <row r="417" spans="1:19" x14ac:dyDescent="0.2">
      <c r="A417" s="57" t="s">
        <v>234</v>
      </c>
      <c r="B417" s="57" t="s">
        <v>225</v>
      </c>
      <c r="C417" s="57" t="s">
        <v>226</v>
      </c>
      <c r="D417" s="58">
        <v>317.08</v>
      </c>
      <c r="E417" s="59">
        <v>41095</v>
      </c>
      <c r="F417" s="58">
        <v>3572</v>
      </c>
      <c r="G417" s="58">
        <v>706</v>
      </c>
      <c r="H417" s="58">
        <v>645</v>
      </c>
      <c r="I417" s="58">
        <v>3622</v>
      </c>
      <c r="J417" s="58">
        <v>0</v>
      </c>
      <c r="K417" s="1">
        <f t="shared" si="43"/>
        <v>204516.59999999998</v>
      </c>
      <c r="L417" s="1" t="str">
        <f t="shared" si="44"/>
        <v/>
      </c>
      <c r="M417" s="1">
        <f>VLOOKUP(B417,'[1]Срок Годности'!$A$2:$B$4,2,0)</f>
        <v>500</v>
      </c>
      <c r="N417" s="60">
        <f t="shared" si="45"/>
        <v>706</v>
      </c>
      <c r="O417" s="1" t="str">
        <f t="shared" si="46"/>
        <v>27 2012</v>
      </c>
      <c r="P417" s="1">
        <f t="shared" si="47"/>
        <v>23</v>
      </c>
      <c r="Q417" s="1">
        <f t="shared" ca="1" si="48"/>
        <v>4038</v>
      </c>
      <c r="S417" s="1">
        <f t="shared" si="42"/>
        <v>3622</v>
      </c>
    </row>
    <row r="418" spans="1:19" x14ac:dyDescent="0.2">
      <c r="A418" s="57" t="s">
        <v>234</v>
      </c>
      <c r="B418" s="57" t="s">
        <v>225</v>
      </c>
      <c r="C418" s="57" t="s">
        <v>226</v>
      </c>
      <c r="D418" s="58">
        <v>317.08</v>
      </c>
      <c r="E418" s="59">
        <v>41096</v>
      </c>
      <c r="F418" s="58">
        <v>3622</v>
      </c>
      <c r="G418" s="58">
        <v>803</v>
      </c>
      <c r="H418" s="58">
        <v>756</v>
      </c>
      <c r="I418" s="58">
        <v>3639</v>
      </c>
      <c r="J418" s="58">
        <v>0</v>
      </c>
      <c r="K418" s="1">
        <f t="shared" si="43"/>
        <v>239712.47999999998</v>
      </c>
      <c r="L418" s="1" t="str">
        <f t="shared" si="44"/>
        <v/>
      </c>
      <c r="M418" s="1">
        <f>VLOOKUP(B418,'[1]Срок Годности'!$A$2:$B$4,2,0)</f>
        <v>500</v>
      </c>
      <c r="N418" s="60">
        <f t="shared" si="45"/>
        <v>803</v>
      </c>
      <c r="O418" s="1" t="str">
        <f t="shared" si="46"/>
        <v>27 2012</v>
      </c>
      <c r="P418" s="1">
        <f t="shared" si="47"/>
        <v>23</v>
      </c>
      <c r="Q418" s="1">
        <f t="shared" ca="1" si="48"/>
        <v>4037</v>
      </c>
      <c r="S418" s="1">
        <f t="shared" si="42"/>
        <v>3639</v>
      </c>
    </row>
    <row r="419" spans="1:19" x14ac:dyDescent="0.2">
      <c r="A419" s="57" t="s">
        <v>234</v>
      </c>
      <c r="B419" s="57" t="s">
        <v>225</v>
      </c>
      <c r="C419" s="57" t="s">
        <v>226</v>
      </c>
      <c r="D419" s="58">
        <v>317.08</v>
      </c>
      <c r="E419" s="59">
        <v>41097</v>
      </c>
      <c r="F419" s="58">
        <v>3639</v>
      </c>
      <c r="G419" s="58">
        <v>727</v>
      </c>
      <c r="H419" s="58">
        <v>792</v>
      </c>
      <c r="I419" s="58">
        <v>3561</v>
      </c>
      <c r="J419" s="58">
        <v>0</v>
      </c>
      <c r="K419" s="1">
        <f t="shared" si="43"/>
        <v>251127.36</v>
      </c>
      <c r="L419" s="1" t="str">
        <f t="shared" si="44"/>
        <v/>
      </c>
      <c r="M419" s="1">
        <f>VLOOKUP(B419,'[1]Срок Годности'!$A$2:$B$4,2,0)</f>
        <v>500</v>
      </c>
      <c r="N419" s="60">
        <f t="shared" si="45"/>
        <v>727</v>
      </c>
      <c r="O419" s="1" t="str">
        <f t="shared" si="46"/>
        <v>27 2012</v>
      </c>
      <c r="P419" s="1">
        <f t="shared" si="47"/>
        <v>23</v>
      </c>
      <c r="Q419" s="1">
        <f t="shared" ca="1" si="48"/>
        <v>4036</v>
      </c>
      <c r="S419" s="1">
        <f t="shared" si="42"/>
        <v>3561</v>
      </c>
    </row>
    <row r="420" spans="1:19" x14ac:dyDescent="0.2">
      <c r="A420" s="57" t="s">
        <v>234</v>
      </c>
      <c r="B420" s="57" t="s">
        <v>225</v>
      </c>
      <c r="C420" s="57" t="s">
        <v>226</v>
      </c>
      <c r="D420" s="58">
        <v>317.08</v>
      </c>
      <c r="E420" s="59">
        <v>41098</v>
      </c>
      <c r="F420" s="58">
        <v>3561</v>
      </c>
      <c r="G420" s="58">
        <v>946</v>
      </c>
      <c r="H420" s="58">
        <v>544</v>
      </c>
      <c r="I420" s="58">
        <v>3948</v>
      </c>
      <c r="J420" s="58">
        <v>0</v>
      </c>
      <c r="K420" s="1">
        <f t="shared" si="43"/>
        <v>172491.51999999999</v>
      </c>
      <c r="L420" s="1" t="str">
        <f t="shared" si="44"/>
        <v/>
      </c>
      <c r="M420" s="1">
        <f>VLOOKUP(B420,'[1]Срок Годности'!$A$2:$B$4,2,0)</f>
        <v>500</v>
      </c>
      <c r="N420" s="60">
        <f t="shared" si="45"/>
        <v>0</v>
      </c>
      <c r="O420" s="1" t="str">
        <f t="shared" si="46"/>
        <v>28 2012</v>
      </c>
      <c r="P420" s="1">
        <f t="shared" si="47"/>
        <v>23</v>
      </c>
      <c r="Q420" s="1">
        <f t="shared" ca="1" si="48"/>
        <v>4035</v>
      </c>
      <c r="S420" s="1">
        <f t="shared" si="42"/>
        <v>3948</v>
      </c>
    </row>
    <row r="421" spans="1:19" x14ac:dyDescent="0.2">
      <c r="A421" s="57" t="s">
        <v>234</v>
      </c>
      <c r="B421" s="57" t="s">
        <v>225</v>
      </c>
      <c r="C421" s="57" t="s">
        <v>226</v>
      </c>
      <c r="D421" s="58">
        <v>317.08</v>
      </c>
      <c r="E421" s="59">
        <v>41099</v>
      </c>
      <c r="F421" s="58">
        <v>3948</v>
      </c>
      <c r="G421" s="58">
        <v>1310</v>
      </c>
      <c r="H421" s="58">
        <v>676</v>
      </c>
      <c r="I421" s="58">
        <v>4521</v>
      </c>
      <c r="J421" s="58">
        <v>0</v>
      </c>
      <c r="K421" s="1">
        <f t="shared" si="43"/>
        <v>214346.08</v>
      </c>
      <c r="L421" s="1" t="str">
        <f t="shared" si="44"/>
        <v/>
      </c>
      <c r="M421" s="1">
        <f>VLOOKUP(B421,'[1]Срок Годности'!$A$2:$B$4,2,0)</f>
        <v>500</v>
      </c>
      <c r="N421" s="60">
        <f t="shared" si="45"/>
        <v>1310</v>
      </c>
      <c r="O421" s="1" t="str">
        <f t="shared" si="46"/>
        <v>28 2012</v>
      </c>
      <c r="P421" s="1">
        <f t="shared" si="47"/>
        <v>23</v>
      </c>
      <c r="Q421" s="1">
        <f t="shared" ca="1" si="48"/>
        <v>4034</v>
      </c>
      <c r="S421" s="1">
        <f t="shared" si="42"/>
        <v>4521</v>
      </c>
    </row>
    <row r="422" spans="1:19" x14ac:dyDescent="0.2">
      <c r="A422" s="57" t="s">
        <v>234</v>
      </c>
      <c r="B422" s="57" t="s">
        <v>225</v>
      </c>
      <c r="C422" s="57" t="s">
        <v>226</v>
      </c>
      <c r="D422" s="58">
        <v>317.08</v>
      </c>
      <c r="E422" s="59">
        <v>41100</v>
      </c>
      <c r="F422" s="58">
        <v>4521</v>
      </c>
      <c r="G422" s="58">
        <v>417</v>
      </c>
      <c r="H422" s="58">
        <v>776</v>
      </c>
      <c r="I422" s="58">
        <v>4139</v>
      </c>
      <c r="J422" s="58">
        <v>0</v>
      </c>
      <c r="K422" s="1">
        <f t="shared" si="43"/>
        <v>246054.08</v>
      </c>
      <c r="L422" s="1" t="str">
        <f t="shared" si="44"/>
        <v/>
      </c>
      <c r="M422" s="1">
        <f>VLOOKUP(B422,'[1]Срок Годности'!$A$2:$B$4,2,0)</f>
        <v>500</v>
      </c>
      <c r="N422" s="60">
        <f t="shared" si="45"/>
        <v>417</v>
      </c>
      <c r="O422" s="1" t="str">
        <f t="shared" si="46"/>
        <v>28 2012</v>
      </c>
      <c r="P422" s="1">
        <f t="shared" si="47"/>
        <v>23</v>
      </c>
      <c r="Q422" s="1">
        <f t="shared" ca="1" si="48"/>
        <v>4033</v>
      </c>
      <c r="S422" s="1">
        <f t="shared" si="42"/>
        <v>4139</v>
      </c>
    </row>
    <row r="423" spans="1:19" x14ac:dyDescent="0.2">
      <c r="A423" s="57" t="s">
        <v>234</v>
      </c>
      <c r="B423" s="57" t="s">
        <v>225</v>
      </c>
      <c r="C423" s="57" t="s">
        <v>226</v>
      </c>
      <c r="D423" s="58">
        <v>317.08</v>
      </c>
      <c r="E423" s="59">
        <v>41101</v>
      </c>
      <c r="F423" s="58">
        <v>4139</v>
      </c>
      <c r="G423" s="58">
        <v>568</v>
      </c>
      <c r="H423" s="58">
        <v>801</v>
      </c>
      <c r="I423" s="58">
        <v>3893</v>
      </c>
      <c r="J423" s="58">
        <v>0</v>
      </c>
      <c r="K423" s="1">
        <f t="shared" si="43"/>
        <v>253981.08</v>
      </c>
      <c r="L423" s="1" t="str">
        <f t="shared" si="44"/>
        <v/>
      </c>
      <c r="M423" s="1">
        <f>VLOOKUP(B423,'[1]Срок Годности'!$A$2:$B$4,2,0)</f>
        <v>500</v>
      </c>
      <c r="N423" s="60">
        <f t="shared" si="45"/>
        <v>568</v>
      </c>
      <c r="O423" s="1" t="str">
        <f t="shared" si="46"/>
        <v>28 2012</v>
      </c>
      <c r="P423" s="1">
        <f t="shared" si="47"/>
        <v>23</v>
      </c>
      <c r="Q423" s="1">
        <f t="shared" ca="1" si="48"/>
        <v>4032</v>
      </c>
      <c r="S423" s="1">
        <f t="shared" si="42"/>
        <v>3893</v>
      </c>
    </row>
    <row r="424" spans="1:19" x14ac:dyDescent="0.2">
      <c r="A424" s="57" t="s">
        <v>234</v>
      </c>
      <c r="B424" s="57" t="s">
        <v>225</v>
      </c>
      <c r="C424" s="57" t="s">
        <v>226</v>
      </c>
      <c r="D424" s="58">
        <v>317.08</v>
      </c>
      <c r="E424" s="59">
        <v>41102</v>
      </c>
      <c r="F424" s="58">
        <v>3893</v>
      </c>
      <c r="G424" s="58">
        <v>880</v>
      </c>
      <c r="H424" s="58">
        <v>809</v>
      </c>
      <c r="I424" s="58">
        <v>3949</v>
      </c>
      <c r="J424" s="58">
        <v>0</v>
      </c>
      <c r="K424" s="1">
        <f t="shared" si="43"/>
        <v>256517.72</v>
      </c>
      <c r="L424" s="1" t="str">
        <f t="shared" si="44"/>
        <v/>
      </c>
      <c r="M424" s="1">
        <f>VLOOKUP(B424,'[1]Срок Годности'!$A$2:$B$4,2,0)</f>
        <v>500</v>
      </c>
      <c r="N424" s="60">
        <f t="shared" si="45"/>
        <v>880</v>
      </c>
      <c r="O424" s="1" t="str">
        <f t="shared" si="46"/>
        <v>28 2012</v>
      </c>
      <c r="P424" s="1">
        <f t="shared" si="47"/>
        <v>23</v>
      </c>
      <c r="Q424" s="1">
        <f t="shared" ca="1" si="48"/>
        <v>4031</v>
      </c>
      <c r="S424" s="1">
        <f t="shared" si="42"/>
        <v>3949</v>
      </c>
    </row>
    <row r="425" spans="1:19" x14ac:dyDescent="0.2">
      <c r="A425" s="57" t="s">
        <v>234</v>
      </c>
      <c r="B425" s="57" t="s">
        <v>225</v>
      </c>
      <c r="C425" s="57" t="s">
        <v>226</v>
      </c>
      <c r="D425" s="58">
        <v>317.08</v>
      </c>
      <c r="E425" s="59">
        <v>41103</v>
      </c>
      <c r="F425" s="58">
        <v>3949</v>
      </c>
      <c r="G425" s="58">
        <v>1130</v>
      </c>
      <c r="H425" s="58">
        <v>987</v>
      </c>
      <c r="I425" s="58">
        <v>4081</v>
      </c>
      <c r="J425" s="58">
        <v>0</v>
      </c>
      <c r="K425" s="1">
        <f t="shared" si="43"/>
        <v>312957.95999999996</v>
      </c>
      <c r="L425" s="1" t="str">
        <f t="shared" si="44"/>
        <v/>
      </c>
      <c r="M425" s="1">
        <f>VLOOKUP(B425,'[1]Срок Годности'!$A$2:$B$4,2,0)</f>
        <v>500</v>
      </c>
      <c r="N425" s="60">
        <f t="shared" si="45"/>
        <v>1130</v>
      </c>
      <c r="O425" s="1" t="str">
        <f t="shared" si="46"/>
        <v>28 2012</v>
      </c>
      <c r="P425" s="1">
        <f t="shared" si="47"/>
        <v>23</v>
      </c>
      <c r="Q425" s="1">
        <f t="shared" ca="1" si="48"/>
        <v>4030</v>
      </c>
      <c r="S425" s="1">
        <f t="shared" si="42"/>
        <v>4081</v>
      </c>
    </row>
    <row r="426" spans="1:19" x14ac:dyDescent="0.2">
      <c r="A426" s="57" t="s">
        <v>234</v>
      </c>
      <c r="B426" s="57" t="s">
        <v>225</v>
      </c>
      <c r="C426" s="57" t="s">
        <v>226</v>
      </c>
      <c r="D426" s="58">
        <v>317.08</v>
      </c>
      <c r="E426" s="59">
        <v>41104</v>
      </c>
      <c r="F426" s="58">
        <v>4081</v>
      </c>
      <c r="G426" s="58">
        <v>978</v>
      </c>
      <c r="H426" s="58">
        <v>936</v>
      </c>
      <c r="I426" s="58">
        <v>4115</v>
      </c>
      <c r="J426" s="58">
        <v>0</v>
      </c>
      <c r="K426" s="1">
        <f t="shared" si="43"/>
        <v>296786.88</v>
      </c>
      <c r="L426" s="1" t="str">
        <f t="shared" si="44"/>
        <v/>
      </c>
      <c r="M426" s="1">
        <f>VLOOKUP(B426,'[1]Срок Годности'!$A$2:$B$4,2,0)</f>
        <v>500</v>
      </c>
      <c r="N426" s="60">
        <f t="shared" si="45"/>
        <v>978</v>
      </c>
      <c r="O426" s="1" t="str">
        <f t="shared" si="46"/>
        <v>28 2012</v>
      </c>
      <c r="P426" s="1">
        <f t="shared" si="47"/>
        <v>23</v>
      </c>
      <c r="Q426" s="1">
        <f t="shared" ca="1" si="48"/>
        <v>4029</v>
      </c>
      <c r="S426" s="1">
        <f t="shared" si="42"/>
        <v>4115</v>
      </c>
    </row>
    <row r="427" spans="1:19" x14ac:dyDescent="0.2">
      <c r="A427" s="57" t="s">
        <v>234</v>
      </c>
      <c r="B427" s="57" t="s">
        <v>225</v>
      </c>
      <c r="C427" s="57" t="s">
        <v>226</v>
      </c>
      <c r="D427" s="58">
        <v>317.08</v>
      </c>
      <c r="E427" s="59">
        <v>41105</v>
      </c>
      <c r="F427" s="58">
        <v>4115</v>
      </c>
      <c r="G427" s="58">
        <v>1177</v>
      </c>
      <c r="H427" s="58">
        <v>791</v>
      </c>
      <c r="I427" s="58">
        <v>4484</v>
      </c>
      <c r="J427" s="58">
        <v>0</v>
      </c>
      <c r="K427" s="1">
        <f t="shared" si="43"/>
        <v>250810.28</v>
      </c>
      <c r="L427" s="1" t="str">
        <f t="shared" si="44"/>
        <v/>
      </c>
      <c r="M427" s="1">
        <f>VLOOKUP(B427,'[1]Срок Годности'!$A$2:$B$4,2,0)</f>
        <v>500</v>
      </c>
      <c r="N427" s="60">
        <f t="shared" si="45"/>
        <v>0</v>
      </c>
      <c r="O427" s="1" t="str">
        <f t="shared" si="46"/>
        <v>29 2012</v>
      </c>
      <c r="P427" s="1">
        <f t="shared" si="47"/>
        <v>23</v>
      </c>
      <c r="Q427" s="1">
        <f t="shared" ca="1" si="48"/>
        <v>4028</v>
      </c>
      <c r="S427" s="1">
        <f t="shared" si="42"/>
        <v>4484</v>
      </c>
    </row>
    <row r="428" spans="1:19" x14ac:dyDescent="0.2">
      <c r="A428" s="57" t="s">
        <v>234</v>
      </c>
      <c r="B428" s="57" t="s">
        <v>225</v>
      </c>
      <c r="C428" s="57" t="s">
        <v>226</v>
      </c>
      <c r="D428" s="58">
        <v>317.08</v>
      </c>
      <c r="E428" s="59">
        <v>41106</v>
      </c>
      <c r="F428" s="58">
        <v>4484</v>
      </c>
      <c r="G428" s="58">
        <v>1125</v>
      </c>
      <c r="H428" s="58">
        <v>930</v>
      </c>
      <c r="I428" s="58">
        <v>4676</v>
      </c>
      <c r="J428" s="58">
        <v>0</v>
      </c>
      <c r="K428" s="1">
        <f t="shared" si="43"/>
        <v>294884.39999999997</v>
      </c>
      <c r="L428" s="1" t="str">
        <f t="shared" si="44"/>
        <v/>
      </c>
      <c r="M428" s="1">
        <f>VLOOKUP(B428,'[1]Срок Годности'!$A$2:$B$4,2,0)</f>
        <v>500</v>
      </c>
      <c r="N428" s="60">
        <f t="shared" si="45"/>
        <v>1125</v>
      </c>
      <c r="O428" s="1" t="str">
        <f t="shared" si="46"/>
        <v>29 2012</v>
      </c>
      <c r="P428" s="1">
        <f t="shared" si="47"/>
        <v>23</v>
      </c>
      <c r="Q428" s="1">
        <f t="shared" ca="1" si="48"/>
        <v>4027</v>
      </c>
      <c r="S428" s="1">
        <f t="shared" si="42"/>
        <v>4676</v>
      </c>
    </row>
    <row r="429" spans="1:19" x14ac:dyDescent="0.2">
      <c r="A429" s="57" t="s">
        <v>234</v>
      </c>
      <c r="B429" s="57" t="s">
        <v>225</v>
      </c>
      <c r="C429" s="57" t="s">
        <v>226</v>
      </c>
      <c r="D429" s="58">
        <v>317.08</v>
      </c>
      <c r="E429" s="59">
        <v>41107</v>
      </c>
      <c r="F429" s="58">
        <v>4676</v>
      </c>
      <c r="G429" s="58">
        <v>960</v>
      </c>
      <c r="H429" s="58">
        <v>914</v>
      </c>
      <c r="I429" s="58">
        <v>4712</v>
      </c>
      <c r="J429" s="58">
        <v>0</v>
      </c>
      <c r="K429" s="1">
        <f t="shared" si="43"/>
        <v>289811.12</v>
      </c>
      <c r="L429" s="1" t="str">
        <f t="shared" si="44"/>
        <v/>
      </c>
      <c r="M429" s="1">
        <f>VLOOKUP(B429,'[1]Срок Годности'!$A$2:$B$4,2,0)</f>
        <v>500</v>
      </c>
      <c r="N429" s="60">
        <f t="shared" si="45"/>
        <v>960</v>
      </c>
      <c r="O429" s="1" t="str">
        <f t="shared" si="46"/>
        <v>29 2012</v>
      </c>
      <c r="P429" s="1">
        <f t="shared" si="47"/>
        <v>23</v>
      </c>
      <c r="Q429" s="1">
        <f t="shared" ca="1" si="48"/>
        <v>4026</v>
      </c>
      <c r="S429" s="1">
        <f t="shared" si="42"/>
        <v>4712</v>
      </c>
    </row>
    <row r="430" spans="1:19" x14ac:dyDescent="0.2">
      <c r="A430" s="57" t="s">
        <v>234</v>
      </c>
      <c r="B430" s="57" t="s">
        <v>244</v>
      </c>
      <c r="C430" s="57" t="s">
        <v>245</v>
      </c>
      <c r="D430" s="58">
        <v>33.659999999999997</v>
      </c>
      <c r="E430" s="59">
        <v>41061</v>
      </c>
      <c r="F430" s="58">
        <v>84748</v>
      </c>
      <c r="G430" s="58">
        <v>15643</v>
      </c>
      <c r="H430" s="58">
        <v>14707</v>
      </c>
      <c r="I430" s="58">
        <v>85646</v>
      </c>
      <c r="J430" s="58">
        <v>2</v>
      </c>
      <c r="K430" s="1">
        <f t="shared" si="43"/>
        <v>495037.61999999994</v>
      </c>
      <c r="L430" s="1">
        <f t="shared" si="44"/>
        <v>14707</v>
      </c>
      <c r="M430" s="1">
        <f>VLOOKUP(B430,'[1]Срок Годности'!$A$2:$B$4,2,0)</f>
        <v>1500</v>
      </c>
      <c r="N430" s="60">
        <f t="shared" si="45"/>
        <v>15643</v>
      </c>
      <c r="O430" s="1" t="str">
        <f t="shared" si="46"/>
        <v>22 2012</v>
      </c>
      <c r="P430" s="1">
        <f t="shared" si="47"/>
        <v>21</v>
      </c>
      <c r="Q430" s="1">
        <f t="shared" ca="1" si="48"/>
        <v>4072</v>
      </c>
      <c r="S430" s="1">
        <f t="shared" si="42"/>
        <v>85644</v>
      </c>
    </row>
    <row r="431" spans="1:19" x14ac:dyDescent="0.2">
      <c r="A431" s="57" t="s">
        <v>234</v>
      </c>
      <c r="B431" s="57" t="s">
        <v>244</v>
      </c>
      <c r="C431" s="57" t="s">
        <v>245</v>
      </c>
      <c r="D431" s="58">
        <v>33.659999999999997</v>
      </c>
      <c r="E431" s="59">
        <v>41062</v>
      </c>
      <c r="F431" s="58">
        <v>85646</v>
      </c>
      <c r="G431" s="58">
        <v>15538</v>
      </c>
      <c r="H431" s="58">
        <v>13775</v>
      </c>
      <c r="I431" s="58">
        <v>87221</v>
      </c>
      <c r="J431" s="58">
        <v>0</v>
      </c>
      <c r="K431" s="1">
        <f t="shared" si="43"/>
        <v>463666.49999999994</v>
      </c>
      <c r="L431" s="1">
        <f t="shared" si="44"/>
        <v>13775</v>
      </c>
      <c r="M431" s="1">
        <f>VLOOKUP(B431,'[1]Срок Годности'!$A$2:$B$4,2,0)</f>
        <v>1500</v>
      </c>
      <c r="N431" s="60">
        <f t="shared" si="45"/>
        <v>15538</v>
      </c>
      <c r="O431" s="1" t="str">
        <f t="shared" si="46"/>
        <v>22 2012</v>
      </c>
      <c r="P431" s="1">
        <f t="shared" si="47"/>
        <v>21</v>
      </c>
      <c r="Q431" s="1">
        <f t="shared" ca="1" si="48"/>
        <v>4071</v>
      </c>
      <c r="S431" s="1">
        <f t="shared" si="42"/>
        <v>87221</v>
      </c>
    </row>
    <row r="432" spans="1:19" x14ac:dyDescent="0.2">
      <c r="A432" s="57" t="s">
        <v>234</v>
      </c>
      <c r="B432" s="57" t="s">
        <v>244</v>
      </c>
      <c r="C432" s="57" t="s">
        <v>245</v>
      </c>
      <c r="D432" s="58">
        <v>33.659999999999997</v>
      </c>
      <c r="E432" s="59">
        <v>41063</v>
      </c>
      <c r="F432" s="58">
        <v>87221</v>
      </c>
      <c r="G432" s="58">
        <v>19000</v>
      </c>
      <c r="H432" s="58">
        <v>13239</v>
      </c>
      <c r="I432" s="58">
        <v>92844</v>
      </c>
      <c r="J432" s="58">
        <v>0</v>
      </c>
      <c r="K432" s="1">
        <f t="shared" si="43"/>
        <v>445624.73999999993</v>
      </c>
      <c r="L432" s="1">
        <f t="shared" si="44"/>
        <v>13239</v>
      </c>
      <c r="M432" s="1">
        <f>VLOOKUP(B432,'[1]Срок Годности'!$A$2:$B$4,2,0)</f>
        <v>1500</v>
      </c>
      <c r="N432" s="60">
        <f t="shared" si="45"/>
        <v>0</v>
      </c>
      <c r="O432" s="1" t="str">
        <f t="shared" si="46"/>
        <v>23 2012</v>
      </c>
      <c r="P432" s="1">
        <f t="shared" si="47"/>
        <v>21</v>
      </c>
      <c r="Q432" s="1">
        <f t="shared" ca="1" si="48"/>
        <v>4070</v>
      </c>
      <c r="S432" s="1">
        <f t="shared" si="42"/>
        <v>92844</v>
      </c>
    </row>
    <row r="433" spans="1:19" x14ac:dyDescent="0.2">
      <c r="A433" s="57" t="s">
        <v>234</v>
      </c>
      <c r="B433" s="57" t="s">
        <v>244</v>
      </c>
      <c r="C433" s="57" t="s">
        <v>245</v>
      </c>
      <c r="D433" s="58">
        <v>33.659999999999997</v>
      </c>
      <c r="E433" s="59">
        <v>41064</v>
      </c>
      <c r="F433" s="58">
        <v>92844</v>
      </c>
      <c r="G433" s="58">
        <v>14115</v>
      </c>
      <c r="H433" s="58">
        <v>14630</v>
      </c>
      <c r="I433" s="58">
        <v>92265</v>
      </c>
      <c r="J433" s="58">
        <v>1</v>
      </c>
      <c r="K433" s="1">
        <f t="shared" si="43"/>
        <v>492445.79999999993</v>
      </c>
      <c r="L433" s="1">
        <f t="shared" si="44"/>
        <v>14630</v>
      </c>
      <c r="M433" s="1">
        <f>VLOOKUP(B433,'[1]Срок Годности'!$A$2:$B$4,2,0)</f>
        <v>1500</v>
      </c>
      <c r="N433" s="60">
        <f t="shared" si="45"/>
        <v>14115</v>
      </c>
      <c r="O433" s="1" t="str">
        <f t="shared" si="46"/>
        <v>23 2012</v>
      </c>
      <c r="P433" s="1">
        <f t="shared" si="47"/>
        <v>21</v>
      </c>
      <c r="Q433" s="1">
        <f t="shared" ca="1" si="48"/>
        <v>4069</v>
      </c>
      <c r="S433" s="1">
        <f t="shared" si="42"/>
        <v>92264</v>
      </c>
    </row>
    <row r="434" spans="1:19" x14ac:dyDescent="0.2">
      <c r="A434" s="57" t="s">
        <v>234</v>
      </c>
      <c r="B434" s="57" t="s">
        <v>244</v>
      </c>
      <c r="C434" s="57" t="s">
        <v>245</v>
      </c>
      <c r="D434" s="58">
        <v>33.659999999999997</v>
      </c>
      <c r="E434" s="59">
        <v>41065</v>
      </c>
      <c r="F434" s="58">
        <v>92265</v>
      </c>
      <c r="G434" s="58">
        <v>15741</v>
      </c>
      <c r="H434" s="58">
        <v>14442</v>
      </c>
      <c r="I434" s="58">
        <v>93340</v>
      </c>
      <c r="J434" s="58">
        <v>0</v>
      </c>
      <c r="K434" s="1">
        <f t="shared" si="43"/>
        <v>486117.72</v>
      </c>
      <c r="L434" s="1">
        <f t="shared" si="44"/>
        <v>14442</v>
      </c>
      <c r="M434" s="1">
        <f>VLOOKUP(B434,'[1]Срок Годности'!$A$2:$B$4,2,0)</f>
        <v>1500</v>
      </c>
      <c r="N434" s="60">
        <f t="shared" si="45"/>
        <v>15741</v>
      </c>
      <c r="O434" s="1" t="str">
        <f t="shared" si="46"/>
        <v>23 2012</v>
      </c>
      <c r="P434" s="1">
        <f t="shared" si="47"/>
        <v>21</v>
      </c>
      <c r="Q434" s="1">
        <f t="shared" ca="1" si="48"/>
        <v>4068</v>
      </c>
      <c r="S434" s="1">
        <f t="shared" si="42"/>
        <v>93340</v>
      </c>
    </row>
    <row r="435" spans="1:19" x14ac:dyDescent="0.2">
      <c r="A435" s="57" t="s">
        <v>234</v>
      </c>
      <c r="B435" s="57" t="s">
        <v>244</v>
      </c>
      <c r="C435" s="57" t="s">
        <v>245</v>
      </c>
      <c r="D435" s="58">
        <v>33.659999999999997</v>
      </c>
      <c r="E435" s="59">
        <v>41066</v>
      </c>
      <c r="F435" s="58">
        <v>93340</v>
      </c>
      <c r="G435" s="58">
        <v>18383</v>
      </c>
      <c r="H435" s="58">
        <v>14539</v>
      </c>
      <c r="I435" s="58">
        <v>97058</v>
      </c>
      <c r="J435" s="58">
        <v>0</v>
      </c>
      <c r="K435" s="1">
        <f t="shared" si="43"/>
        <v>489382.73999999993</v>
      </c>
      <c r="L435" s="1">
        <f t="shared" si="44"/>
        <v>14539</v>
      </c>
      <c r="M435" s="1">
        <f>VLOOKUP(B435,'[1]Срок Годности'!$A$2:$B$4,2,0)</f>
        <v>1500</v>
      </c>
      <c r="N435" s="60">
        <f t="shared" si="45"/>
        <v>18383</v>
      </c>
      <c r="O435" s="1" t="str">
        <f t="shared" si="46"/>
        <v>23 2012</v>
      </c>
      <c r="P435" s="1">
        <f t="shared" si="47"/>
        <v>21</v>
      </c>
      <c r="Q435" s="1">
        <f t="shared" ca="1" si="48"/>
        <v>4067</v>
      </c>
      <c r="S435" s="1">
        <f t="shared" si="42"/>
        <v>97058</v>
      </c>
    </row>
    <row r="436" spans="1:19" x14ac:dyDescent="0.2">
      <c r="A436" s="57" t="s">
        <v>234</v>
      </c>
      <c r="B436" s="57" t="s">
        <v>244</v>
      </c>
      <c r="C436" s="57" t="s">
        <v>245</v>
      </c>
      <c r="D436" s="58">
        <v>33.659999999999997</v>
      </c>
      <c r="E436" s="59">
        <v>41067</v>
      </c>
      <c r="F436" s="58">
        <v>97058</v>
      </c>
      <c r="G436" s="58">
        <v>19512</v>
      </c>
      <c r="H436" s="58">
        <v>13958</v>
      </c>
      <c r="I436" s="58">
        <v>102320</v>
      </c>
      <c r="J436" s="58">
        <v>0</v>
      </c>
      <c r="K436" s="1">
        <f t="shared" si="43"/>
        <v>469826.27999999997</v>
      </c>
      <c r="L436" s="1">
        <f t="shared" si="44"/>
        <v>13958</v>
      </c>
      <c r="M436" s="1">
        <f>VLOOKUP(B436,'[1]Срок Годности'!$A$2:$B$4,2,0)</f>
        <v>1500</v>
      </c>
      <c r="N436" s="60">
        <f t="shared" si="45"/>
        <v>19512</v>
      </c>
      <c r="O436" s="1" t="str">
        <f t="shared" si="46"/>
        <v>23 2012</v>
      </c>
      <c r="P436" s="1">
        <f t="shared" si="47"/>
        <v>21</v>
      </c>
      <c r="Q436" s="1">
        <f t="shared" ca="1" si="48"/>
        <v>4066</v>
      </c>
      <c r="S436" s="1">
        <f t="shared" si="42"/>
        <v>102320</v>
      </c>
    </row>
    <row r="437" spans="1:19" x14ac:dyDescent="0.2">
      <c r="A437" s="57" t="s">
        <v>234</v>
      </c>
      <c r="B437" s="57" t="s">
        <v>244</v>
      </c>
      <c r="C437" s="57" t="s">
        <v>245</v>
      </c>
      <c r="D437" s="58">
        <v>33.659999999999997</v>
      </c>
      <c r="E437" s="59">
        <v>41068</v>
      </c>
      <c r="F437" s="58">
        <v>102320</v>
      </c>
      <c r="G437" s="58">
        <v>14062</v>
      </c>
      <c r="H437" s="58">
        <v>17162</v>
      </c>
      <c r="I437" s="58">
        <v>99111</v>
      </c>
      <c r="J437" s="58">
        <v>0</v>
      </c>
      <c r="K437" s="1">
        <f t="shared" si="43"/>
        <v>577672.91999999993</v>
      </c>
      <c r="L437" s="1">
        <f t="shared" si="44"/>
        <v>17162</v>
      </c>
      <c r="M437" s="1">
        <f>VLOOKUP(B437,'[1]Срок Годности'!$A$2:$B$4,2,0)</f>
        <v>1500</v>
      </c>
      <c r="N437" s="60">
        <f t="shared" si="45"/>
        <v>14062</v>
      </c>
      <c r="O437" s="1" t="str">
        <f t="shared" si="46"/>
        <v>23 2012</v>
      </c>
      <c r="P437" s="1">
        <f t="shared" si="47"/>
        <v>21</v>
      </c>
      <c r="Q437" s="1">
        <f t="shared" ca="1" si="48"/>
        <v>4065</v>
      </c>
      <c r="S437" s="1">
        <f t="shared" si="42"/>
        <v>99111</v>
      </c>
    </row>
    <row r="438" spans="1:19" x14ac:dyDescent="0.2">
      <c r="A438" s="57" t="s">
        <v>234</v>
      </c>
      <c r="B438" s="57" t="s">
        <v>244</v>
      </c>
      <c r="C438" s="57" t="s">
        <v>245</v>
      </c>
      <c r="D438" s="58">
        <v>33.659999999999997</v>
      </c>
      <c r="E438" s="59">
        <v>41069</v>
      </c>
      <c r="F438" s="58">
        <v>99111</v>
      </c>
      <c r="G438" s="58">
        <v>13035</v>
      </c>
      <c r="H438" s="58">
        <v>14047</v>
      </c>
      <c r="I438" s="58">
        <v>97976</v>
      </c>
      <c r="J438" s="58">
        <v>0</v>
      </c>
      <c r="K438" s="1">
        <f t="shared" si="43"/>
        <v>472822.01999999996</v>
      </c>
      <c r="L438" s="1">
        <f t="shared" si="44"/>
        <v>14047</v>
      </c>
      <c r="M438" s="1">
        <f>VLOOKUP(B438,'[1]Срок Годности'!$A$2:$B$4,2,0)</f>
        <v>1500</v>
      </c>
      <c r="N438" s="60">
        <f t="shared" si="45"/>
        <v>13035</v>
      </c>
      <c r="O438" s="1" t="str">
        <f t="shared" si="46"/>
        <v>23 2012</v>
      </c>
      <c r="P438" s="1">
        <f t="shared" si="47"/>
        <v>21</v>
      </c>
      <c r="Q438" s="1">
        <f t="shared" ca="1" si="48"/>
        <v>4064</v>
      </c>
      <c r="S438" s="1">
        <f t="shared" si="42"/>
        <v>97976</v>
      </c>
    </row>
    <row r="439" spans="1:19" x14ac:dyDescent="0.2">
      <c r="A439" s="57" t="s">
        <v>234</v>
      </c>
      <c r="B439" s="57" t="s">
        <v>244</v>
      </c>
      <c r="C439" s="57" t="s">
        <v>245</v>
      </c>
      <c r="D439" s="58">
        <v>33.659999999999997</v>
      </c>
      <c r="E439" s="59">
        <v>41070</v>
      </c>
      <c r="F439" s="58">
        <v>97976</v>
      </c>
      <c r="G439" s="58">
        <v>15183</v>
      </c>
      <c r="H439" s="58">
        <v>11759</v>
      </c>
      <c r="I439" s="58">
        <v>101312</v>
      </c>
      <c r="J439" s="58">
        <v>3</v>
      </c>
      <c r="K439" s="1">
        <f t="shared" si="43"/>
        <v>395807.93999999994</v>
      </c>
      <c r="L439" s="1">
        <f t="shared" si="44"/>
        <v>11759</v>
      </c>
      <c r="M439" s="1">
        <f>VLOOKUP(B439,'[1]Срок Годности'!$A$2:$B$4,2,0)</f>
        <v>1500</v>
      </c>
      <c r="N439" s="60">
        <f t="shared" si="45"/>
        <v>0</v>
      </c>
      <c r="O439" s="1" t="str">
        <f t="shared" si="46"/>
        <v>24 2012</v>
      </c>
      <c r="P439" s="1">
        <f t="shared" si="47"/>
        <v>21</v>
      </c>
      <c r="Q439" s="1">
        <f t="shared" ca="1" si="48"/>
        <v>4063</v>
      </c>
      <c r="S439" s="1">
        <f t="shared" si="42"/>
        <v>101309</v>
      </c>
    </row>
    <row r="440" spans="1:19" x14ac:dyDescent="0.2">
      <c r="A440" s="57" t="s">
        <v>234</v>
      </c>
      <c r="B440" s="57" t="s">
        <v>244</v>
      </c>
      <c r="C440" s="57" t="s">
        <v>245</v>
      </c>
      <c r="D440" s="58">
        <v>33.659999999999997</v>
      </c>
      <c r="E440" s="59">
        <v>41071</v>
      </c>
      <c r="F440" s="58">
        <v>101312</v>
      </c>
      <c r="G440" s="58">
        <v>12704</v>
      </c>
      <c r="H440" s="58">
        <v>10781</v>
      </c>
      <c r="I440" s="58">
        <v>103144</v>
      </c>
      <c r="J440" s="58">
        <v>0</v>
      </c>
      <c r="K440" s="1">
        <f t="shared" si="43"/>
        <v>362888.45999999996</v>
      </c>
      <c r="L440" s="1">
        <f t="shared" si="44"/>
        <v>10781</v>
      </c>
      <c r="M440" s="1">
        <f>VLOOKUP(B440,'[1]Срок Годности'!$A$2:$B$4,2,0)</f>
        <v>1500</v>
      </c>
      <c r="N440" s="60">
        <f t="shared" si="45"/>
        <v>12704</v>
      </c>
      <c r="O440" s="1" t="str">
        <f t="shared" si="46"/>
        <v>24 2012</v>
      </c>
      <c r="P440" s="1">
        <f t="shared" si="47"/>
        <v>21</v>
      </c>
      <c r="Q440" s="1">
        <f t="shared" ca="1" si="48"/>
        <v>4062</v>
      </c>
      <c r="S440" s="1">
        <f t="shared" si="42"/>
        <v>103144</v>
      </c>
    </row>
    <row r="441" spans="1:19" x14ac:dyDescent="0.2">
      <c r="A441" s="57" t="s">
        <v>234</v>
      </c>
      <c r="B441" s="57" t="s">
        <v>244</v>
      </c>
      <c r="C441" s="57" t="s">
        <v>245</v>
      </c>
      <c r="D441" s="58">
        <v>33.659999999999997</v>
      </c>
      <c r="E441" s="59">
        <v>41072</v>
      </c>
      <c r="F441" s="58">
        <v>103144</v>
      </c>
      <c r="G441" s="58">
        <v>10192</v>
      </c>
      <c r="H441" s="58">
        <v>10666</v>
      </c>
      <c r="I441" s="58">
        <v>102594</v>
      </c>
      <c r="J441" s="58">
        <v>0</v>
      </c>
      <c r="K441" s="1">
        <f t="shared" si="43"/>
        <v>359017.55999999994</v>
      </c>
      <c r="L441" s="1">
        <f t="shared" si="44"/>
        <v>10666</v>
      </c>
      <c r="M441" s="1">
        <f>VLOOKUP(B441,'[1]Срок Годности'!$A$2:$B$4,2,0)</f>
        <v>1500</v>
      </c>
      <c r="N441" s="60">
        <f t="shared" si="45"/>
        <v>10192</v>
      </c>
      <c r="O441" s="1" t="str">
        <f t="shared" si="46"/>
        <v>24 2012</v>
      </c>
      <c r="P441" s="1">
        <f t="shared" si="47"/>
        <v>21</v>
      </c>
      <c r="Q441" s="1">
        <f t="shared" ca="1" si="48"/>
        <v>4061</v>
      </c>
      <c r="S441" s="1">
        <f t="shared" si="42"/>
        <v>102594</v>
      </c>
    </row>
    <row r="442" spans="1:19" x14ac:dyDescent="0.2">
      <c r="A442" s="57" t="s">
        <v>234</v>
      </c>
      <c r="B442" s="57" t="s">
        <v>244</v>
      </c>
      <c r="C442" s="57" t="s">
        <v>245</v>
      </c>
      <c r="D442" s="58">
        <v>33.659999999999997</v>
      </c>
      <c r="E442" s="59">
        <v>41073</v>
      </c>
      <c r="F442" s="58">
        <v>102594</v>
      </c>
      <c r="G442" s="58">
        <v>10950</v>
      </c>
      <c r="H442" s="58">
        <v>11276</v>
      </c>
      <c r="I442" s="58">
        <v>102281</v>
      </c>
      <c r="J442" s="58">
        <v>0</v>
      </c>
      <c r="K442" s="1">
        <f t="shared" si="43"/>
        <v>379550.16</v>
      </c>
      <c r="L442" s="1">
        <f t="shared" si="44"/>
        <v>11276</v>
      </c>
      <c r="M442" s="1">
        <f>VLOOKUP(B442,'[1]Срок Годности'!$A$2:$B$4,2,0)</f>
        <v>1500</v>
      </c>
      <c r="N442" s="60">
        <f t="shared" si="45"/>
        <v>10950</v>
      </c>
      <c r="O442" s="1" t="str">
        <f t="shared" si="46"/>
        <v>24 2012</v>
      </c>
      <c r="P442" s="1">
        <f t="shared" si="47"/>
        <v>21</v>
      </c>
      <c r="Q442" s="1">
        <f t="shared" ca="1" si="48"/>
        <v>4060</v>
      </c>
      <c r="S442" s="1">
        <f t="shared" si="42"/>
        <v>102281</v>
      </c>
    </row>
    <row r="443" spans="1:19" x14ac:dyDescent="0.2">
      <c r="A443" s="57" t="s">
        <v>234</v>
      </c>
      <c r="B443" s="57" t="s">
        <v>244</v>
      </c>
      <c r="C443" s="57" t="s">
        <v>245</v>
      </c>
      <c r="D443" s="58">
        <v>33.659999999999997</v>
      </c>
      <c r="E443" s="59">
        <v>41074</v>
      </c>
      <c r="F443" s="58">
        <v>102281</v>
      </c>
      <c r="G443" s="58">
        <v>9802</v>
      </c>
      <c r="H443" s="58">
        <v>10830</v>
      </c>
      <c r="I443" s="58">
        <v>101145</v>
      </c>
      <c r="J443" s="58">
        <v>0</v>
      </c>
      <c r="K443" s="1">
        <f t="shared" si="43"/>
        <v>364537.8</v>
      </c>
      <c r="L443" s="1">
        <f t="shared" si="44"/>
        <v>10830</v>
      </c>
      <c r="M443" s="1">
        <f>VLOOKUP(B443,'[1]Срок Годности'!$A$2:$B$4,2,0)</f>
        <v>1500</v>
      </c>
      <c r="N443" s="60">
        <f t="shared" si="45"/>
        <v>9802</v>
      </c>
      <c r="O443" s="1" t="str">
        <f t="shared" si="46"/>
        <v>24 2012</v>
      </c>
      <c r="P443" s="1">
        <f t="shared" si="47"/>
        <v>21</v>
      </c>
      <c r="Q443" s="1">
        <f t="shared" ca="1" si="48"/>
        <v>4059</v>
      </c>
      <c r="S443" s="1">
        <f t="shared" si="42"/>
        <v>101145</v>
      </c>
    </row>
    <row r="444" spans="1:19" x14ac:dyDescent="0.2">
      <c r="A444" s="57" t="s">
        <v>234</v>
      </c>
      <c r="B444" s="57" t="s">
        <v>244</v>
      </c>
      <c r="C444" s="57" t="s">
        <v>245</v>
      </c>
      <c r="D444" s="58">
        <v>33.659999999999997</v>
      </c>
      <c r="E444" s="59">
        <v>41075</v>
      </c>
      <c r="F444" s="58">
        <v>101145</v>
      </c>
      <c r="G444" s="58">
        <v>11664</v>
      </c>
      <c r="H444" s="58">
        <v>11514</v>
      </c>
      <c r="I444" s="58">
        <v>101264</v>
      </c>
      <c r="J444" s="58">
        <v>1</v>
      </c>
      <c r="K444" s="1">
        <f t="shared" si="43"/>
        <v>387561.23999999993</v>
      </c>
      <c r="L444" s="1">
        <f t="shared" si="44"/>
        <v>11514</v>
      </c>
      <c r="M444" s="1">
        <f>VLOOKUP(B444,'[1]Срок Годности'!$A$2:$B$4,2,0)</f>
        <v>1500</v>
      </c>
      <c r="N444" s="60">
        <f t="shared" si="45"/>
        <v>11664</v>
      </c>
      <c r="O444" s="1" t="str">
        <f t="shared" si="46"/>
        <v>24 2012</v>
      </c>
      <c r="P444" s="1">
        <f t="shared" si="47"/>
        <v>21</v>
      </c>
      <c r="Q444" s="1">
        <f t="shared" ca="1" si="48"/>
        <v>4058</v>
      </c>
      <c r="S444" s="1">
        <f t="shared" si="42"/>
        <v>101263</v>
      </c>
    </row>
    <row r="445" spans="1:19" x14ac:dyDescent="0.2">
      <c r="A445" s="57" t="s">
        <v>234</v>
      </c>
      <c r="B445" s="57" t="s">
        <v>244</v>
      </c>
      <c r="C445" s="57" t="s">
        <v>245</v>
      </c>
      <c r="D445" s="58">
        <v>33.659999999999997</v>
      </c>
      <c r="E445" s="59">
        <v>41076</v>
      </c>
      <c r="F445" s="58">
        <v>101264</v>
      </c>
      <c r="G445" s="58">
        <v>10242</v>
      </c>
      <c r="H445" s="58">
        <v>10642</v>
      </c>
      <c r="I445" s="58">
        <v>100832</v>
      </c>
      <c r="J445" s="58">
        <v>0</v>
      </c>
      <c r="K445" s="1">
        <f t="shared" si="43"/>
        <v>358209.72</v>
      </c>
      <c r="L445" s="1">
        <f t="shared" si="44"/>
        <v>10642</v>
      </c>
      <c r="M445" s="1">
        <f>VLOOKUP(B445,'[1]Срок Годности'!$A$2:$B$4,2,0)</f>
        <v>1500</v>
      </c>
      <c r="N445" s="60">
        <f t="shared" si="45"/>
        <v>10242</v>
      </c>
      <c r="O445" s="1" t="str">
        <f t="shared" si="46"/>
        <v>24 2012</v>
      </c>
      <c r="P445" s="1">
        <f t="shared" si="47"/>
        <v>21</v>
      </c>
      <c r="Q445" s="1">
        <f t="shared" ca="1" si="48"/>
        <v>4057</v>
      </c>
      <c r="S445" s="1">
        <f t="shared" si="42"/>
        <v>100832</v>
      </c>
    </row>
    <row r="446" spans="1:19" x14ac:dyDescent="0.2">
      <c r="A446" s="57" t="s">
        <v>234</v>
      </c>
      <c r="B446" s="57" t="s">
        <v>244</v>
      </c>
      <c r="C446" s="57" t="s">
        <v>245</v>
      </c>
      <c r="D446" s="58">
        <v>33.659999999999997</v>
      </c>
      <c r="E446" s="59">
        <v>41077</v>
      </c>
      <c r="F446" s="58">
        <v>100832</v>
      </c>
      <c r="G446" s="58">
        <v>10439</v>
      </c>
      <c r="H446" s="58">
        <v>10531</v>
      </c>
      <c r="I446" s="58">
        <v>100700</v>
      </c>
      <c r="J446" s="58">
        <v>0</v>
      </c>
      <c r="K446" s="1">
        <f t="shared" si="43"/>
        <v>354473.45999999996</v>
      </c>
      <c r="L446" s="1">
        <f t="shared" si="44"/>
        <v>10531</v>
      </c>
      <c r="M446" s="1">
        <f>VLOOKUP(B446,'[1]Срок Годности'!$A$2:$B$4,2,0)</f>
        <v>1500</v>
      </c>
      <c r="N446" s="60">
        <f t="shared" si="45"/>
        <v>0</v>
      </c>
      <c r="O446" s="1" t="str">
        <f t="shared" si="46"/>
        <v>25 2012</v>
      </c>
      <c r="P446" s="1">
        <f t="shared" si="47"/>
        <v>21</v>
      </c>
      <c r="Q446" s="1">
        <f t="shared" ca="1" si="48"/>
        <v>4056</v>
      </c>
      <c r="S446" s="1">
        <f t="shared" si="42"/>
        <v>100700</v>
      </c>
    </row>
    <row r="447" spans="1:19" x14ac:dyDescent="0.2">
      <c r="A447" s="57" t="s">
        <v>234</v>
      </c>
      <c r="B447" s="57" t="s">
        <v>244</v>
      </c>
      <c r="C447" s="57" t="s">
        <v>245</v>
      </c>
      <c r="D447" s="58">
        <v>33.659999999999997</v>
      </c>
      <c r="E447" s="59">
        <v>41078</v>
      </c>
      <c r="F447" s="58">
        <v>100700</v>
      </c>
      <c r="G447" s="58">
        <v>11821</v>
      </c>
      <c r="H447" s="58">
        <v>11600</v>
      </c>
      <c r="I447" s="58">
        <v>100861</v>
      </c>
      <c r="J447" s="58">
        <v>0</v>
      </c>
      <c r="K447" s="1">
        <f t="shared" si="43"/>
        <v>390455.99999999994</v>
      </c>
      <c r="L447" s="1">
        <f t="shared" si="44"/>
        <v>11600</v>
      </c>
      <c r="M447" s="1">
        <f>VLOOKUP(B447,'[1]Срок Годности'!$A$2:$B$4,2,0)</f>
        <v>1500</v>
      </c>
      <c r="N447" s="60">
        <f t="shared" si="45"/>
        <v>11821</v>
      </c>
      <c r="O447" s="1" t="str">
        <f t="shared" si="46"/>
        <v>25 2012</v>
      </c>
      <c r="P447" s="1">
        <f t="shared" si="47"/>
        <v>21</v>
      </c>
      <c r="Q447" s="1">
        <f t="shared" ca="1" si="48"/>
        <v>4055</v>
      </c>
      <c r="S447" s="1">
        <f t="shared" si="42"/>
        <v>100861</v>
      </c>
    </row>
    <row r="448" spans="1:19" x14ac:dyDescent="0.2">
      <c r="A448" s="57" t="s">
        <v>234</v>
      </c>
      <c r="B448" s="57" t="s">
        <v>244</v>
      </c>
      <c r="C448" s="57" t="s">
        <v>245</v>
      </c>
      <c r="D448" s="58">
        <v>33.659999999999997</v>
      </c>
      <c r="E448" s="59">
        <v>41079</v>
      </c>
      <c r="F448" s="58">
        <v>100861</v>
      </c>
      <c r="G448" s="58">
        <v>8171</v>
      </c>
      <c r="H448" s="58">
        <v>12174</v>
      </c>
      <c r="I448" s="58">
        <v>96841</v>
      </c>
      <c r="J448" s="58">
        <v>0</v>
      </c>
      <c r="K448" s="1">
        <f t="shared" si="43"/>
        <v>409776.83999999997</v>
      </c>
      <c r="L448" s="1">
        <f t="shared" si="44"/>
        <v>12174</v>
      </c>
      <c r="M448" s="1">
        <f>VLOOKUP(B448,'[1]Срок Годности'!$A$2:$B$4,2,0)</f>
        <v>1500</v>
      </c>
      <c r="N448" s="60">
        <f t="shared" si="45"/>
        <v>8171</v>
      </c>
      <c r="O448" s="1" t="str">
        <f t="shared" si="46"/>
        <v>25 2012</v>
      </c>
      <c r="P448" s="1">
        <f t="shared" si="47"/>
        <v>21</v>
      </c>
      <c r="Q448" s="1">
        <f t="shared" ca="1" si="48"/>
        <v>4054</v>
      </c>
      <c r="S448" s="1">
        <f t="shared" si="42"/>
        <v>96841</v>
      </c>
    </row>
    <row r="449" spans="1:19" x14ac:dyDescent="0.2">
      <c r="A449" s="57" t="s">
        <v>234</v>
      </c>
      <c r="B449" s="57" t="s">
        <v>244</v>
      </c>
      <c r="C449" s="57" t="s">
        <v>245</v>
      </c>
      <c r="D449" s="58">
        <v>33.659999999999997</v>
      </c>
      <c r="E449" s="59">
        <v>41080</v>
      </c>
      <c r="F449" s="58">
        <v>96841</v>
      </c>
      <c r="G449" s="58">
        <v>8425</v>
      </c>
      <c r="H449" s="58">
        <v>12743</v>
      </c>
      <c r="I449" s="58">
        <v>92722</v>
      </c>
      <c r="J449" s="58">
        <v>0</v>
      </c>
      <c r="K449" s="1">
        <f t="shared" si="43"/>
        <v>428929.37999999995</v>
      </c>
      <c r="L449" s="1">
        <f t="shared" si="44"/>
        <v>12743</v>
      </c>
      <c r="M449" s="1">
        <f>VLOOKUP(B449,'[1]Срок Годности'!$A$2:$B$4,2,0)</f>
        <v>1500</v>
      </c>
      <c r="N449" s="60">
        <f t="shared" si="45"/>
        <v>8425</v>
      </c>
      <c r="O449" s="1" t="str">
        <f t="shared" si="46"/>
        <v>25 2012</v>
      </c>
      <c r="P449" s="1">
        <f t="shared" si="47"/>
        <v>21</v>
      </c>
      <c r="Q449" s="1">
        <f t="shared" ca="1" si="48"/>
        <v>4053</v>
      </c>
      <c r="S449" s="1">
        <f t="shared" si="42"/>
        <v>92722</v>
      </c>
    </row>
    <row r="450" spans="1:19" x14ac:dyDescent="0.2">
      <c r="A450" s="57" t="s">
        <v>234</v>
      </c>
      <c r="B450" s="57" t="s">
        <v>244</v>
      </c>
      <c r="C450" s="57" t="s">
        <v>245</v>
      </c>
      <c r="D450" s="58">
        <v>33.659999999999997</v>
      </c>
      <c r="E450" s="59">
        <v>41081</v>
      </c>
      <c r="F450" s="58">
        <v>92722</v>
      </c>
      <c r="G450" s="58">
        <v>9837</v>
      </c>
      <c r="H450" s="58">
        <v>11905</v>
      </c>
      <c r="I450" s="58">
        <v>90610</v>
      </c>
      <c r="J450" s="58">
        <v>0</v>
      </c>
      <c r="K450" s="1">
        <f t="shared" si="43"/>
        <v>400722.3</v>
      </c>
      <c r="L450" s="1">
        <f t="shared" si="44"/>
        <v>11905</v>
      </c>
      <c r="M450" s="1">
        <f>VLOOKUP(B450,'[1]Срок Годности'!$A$2:$B$4,2,0)</f>
        <v>1500</v>
      </c>
      <c r="N450" s="60">
        <f t="shared" si="45"/>
        <v>9837</v>
      </c>
      <c r="O450" s="1" t="str">
        <f t="shared" si="46"/>
        <v>25 2012</v>
      </c>
      <c r="P450" s="1">
        <f t="shared" si="47"/>
        <v>21</v>
      </c>
      <c r="Q450" s="1">
        <f t="shared" ca="1" si="48"/>
        <v>4052</v>
      </c>
      <c r="S450" s="1">
        <f t="shared" si="42"/>
        <v>90610</v>
      </c>
    </row>
    <row r="451" spans="1:19" x14ac:dyDescent="0.2">
      <c r="A451" s="57" t="s">
        <v>234</v>
      </c>
      <c r="B451" s="57" t="s">
        <v>244</v>
      </c>
      <c r="C451" s="57" t="s">
        <v>245</v>
      </c>
      <c r="D451" s="58">
        <v>33.659999999999997</v>
      </c>
      <c r="E451" s="59">
        <v>41082</v>
      </c>
      <c r="F451" s="58">
        <v>90610</v>
      </c>
      <c r="G451" s="58">
        <v>4240</v>
      </c>
      <c r="H451" s="58">
        <v>12396</v>
      </c>
      <c r="I451" s="58">
        <v>82389</v>
      </c>
      <c r="J451" s="58">
        <v>0</v>
      </c>
      <c r="K451" s="1">
        <f t="shared" si="43"/>
        <v>417249.36</v>
      </c>
      <c r="L451" s="1">
        <f t="shared" si="44"/>
        <v>12396</v>
      </c>
      <c r="M451" s="1">
        <f>VLOOKUP(B451,'[1]Срок Годности'!$A$2:$B$4,2,0)</f>
        <v>1500</v>
      </c>
      <c r="N451" s="60">
        <f t="shared" si="45"/>
        <v>4240</v>
      </c>
      <c r="O451" s="1" t="str">
        <f t="shared" si="46"/>
        <v>25 2012</v>
      </c>
      <c r="P451" s="1">
        <f t="shared" si="47"/>
        <v>21</v>
      </c>
      <c r="Q451" s="1">
        <f t="shared" ca="1" si="48"/>
        <v>4051</v>
      </c>
      <c r="S451" s="1">
        <f t="shared" si="42"/>
        <v>82389</v>
      </c>
    </row>
    <row r="452" spans="1:19" x14ac:dyDescent="0.2">
      <c r="A452" s="57" t="s">
        <v>234</v>
      </c>
      <c r="B452" s="57" t="s">
        <v>244</v>
      </c>
      <c r="C452" s="57" t="s">
        <v>245</v>
      </c>
      <c r="D452" s="58">
        <v>33.659999999999997</v>
      </c>
      <c r="E452" s="59">
        <v>41083</v>
      </c>
      <c r="F452" s="58">
        <v>82389</v>
      </c>
      <c r="G452" s="58">
        <v>2367</v>
      </c>
      <c r="H452" s="58">
        <v>11080</v>
      </c>
      <c r="I452" s="58">
        <v>73565</v>
      </c>
      <c r="J452" s="58">
        <v>0</v>
      </c>
      <c r="K452" s="1">
        <f t="shared" si="43"/>
        <v>372952.8</v>
      </c>
      <c r="L452" s="1">
        <f t="shared" si="44"/>
        <v>11080</v>
      </c>
      <c r="M452" s="1">
        <f>VLOOKUP(B452,'[1]Срок Годности'!$A$2:$B$4,2,0)</f>
        <v>1500</v>
      </c>
      <c r="N452" s="60">
        <f t="shared" si="45"/>
        <v>2367</v>
      </c>
      <c r="O452" s="1" t="str">
        <f t="shared" si="46"/>
        <v>25 2012</v>
      </c>
      <c r="P452" s="1">
        <f t="shared" si="47"/>
        <v>21</v>
      </c>
      <c r="Q452" s="1">
        <f t="shared" ca="1" si="48"/>
        <v>4050</v>
      </c>
      <c r="S452" s="1">
        <f t="shared" si="42"/>
        <v>73565</v>
      </c>
    </row>
    <row r="453" spans="1:19" x14ac:dyDescent="0.2">
      <c r="A453" s="57" t="s">
        <v>234</v>
      </c>
      <c r="B453" s="57" t="s">
        <v>244</v>
      </c>
      <c r="C453" s="57" t="s">
        <v>245</v>
      </c>
      <c r="D453" s="58">
        <v>33.659999999999997</v>
      </c>
      <c r="E453" s="59">
        <v>41084</v>
      </c>
      <c r="F453" s="58">
        <v>73565</v>
      </c>
      <c r="G453" s="58">
        <v>3202</v>
      </c>
      <c r="H453" s="58">
        <v>12370</v>
      </c>
      <c r="I453" s="58">
        <v>64290</v>
      </c>
      <c r="J453" s="58">
        <v>0</v>
      </c>
      <c r="K453" s="1">
        <f t="shared" si="43"/>
        <v>416374.19999999995</v>
      </c>
      <c r="L453" s="1">
        <f t="shared" si="44"/>
        <v>12370</v>
      </c>
      <c r="M453" s="1">
        <f>VLOOKUP(B453,'[1]Срок Годности'!$A$2:$B$4,2,0)</f>
        <v>1500</v>
      </c>
      <c r="N453" s="60">
        <f t="shared" si="45"/>
        <v>0</v>
      </c>
      <c r="O453" s="1" t="str">
        <f t="shared" si="46"/>
        <v>26 2012</v>
      </c>
      <c r="P453" s="1">
        <f t="shared" si="47"/>
        <v>21</v>
      </c>
      <c r="Q453" s="1">
        <f t="shared" ca="1" si="48"/>
        <v>4049</v>
      </c>
      <c r="S453" s="1">
        <f t="shared" si="42"/>
        <v>64290</v>
      </c>
    </row>
    <row r="454" spans="1:19" x14ac:dyDescent="0.2">
      <c r="A454" s="57" t="s">
        <v>234</v>
      </c>
      <c r="B454" s="57" t="s">
        <v>244</v>
      </c>
      <c r="C454" s="57" t="s">
        <v>245</v>
      </c>
      <c r="D454" s="58">
        <v>33.659999999999997</v>
      </c>
      <c r="E454" s="59">
        <v>41085</v>
      </c>
      <c r="F454" s="58">
        <v>64290</v>
      </c>
      <c r="G454" s="58">
        <v>9477</v>
      </c>
      <c r="H454" s="58">
        <v>11963</v>
      </c>
      <c r="I454" s="58">
        <v>61760</v>
      </c>
      <c r="J454" s="58">
        <v>0</v>
      </c>
      <c r="K454" s="1">
        <f t="shared" si="43"/>
        <v>402674.57999999996</v>
      </c>
      <c r="L454" s="1">
        <f t="shared" si="44"/>
        <v>11963</v>
      </c>
      <c r="M454" s="1">
        <f>VLOOKUP(B454,'[1]Срок Годности'!$A$2:$B$4,2,0)</f>
        <v>1500</v>
      </c>
      <c r="N454" s="60">
        <f t="shared" si="45"/>
        <v>9477</v>
      </c>
      <c r="O454" s="1" t="str">
        <f t="shared" si="46"/>
        <v>26 2012</v>
      </c>
      <c r="P454" s="1">
        <f t="shared" si="47"/>
        <v>21</v>
      </c>
      <c r="Q454" s="1">
        <f t="shared" ca="1" si="48"/>
        <v>4048</v>
      </c>
      <c r="S454" s="1">
        <f t="shared" si="42"/>
        <v>61760</v>
      </c>
    </row>
    <row r="455" spans="1:19" x14ac:dyDescent="0.2">
      <c r="A455" s="57" t="s">
        <v>234</v>
      </c>
      <c r="B455" s="57" t="s">
        <v>244</v>
      </c>
      <c r="C455" s="57" t="s">
        <v>245</v>
      </c>
      <c r="D455" s="58">
        <v>33.659999999999997</v>
      </c>
      <c r="E455" s="59">
        <v>41086</v>
      </c>
      <c r="F455" s="58">
        <v>61760</v>
      </c>
      <c r="G455" s="58">
        <v>15757</v>
      </c>
      <c r="H455" s="58">
        <v>12742</v>
      </c>
      <c r="I455" s="58">
        <v>64690</v>
      </c>
      <c r="J455" s="58">
        <v>0</v>
      </c>
      <c r="K455" s="1">
        <f t="shared" si="43"/>
        <v>428895.72</v>
      </c>
      <c r="L455" s="1">
        <f t="shared" si="44"/>
        <v>12742</v>
      </c>
      <c r="M455" s="1">
        <f>VLOOKUP(B455,'[1]Срок Годности'!$A$2:$B$4,2,0)</f>
        <v>1500</v>
      </c>
      <c r="N455" s="60">
        <f t="shared" si="45"/>
        <v>15757</v>
      </c>
      <c r="O455" s="1" t="str">
        <f t="shared" si="46"/>
        <v>26 2012</v>
      </c>
      <c r="P455" s="1">
        <f t="shared" si="47"/>
        <v>21</v>
      </c>
      <c r="Q455" s="1">
        <f t="shared" ca="1" si="48"/>
        <v>4047</v>
      </c>
      <c r="S455" s="1">
        <f t="shared" ref="S455:S518" si="49">I455-J455</f>
        <v>64690</v>
      </c>
    </row>
    <row r="456" spans="1:19" x14ac:dyDescent="0.2">
      <c r="A456" s="57" t="s">
        <v>234</v>
      </c>
      <c r="B456" s="57" t="s">
        <v>244</v>
      </c>
      <c r="C456" s="57" t="s">
        <v>245</v>
      </c>
      <c r="D456" s="58">
        <v>33.659999999999997</v>
      </c>
      <c r="E456" s="59">
        <v>41087</v>
      </c>
      <c r="F456" s="58">
        <v>64690</v>
      </c>
      <c r="G456" s="58">
        <v>15216</v>
      </c>
      <c r="H456" s="58">
        <v>12839</v>
      </c>
      <c r="I456" s="58">
        <v>66919</v>
      </c>
      <c r="J456" s="58">
        <v>0</v>
      </c>
      <c r="K456" s="1">
        <f t="shared" ref="K456:K519" si="50">H456*D456</f>
        <v>432160.73999999993</v>
      </c>
      <c r="L456" s="1">
        <f t="shared" ref="L456:L519" si="51">IF(H456&gt;1000,H456,"")</f>
        <v>12839</v>
      </c>
      <c r="M456" s="1">
        <f>VLOOKUP(B456,'[1]Срок Годности'!$A$2:$B$4,2,0)</f>
        <v>1500</v>
      </c>
      <c r="N456" s="60">
        <f t="shared" ref="N456:N519" si="52">IF(WEEKDAY(E456) = 1, 0, G456)</f>
        <v>15216</v>
      </c>
      <c r="O456" s="1" t="str">
        <f t="shared" ref="O456:O519" si="53">WEEKNUM(E456) &amp; " " &amp; YEAR(E456)</f>
        <v>26 2012</v>
      </c>
      <c r="P456" s="1">
        <f t="shared" ref="P456:P519" si="54">LEN(C456)</f>
        <v>21</v>
      </c>
      <c r="Q456" s="1">
        <f t="shared" ref="Q456:Q519" ca="1" si="55">DATEDIF(E456,NOW(),"D")</f>
        <v>4046</v>
      </c>
      <c r="S456" s="1">
        <f t="shared" si="49"/>
        <v>66919</v>
      </c>
    </row>
    <row r="457" spans="1:19" x14ac:dyDescent="0.2">
      <c r="A457" s="57" t="s">
        <v>234</v>
      </c>
      <c r="B457" s="57" t="s">
        <v>244</v>
      </c>
      <c r="C457" s="57" t="s">
        <v>245</v>
      </c>
      <c r="D457" s="58">
        <v>33.659999999999997</v>
      </c>
      <c r="E457" s="59">
        <v>41088</v>
      </c>
      <c r="F457" s="58">
        <v>66919</v>
      </c>
      <c r="G457" s="58">
        <v>18903</v>
      </c>
      <c r="H457" s="58">
        <v>13232</v>
      </c>
      <c r="I457" s="58">
        <v>72525</v>
      </c>
      <c r="J457" s="58">
        <v>0</v>
      </c>
      <c r="K457" s="1">
        <f t="shared" si="50"/>
        <v>445389.11999999994</v>
      </c>
      <c r="L457" s="1">
        <f t="shared" si="51"/>
        <v>13232</v>
      </c>
      <c r="M457" s="1">
        <f>VLOOKUP(B457,'[1]Срок Годности'!$A$2:$B$4,2,0)</f>
        <v>1500</v>
      </c>
      <c r="N457" s="60">
        <f t="shared" si="52"/>
        <v>18903</v>
      </c>
      <c r="O457" s="1" t="str">
        <f t="shared" si="53"/>
        <v>26 2012</v>
      </c>
      <c r="P457" s="1">
        <f t="shared" si="54"/>
        <v>21</v>
      </c>
      <c r="Q457" s="1">
        <f t="shared" ca="1" si="55"/>
        <v>4045</v>
      </c>
      <c r="S457" s="1">
        <f t="shared" si="49"/>
        <v>72525</v>
      </c>
    </row>
    <row r="458" spans="1:19" x14ac:dyDescent="0.2">
      <c r="A458" s="57" t="s">
        <v>234</v>
      </c>
      <c r="B458" s="57" t="s">
        <v>244</v>
      </c>
      <c r="C458" s="57" t="s">
        <v>245</v>
      </c>
      <c r="D458" s="58">
        <v>33.659999999999997</v>
      </c>
      <c r="E458" s="59">
        <v>41089</v>
      </c>
      <c r="F458" s="58">
        <v>72525</v>
      </c>
      <c r="G458" s="58">
        <v>17034</v>
      </c>
      <c r="H458" s="58">
        <v>15400</v>
      </c>
      <c r="I458" s="58">
        <v>74013</v>
      </c>
      <c r="J458" s="58">
        <v>0</v>
      </c>
      <c r="K458" s="1">
        <f t="shared" si="50"/>
        <v>518363.99999999994</v>
      </c>
      <c r="L458" s="1">
        <f t="shared" si="51"/>
        <v>15400</v>
      </c>
      <c r="M458" s="1">
        <f>VLOOKUP(B458,'[1]Срок Годности'!$A$2:$B$4,2,0)</f>
        <v>1500</v>
      </c>
      <c r="N458" s="60">
        <f t="shared" si="52"/>
        <v>17034</v>
      </c>
      <c r="O458" s="1" t="str">
        <f t="shared" si="53"/>
        <v>26 2012</v>
      </c>
      <c r="P458" s="1">
        <f t="shared" si="54"/>
        <v>21</v>
      </c>
      <c r="Q458" s="1">
        <f t="shared" ca="1" si="55"/>
        <v>4044</v>
      </c>
      <c r="S458" s="1">
        <f t="shared" si="49"/>
        <v>74013</v>
      </c>
    </row>
    <row r="459" spans="1:19" x14ac:dyDescent="0.2">
      <c r="A459" s="57" t="s">
        <v>234</v>
      </c>
      <c r="B459" s="57" t="s">
        <v>244</v>
      </c>
      <c r="C459" s="57" t="s">
        <v>245</v>
      </c>
      <c r="D459" s="58">
        <v>33.659999999999997</v>
      </c>
      <c r="E459" s="59">
        <v>41090</v>
      </c>
      <c r="F459" s="58">
        <v>74013</v>
      </c>
      <c r="G459" s="58">
        <v>18734</v>
      </c>
      <c r="H459" s="58">
        <v>14995</v>
      </c>
      <c r="I459" s="58">
        <v>78411</v>
      </c>
      <c r="J459" s="58">
        <v>0</v>
      </c>
      <c r="K459" s="1">
        <f t="shared" si="50"/>
        <v>504731.69999999995</v>
      </c>
      <c r="L459" s="1">
        <f t="shared" si="51"/>
        <v>14995</v>
      </c>
      <c r="M459" s="1">
        <f>VLOOKUP(B459,'[1]Срок Годности'!$A$2:$B$4,2,0)</f>
        <v>1500</v>
      </c>
      <c r="N459" s="60">
        <f t="shared" si="52"/>
        <v>18734</v>
      </c>
      <c r="O459" s="1" t="str">
        <f t="shared" si="53"/>
        <v>26 2012</v>
      </c>
      <c r="P459" s="1">
        <f t="shared" si="54"/>
        <v>21</v>
      </c>
      <c r="Q459" s="1">
        <f t="shared" ca="1" si="55"/>
        <v>4043</v>
      </c>
      <c r="S459" s="1">
        <f t="shared" si="49"/>
        <v>78411</v>
      </c>
    </row>
    <row r="460" spans="1:19" x14ac:dyDescent="0.2">
      <c r="A460" s="57" t="s">
        <v>234</v>
      </c>
      <c r="B460" s="57" t="s">
        <v>244</v>
      </c>
      <c r="C460" s="57" t="s">
        <v>245</v>
      </c>
      <c r="D460" s="58">
        <v>33.659999999999997</v>
      </c>
      <c r="E460" s="59">
        <v>41091</v>
      </c>
      <c r="F460" s="58">
        <v>78411</v>
      </c>
      <c r="G460" s="58">
        <v>17048</v>
      </c>
      <c r="H460" s="58">
        <v>15887</v>
      </c>
      <c r="I460" s="58">
        <v>79452</v>
      </c>
      <c r="J460" s="58">
        <v>0</v>
      </c>
      <c r="K460" s="1">
        <f t="shared" si="50"/>
        <v>534756.41999999993</v>
      </c>
      <c r="L460" s="1">
        <f t="shared" si="51"/>
        <v>15887</v>
      </c>
      <c r="M460" s="1">
        <f>VLOOKUP(B460,'[1]Срок Годности'!$A$2:$B$4,2,0)</f>
        <v>1500</v>
      </c>
      <c r="N460" s="60">
        <f t="shared" si="52"/>
        <v>0</v>
      </c>
      <c r="O460" s="1" t="str">
        <f t="shared" si="53"/>
        <v>27 2012</v>
      </c>
      <c r="P460" s="1">
        <f t="shared" si="54"/>
        <v>21</v>
      </c>
      <c r="Q460" s="1">
        <f t="shared" ca="1" si="55"/>
        <v>4042</v>
      </c>
      <c r="S460" s="1">
        <f t="shared" si="49"/>
        <v>79452</v>
      </c>
    </row>
    <row r="461" spans="1:19" x14ac:dyDescent="0.2">
      <c r="A461" s="57" t="s">
        <v>234</v>
      </c>
      <c r="B461" s="57" t="s">
        <v>244</v>
      </c>
      <c r="C461" s="57" t="s">
        <v>245</v>
      </c>
      <c r="D461" s="58">
        <v>33.659999999999997</v>
      </c>
      <c r="E461" s="59">
        <v>41092</v>
      </c>
      <c r="F461" s="58">
        <v>79452</v>
      </c>
      <c r="G461" s="58">
        <v>17668</v>
      </c>
      <c r="H461" s="58">
        <v>17383</v>
      </c>
      <c r="I461" s="58">
        <v>80033</v>
      </c>
      <c r="J461" s="58">
        <v>0</v>
      </c>
      <c r="K461" s="1">
        <f t="shared" si="50"/>
        <v>585111.77999999991</v>
      </c>
      <c r="L461" s="1">
        <f t="shared" si="51"/>
        <v>17383</v>
      </c>
      <c r="M461" s="1">
        <f>VLOOKUP(B461,'[1]Срок Годности'!$A$2:$B$4,2,0)</f>
        <v>1500</v>
      </c>
      <c r="N461" s="60">
        <f t="shared" si="52"/>
        <v>17668</v>
      </c>
      <c r="O461" s="1" t="str">
        <f t="shared" si="53"/>
        <v>27 2012</v>
      </c>
      <c r="P461" s="1">
        <f t="shared" si="54"/>
        <v>21</v>
      </c>
      <c r="Q461" s="1">
        <f t="shared" ca="1" si="55"/>
        <v>4041</v>
      </c>
      <c r="S461" s="1">
        <f t="shared" si="49"/>
        <v>80033</v>
      </c>
    </row>
    <row r="462" spans="1:19" x14ac:dyDescent="0.2">
      <c r="A462" s="57" t="s">
        <v>234</v>
      </c>
      <c r="B462" s="57" t="s">
        <v>244</v>
      </c>
      <c r="C462" s="57" t="s">
        <v>245</v>
      </c>
      <c r="D462" s="58">
        <v>33.659999999999997</v>
      </c>
      <c r="E462" s="59">
        <v>41093</v>
      </c>
      <c r="F462" s="58">
        <v>80033</v>
      </c>
      <c r="G462" s="58">
        <v>21098</v>
      </c>
      <c r="H462" s="58">
        <v>17298</v>
      </c>
      <c r="I462" s="58">
        <v>83786</v>
      </c>
      <c r="J462" s="58">
        <v>1</v>
      </c>
      <c r="K462" s="1">
        <f t="shared" si="50"/>
        <v>582250.67999999993</v>
      </c>
      <c r="L462" s="1">
        <f t="shared" si="51"/>
        <v>17298</v>
      </c>
      <c r="M462" s="1">
        <f>VLOOKUP(B462,'[1]Срок Годности'!$A$2:$B$4,2,0)</f>
        <v>1500</v>
      </c>
      <c r="N462" s="60">
        <f t="shared" si="52"/>
        <v>21098</v>
      </c>
      <c r="O462" s="1" t="str">
        <f t="shared" si="53"/>
        <v>27 2012</v>
      </c>
      <c r="P462" s="1">
        <f t="shared" si="54"/>
        <v>21</v>
      </c>
      <c r="Q462" s="1">
        <f t="shared" ca="1" si="55"/>
        <v>4040</v>
      </c>
      <c r="S462" s="1">
        <f t="shared" si="49"/>
        <v>83785</v>
      </c>
    </row>
    <row r="463" spans="1:19" x14ac:dyDescent="0.2">
      <c r="A463" s="57" t="s">
        <v>234</v>
      </c>
      <c r="B463" s="57" t="s">
        <v>244</v>
      </c>
      <c r="C463" s="57" t="s">
        <v>245</v>
      </c>
      <c r="D463" s="58">
        <v>33.659999999999997</v>
      </c>
      <c r="E463" s="59">
        <v>41094</v>
      </c>
      <c r="F463" s="58">
        <v>83786</v>
      </c>
      <c r="G463" s="58">
        <v>19748</v>
      </c>
      <c r="H463" s="58">
        <v>18545</v>
      </c>
      <c r="I463" s="58">
        <v>84899</v>
      </c>
      <c r="J463" s="58">
        <v>0</v>
      </c>
      <c r="K463" s="1">
        <f t="shared" si="50"/>
        <v>624224.69999999995</v>
      </c>
      <c r="L463" s="1">
        <f t="shared" si="51"/>
        <v>18545</v>
      </c>
      <c r="M463" s="1">
        <f>VLOOKUP(B463,'[1]Срок Годности'!$A$2:$B$4,2,0)</f>
        <v>1500</v>
      </c>
      <c r="N463" s="60">
        <f t="shared" si="52"/>
        <v>19748</v>
      </c>
      <c r="O463" s="1" t="str">
        <f t="shared" si="53"/>
        <v>27 2012</v>
      </c>
      <c r="P463" s="1">
        <f t="shared" si="54"/>
        <v>21</v>
      </c>
      <c r="Q463" s="1">
        <f t="shared" ca="1" si="55"/>
        <v>4039</v>
      </c>
      <c r="S463" s="1">
        <f t="shared" si="49"/>
        <v>84899</v>
      </c>
    </row>
    <row r="464" spans="1:19" x14ac:dyDescent="0.2">
      <c r="A464" s="57" t="s">
        <v>234</v>
      </c>
      <c r="B464" s="57" t="s">
        <v>244</v>
      </c>
      <c r="C464" s="57" t="s">
        <v>245</v>
      </c>
      <c r="D464" s="58">
        <v>33.659999999999997</v>
      </c>
      <c r="E464" s="59">
        <v>41095</v>
      </c>
      <c r="F464" s="58">
        <v>84899</v>
      </c>
      <c r="G464" s="58">
        <v>24344</v>
      </c>
      <c r="H464" s="58">
        <v>19911</v>
      </c>
      <c r="I464" s="58">
        <v>89201</v>
      </c>
      <c r="J464" s="58">
        <v>1</v>
      </c>
      <c r="K464" s="1">
        <f t="shared" si="50"/>
        <v>670204.25999999989</v>
      </c>
      <c r="L464" s="1">
        <f t="shared" si="51"/>
        <v>19911</v>
      </c>
      <c r="M464" s="1">
        <f>VLOOKUP(B464,'[1]Срок Годности'!$A$2:$B$4,2,0)</f>
        <v>1500</v>
      </c>
      <c r="N464" s="60">
        <f t="shared" si="52"/>
        <v>24344</v>
      </c>
      <c r="O464" s="1" t="str">
        <f t="shared" si="53"/>
        <v>27 2012</v>
      </c>
      <c r="P464" s="1">
        <f t="shared" si="54"/>
        <v>21</v>
      </c>
      <c r="Q464" s="1">
        <f t="shared" ca="1" si="55"/>
        <v>4038</v>
      </c>
      <c r="S464" s="1">
        <f t="shared" si="49"/>
        <v>89200</v>
      </c>
    </row>
    <row r="465" spans="1:19" x14ac:dyDescent="0.2">
      <c r="A465" s="57" t="s">
        <v>234</v>
      </c>
      <c r="B465" s="57" t="s">
        <v>244</v>
      </c>
      <c r="C465" s="57" t="s">
        <v>245</v>
      </c>
      <c r="D465" s="58">
        <v>33.659999999999997</v>
      </c>
      <c r="E465" s="59">
        <v>41096</v>
      </c>
      <c r="F465" s="58">
        <v>89201</v>
      </c>
      <c r="G465" s="58">
        <v>24206</v>
      </c>
      <c r="H465" s="58">
        <v>17900</v>
      </c>
      <c r="I465" s="58">
        <v>95409</v>
      </c>
      <c r="J465" s="58">
        <v>0</v>
      </c>
      <c r="K465" s="1">
        <f t="shared" si="50"/>
        <v>602513.99999999988</v>
      </c>
      <c r="L465" s="1">
        <f t="shared" si="51"/>
        <v>17900</v>
      </c>
      <c r="M465" s="1">
        <f>VLOOKUP(B465,'[1]Срок Годности'!$A$2:$B$4,2,0)</f>
        <v>1500</v>
      </c>
      <c r="N465" s="60">
        <f t="shared" si="52"/>
        <v>24206</v>
      </c>
      <c r="O465" s="1" t="str">
        <f t="shared" si="53"/>
        <v>27 2012</v>
      </c>
      <c r="P465" s="1">
        <f t="shared" si="54"/>
        <v>21</v>
      </c>
      <c r="Q465" s="1">
        <f t="shared" ca="1" si="55"/>
        <v>4037</v>
      </c>
      <c r="S465" s="1">
        <f t="shared" si="49"/>
        <v>95409</v>
      </c>
    </row>
    <row r="466" spans="1:19" x14ac:dyDescent="0.2">
      <c r="A466" s="57" t="s">
        <v>234</v>
      </c>
      <c r="B466" s="57" t="s">
        <v>244</v>
      </c>
      <c r="C466" s="57" t="s">
        <v>245</v>
      </c>
      <c r="D466" s="58">
        <v>33.659999999999997</v>
      </c>
      <c r="E466" s="59">
        <v>41097</v>
      </c>
      <c r="F466" s="58">
        <v>95409</v>
      </c>
      <c r="G466" s="58">
        <v>30527</v>
      </c>
      <c r="H466" s="58">
        <v>15776</v>
      </c>
      <c r="I466" s="58">
        <v>110038</v>
      </c>
      <c r="J466" s="58">
        <v>0</v>
      </c>
      <c r="K466" s="1">
        <f t="shared" si="50"/>
        <v>531020.15999999992</v>
      </c>
      <c r="L466" s="1">
        <f t="shared" si="51"/>
        <v>15776</v>
      </c>
      <c r="M466" s="1">
        <f>VLOOKUP(B466,'[1]Срок Годности'!$A$2:$B$4,2,0)</f>
        <v>1500</v>
      </c>
      <c r="N466" s="60">
        <f t="shared" si="52"/>
        <v>30527</v>
      </c>
      <c r="O466" s="1" t="str">
        <f t="shared" si="53"/>
        <v>27 2012</v>
      </c>
      <c r="P466" s="1">
        <f t="shared" si="54"/>
        <v>21</v>
      </c>
      <c r="Q466" s="1">
        <f t="shared" ca="1" si="55"/>
        <v>4036</v>
      </c>
      <c r="S466" s="1">
        <f t="shared" si="49"/>
        <v>110038</v>
      </c>
    </row>
    <row r="467" spans="1:19" x14ac:dyDescent="0.2">
      <c r="A467" s="57" t="s">
        <v>234</v>
      </c>
      <c r="B467" s="57" t="s">
        <v>244</v>
      </c>
      <c r="C467" s="57" t="s">
        <v>245</v>
      </c>
      <c r="D467" s="58">
        <v>33.659999999999997</v>
      </c>
      <c r="E467" s="59">
        <v>41098</v>
      </c>
      <c r="F467" s="58">
        <v>110038</v>
      </c>
      <c r="G467" s="58">
        <v>10490</v>
      </c>
      <c r="H467" s="58">
        <v>16332</v>
      </c>
      <c r="I467" s="58">
        <v>104177</v>
      </c>
      <c r="J467" s="58">
        <v>0</v>
      </c>
      <c r="K467" s="1">
        <f t="shared" si="50"/>
        <v>549735.12</v>
      </c>
      <c r="L467" s="1">
        <f t="shared" si="51"/>
        <v>16332</v>
      </c>
      <c r="M467" s="1">
        <f>VLOOKUP(B467,'[1]Срок Годности'!$A$2:$B$4,2,0)</f>
        <v>1500</v>
      </c>
      <c r="N467" s="60">
        <f t="shared" si="52"/>
        <v>0</v>
      </c>
      <c r="O467" s="1" t="str">
        <f t="shared" si="53"/>
        <v>28 2012</v>
      </c>
      <c r="P467" s="1">
        <f t="shared" si="54"/>
        <v>21</v>
      </c>
      <c r="Q467" s="1">
        <f t="shared" ca="1" si="55"/>
        <v>4035</v>
      </c>
      <c r="S467" s="1">
        <f t="shared" si="49"/>
        <v>104177</v>
      </c>
    </row>
    <row r="468" spans="1:19" x14ac:dyDescent="0.2">
      <c r="A468" s="57" t="s">
        <v>234</v>
      </c>
      <c r="B468" s="57" t="s">
        <v>244</v>
      </c>
      <c r="C468" s="57" t="s">
        <v>245</v>
      </c>
      <c r="D468" s="58">
        <v>33.659999999999997</v>
      </c>
      <c r="E468" s="59">
        <v>41099</v>
      </c>
      <c r="F468" s="58">
        <v>104177</v>
      </c>
      <c r="G468" s="58">
        <v>21687</v>
      </c>
      <c r="H468" s="58">
        <v>18731</v>
      </c>
      <c r="I468" s="58">
        <v>107043</v>
      </c>
      <c r="J468" s="58">
        <v>0</v>
      </c>
      <c r="K468" s="1">
        <f t="shared" si="50"/>
        <v>630485.46</v>
      </c>
      <c r="L468" s="1">
        <f t="shared" si="51"/>
        <v>18731</v>
      </c>
      <c r="M468" s="1">
        <f>VLOOKUP(B468,'[1]Срок Годности'!$A$2:$B$4,2,0)</f>
        <v>1500</v>
      </c>
      <c r="N468" s="60">
        <f t="shared" si="52"/>
        <v>21687</v>
      </c>
      <c r="O468" s="1" t="str">
        <f t="shared" si="53"/>
        <v>28 2012</v>
      </c>
      <c r="P468" s="1">
        <f t="shared" si="54"/>
        <v>21</v>
      </c>
      <c r="Q468" s="1">
        <f t="shared" ca="1" si="55"/>
        <v>4034</v>
      </c>
      <c r="S468" s="1">
        <f t="shared" si="49"/>
        <v>107043</v>
      </c>
    </row>
    <row r="469" spans="1:19" x14ac:dyDescent="0.2">
      <c r="A469" s="57" t="s">
        <v>234</v>
      </c>
      <c r="B469" s="57" t="s">
        <v>244</v>
      </c>
      <c r="C469" s="57" t="s">
        <v>245</v>
      </c>
      <c r="D469" s="58">
        <v>33.659999999999997</v>
      </c>
      <c r="E469" s="59">
        <v>41100</v>
      </c>
      <c r="F469" s="58">
        <v>107043</v>
      </c>
      <c r="G469" s="58">
        <v>22756</v>
      </c>
      <c r="H469" s="58">
        <v>18715</v>
      </c>
      <c r="I469" s="58">
        <v>110943</v>
      </c>
      <c r="J469" s="58">
        <v>0</v>
      </c>
      <c r="K469" s="1">
        <f t="shared" si="50"/>
        <v>629946.89999999991</v>
      </c>
      <c r="L469" s="1">
        <f t="shared" si="51"/>
        <v>18715</v>
      </c>
      <c r="M469" s="1">
        <f>VLOOKUP(B469,'[1]Срок Годности'!$A$2:$B$4,2,0)</f>
        <v>1500</v>
      </c>
      <c r="N469" s="60">
        <f t="shared" si="52"/>
        <v>22756</v>
      </c>
      <c r="O469" s="1" t="str">
        <f t="shared" si="53"/>
        <v>28 2012</v>
      </c>
      <c r="P469" s="1">
        <f t="shared" si="54"/>
        <v>21</v>
      </c>
      <c r="Q469" s="1">
        <f t="shared" ca="1" si="55"/>
        <v>4033</v>
      </c>
      <c r="S469" s="1">
        <f t="shared" si="49"/>
        <v>110943</v>
      </c>
    </row>
    <row r="470" spans="1:19" x14ac:dyDescent="0.2">
      <c r="A470" s="57" t="s">
        <v>234</v>
      </c>
      <c r="B470" s="57" t="s">
        <v>244</v>
      </c>
      <c r="C470" s="57" t="s">
        <v>245</v>
      </c>
      <c r="D470" s="58">
        <v>33.659999999999997</v>
      </c>
      <c r="E470" s="59">
        <v>41101</v>
      </c>
      <c r="F470" s="58">
        <v>110943</v>
      </c>
      <c r="G470" s="58">
        <v>21438</v>
      </c>
      <c r="H470" s="58">
        <v>20028</v>
      </c>
      <c r="I470" s="58">
        <v>112205</v>
      </c>
      <c r="J470" s="58">
        <v>1</v>
      </c>
      <c r="K470" s="1">
        <f t="shared" si="50"/>
        <v>674142.48</v>
      </c>
      <c r="L470" s="1">
        <f t="shared" si="51"/>
        <v>20028</v>
      </c>
      <c r="M470" s="1">
        <f>VLOOKUP(B470,'[1]Срок Годности'!$A$2:$B$4,2,0)</f>
        <v>1500</v>
      </c>
      <c r="N470" s="60">
        <f t="shared" si="52"/>
        <v>21438</v>
      </c>
      <c r="O470" s="1" t="str">
        <f t="shared" si="53"/>
        <v>28 2012</v>
      </c>
      <c r="P470" s="1">
        <f t="shared" si="54"/>
        <v>21</v>
      </c>
      <c r="Q470" s="1">
        <f t="shared" ca="1" si="55"/>
        <v>4032</v>
      </c>
      <c r="S470" s="1">
        <f t="shared" si="49"/>
        <v>112204</v>
      </c>
    </row>
    <row r="471" spans="1:19" x14ac:dyDescent="0.2">
      <c r="A471" s="57" t="s">
        <v>234</v>
      </c>
      <c r="B471" s="57" t="s">
        <v>244</v>
      </c>
      <c r="C471" s="57" t="s">
        <v>245</v>
      </c>
      <c r="D471" s="58">
        <v>33.659999999999997</v>
      </c>
      <c r="E471" s="59">
        <v>41102</v>
      </c>
      <c r="F471" s="58">
        <v>112205</v>
      </c>
      <c r="G471" s="58">
        <v>21378</v>
      </c>
      <c r="H471" s="58">
        <v>20350</v>
      </c>
      <c r="I471" s="58">
        <v>112663</v>
      </c>
      <c r="J471" s="58">
        <v>0</v>
      </c>
      <c r="K471" s="1">
        <f t="shared" si="50"/>
        <v>684980.99999999988</v>
      </c>
      <c r="L471" s="1">
        <f t="shared" si="51"/>
        <v>20350</v>
      </c>
      <c r="M471" s="1">
        <f>VLOOKUP(B471,'[1]Срок Годности'!$A$2:$B$4,2,0)</f>
        <v>1500</v>
      </c>
      <c r="N471" s="60">
        <f t="shared" si="52"/>
        <v>21378</v>
      </c>
      <c r="O471" s="1" t="str">
        <f t="shared" si="53"/>
        <v>28 2012</v>
      </c>
      <c r="P471" s="1">
        <f t="shared" si="54"/>
        <v>21</v>
      </c>
      <c r="Q471" s="1">
        <f t="shared" ca="1" si="55"/>
        <v>4031</v>
      </c>
      <c r="S471" s="1">
        <f t="shared" si="49"/>
        <v>112663</v>
      </c>
    </row>
    <row r="472" spans="1:19" x14ac:dyDescent="0.2">
      <c r="A472" s="57" t="s">
        <v>234</v>
      </c>
      <c r="B472" s="57" t="s">
        <v>244</v>
      </c>
      <c r="C472" s="57" t="s">
        <v>245</v>
      </c>
      <c r="D472" s="58">
        <v>33.659999999999997</v>
      </c>
      <c r="E472" s="59">
        <v>41103</v>
      </c>
      <c r="F472" s="58">
        <v>112663</v>
      </c>
      <c r="G472" s="58">
        <v>23226</v>
      </c>
      <c r="H472" s="58">
        <v>20891</v>
      </c>
      <c r="I472" s="58">
        <v>114963</v>
      </c>
      <c r="J472" s="58">
        <v>0</v>
      </c>
      <c r="K472" s="1">
        <f t="shared" si="50"/>
        <v>703191.05999999994</v>
      </c>
      <c r="L472" s="1">
        <f t="shared" si="51"/>
        <v>20891</v>
      </c>
      <c r="M472" s="1">
        <f>VLOOKUP(B472,'[1]Срок Годности'!$A$2:$B$4,2,0)</f>
        <v>1500</v>
      </c>
      <c r="N472" s="60">
        <f t="shared" si="52"/>
        <v>23226</v>
      </c>
      <c r="O472" s="1" t="str">
        <f t="shared" si="53"/>
        <v>28 2012</v>
      </c>
      <c r="P472" s="1">
        <f t="shared" si="54"/>
        <v>21</v>
      </c>
      <c r="Q472" s="1">
        <f t="shared" ca="1" si="55"/>
        <v>4030</v>
      </c>
      <c r="S472" s="1">
        <f t="shared" si="49"/>
        <v>114963</v>
      </c>
    </row>
    <row r="473" spans="1:19" x14ac:dyDescent="0.2">
      <c r="A473" s="57" t="s">
        <v>234</v>
      </c>
      <c r="B473" s="57" t="s">
        <v>244</v>
      </c>
      <c r="C473" s="57" t="s">
        <v>245</v>
      </c>
      <c r="D473" s="58">
        <v>33.659999999999997</v>
      </c>
      <c r="E473" s="59">
        <v>41104</v>
      </c>
      <c r="F473" s="58">
        <v>114963</v>
      </c>
      <c r="G473" s="58">
        <v>19366</v>
      </c>
      <c r="H473" s="58">
        <v>16839</v>
      </c>
      <c r="I473" s="58">
        <v>117409</v>
      </c>
      <c r="J473" s="58">
        <v>0</v>
      </c>
      <c r="K473" s="1">
        <f t="shared" si="50"/>
        <v>566800.74</v>
      </c>
      <c r="L473" s="1">
        <f t="shared" si="51"/>
        <v>16839</v>
      </c>
      <c r="M473" s="1">
        <f>VLOOKUP(B473,'[1]Срок Годности'!$A$2:$B$4,2,0)</f>
        <v>1500</v>
      </c>
      <c r="N473" s="60">
        <f t="shared" si="52"/>
        <v>19366</v>
      </c>
      <c r="O473" s="1" t="str">
        <f t="shared" si="53"/>
        <v>28 2012</v>
      </c>
      <c r="P473" s="1">
        <f t="shared" si="54"/>
        <v>21</v>
      </c>
      <c r="Q473" s="1">
        <f t="shared" ca="1" si="55"/>
        <v>4029</v>
      </c>
      <c r="S473" s="1">
        <f t="shared" si="49"/>
        <v>117409</v>
      </c>
    </row>
    <row r="474" spans="1:19" x14ac:dyDescent="0.2">
      <c r="A474" s="57" t="s">
        <v>234</v>
      </c>
      <c r="B474" s="57" t="s">
        <v>244</v>
      </c>
      <c r="C474" s="57" t="s">
        <v>245</v>
      </c>
      <c r="D474" s="58">
        <v>33.659999999999997</v>
      </c>
      <c r="E474" s="59">
        <v>41105</v>
      </c>
      <c r="F474" s="58">
        <v>117409</v>
      </c>
      <c r="G474" s="58">
        <v>7826</v>
      </c>
      <c r="H474" s="58">
        <v>11677</v>
      </c>
      <c r="I474" s="58">
        <v>113498</v>
      </c>
      <c r="J474" s="58">
        <v>0</v>
      </c>
      <c r="K474" s="1">
        <f t="shared" si="50"/>
        <v>393047.81999999995</v>
      </c>
      <c r="L474" s="1">
        <f t="shared" si="51"/>
        <v>11677</v>
      </c>
      <c r="M474" s="1">
        <f>VLOOKUP(B474,'[1]Срок Годности'!$A$2:$B$4,2,0)</f>
        <v>1500</v>
      </c>
      <c r="N474" s="60">
        <f t="shared" si="52"/>
        <v>0</v>
      </c>
      <c r="O474" s="1" t="str">
        <f t="shared" si="53"/>
        <v>29 2012</v>
      </c>
      <c r="P474" s="1">
        <f t="shared" si="54"/>
        <v>21</v>
      </c>
      <c r="Q474" s="1">
        <f t="shared" ca="1" si="55"/>
        <v>4028</v>
      </c>
      <c r="S474" s="1">
        <f t="shared" si="49"/>
        <v>113498</v>
      </c>
    </row>
    <row r="475" spans="1:19" x14ac:dyDescent="0.2">
      <c r="A475" s="57" t="s">
        <v>234</v>
      </c>
      <c r="B475" s="57" t="s">
        <v>244</v>
      </c>
      <c r="C475" s="57" t="s">
        <v>245</v>
      </c>
      <c r="D475" s="58">
        <v>33.659999999999997</v>
      </c>
      <c r="E475" s="59">
        <v>41106</v>
      </c>
      <c r="F475" s="58">
        <v>113498</v>
      </c>
      <c r="G475" s="58">
        <v>24098</v>
      </c>
      <c r="H475" s="58">
        <v>11967</v>
      </c>
      <c r="I475" s="58">
        <v>125597</v>
      </c>
      <c r="J475" s="58">
        <v>0</v>
      </c>
      <c r="K475" s="1">
        <f t="shared" si="50"/>
        <v>402809.22</v>
      </c>
      <c r="L475" s="1">
        <f t="shared" si="51"/>
        <v>11967</v>
      </c>
      <c r="M475" s="1">
        <f>VLOOKUP(B475,'[1]Срок Годности'!$A$2:$B$4,2,0)</f>
        <v>1500</v>
      </c>
      <c r="N475" s="60">
        <f t="shared" si="52"/>
        <v>24098</v>
      </c>
      <c r="O475" s="1" t="str">
        <f t="shared" si="53"/>
        <v>29 2012</v>
      </c>
      <c r="P475" s="1">
        <f t="shared" si="54"/>
        <v>21</v>
      </c>
      <c r="Q475" s="1">
        <f t="shared" ca="1" si="55"/>
        <v>4027</v>
      </c>
      <c r="S475" s="1">
        <f t="shared" si="49"/>
        <v>125597</v>
      </c>
    </row>
    <row r="476" spans="1:19" x14ac:dyDescent="0.2">
      <c r="A476" s="57" t="s">
        <v>234</v>
      </c>
      <c r="B476" s="57" t="s">
        <v>244</v>
      </c>
      <c r="C476" s="57" t="s">
        <v>245</v>
      </c>
      <c r="D476" s="58">
        <v>33.659999999999997</v>
      </c>
      <c r="E476" s="59">
        <v>41107</v>
      </c>
      <c r="F476" s="58">
        <v>125597</v>
      </c>
      <c r="G476" s="58">
        <v>41</v>
      </c>
      <c r="H476" s="58">
        <v>11670</v>
      </c>
      <c r="I476" s="58">
        <v>113903</v>
      </c>
      <c r="J476" s="58">
        <v>0</v>
      </c>
      <c r="K476" s="1">
        <f t="shared" si="50"/>
        <v>392812.19999999995</v>
      </c>
      <c r="L476" s="1">
        <f t="shared" si="51"/>
        <v>11670</v>
      </c>
      <c r="M476" s="1">
        <f>VLOOKUP(B476,'[1]Срок Годности'!$A$2:$B$4,2,0)</f>
        <v>1500</v>
      </c>
      <c r="N476" s="60">
        <f t="shared" si="52"/>
        <v>41</v>
      </c>
      <c r="O476" s="1" t="str">
        <f t="shared" si="53"/>
        <v>29 2012</v>
      </c>
      <c r="P476" s="1">
        <f t="shared" si="54"/>
        <v>21</v>
      </c>
      <c r="Q476" s="1">
        <f t="shared" ca="1" si="55"/>
        <v>4026</v>
      </c>
      <c r="S476" s="1">
        <f t="shared" si="49"/>
        <v>113903</v>
      </c>
    </row>
    <row r="477" spans="1:19" x14ac:dyDescent="0.2">
      <c r="A477" s="57" t="s">
        <v>234</v>
      </c>
      <c r="B477" s="57" t="s">
        <v>237</v>
      </c>
      <c r="C477" s="57" t="s">
        <v>238</v>
      </c>
      <c r="D477" s="58">
        <v>165.05</v>
      </c>
      <c r="E477" s="59">
        <v>41061</v>
      </c>
      <c r="F477" s="58">
        <v>10508</v>
      </c>
      <c r="G477" s="58">
        <v>1494</v>
      </c>
      <c r="H477" s="58">
        <v>1883</v>
      </c>
      <c r="I477" s="58">
        <v>10061</v>
      </c>
      <c r="J477" s="58">
        <v>0</v>
      </c>
      <c r="K477" s="1">
        <f t="shared" si="50"/>
        <v>310789.15000000002</v>
      </c>
      <c r="L477" s="1">
        <f t="shared" si="51"/>
        <v>1883</v>
      </c>
      <c r="M477" s="1">
        <f>VLOOKUP(B477,'[1]Срок Годности'!$A$2:$B$4,2,0)</f>
        <v>1000</v>
      </c>
      <c r="N477" s="60">
        <f t="shared" si="52"/>
        <v>1494</v>
      </c>
      <c r="O477" s="1" t="str">
        <f t="shared" si="53"/>
        <v>22 2012</v>
      </c>
      <c r="P477" s="1">
        <f t="shared" si="54"/>
        <v>22</v>
      </c>
      <c r="Q477" s="1">
        <f t="shared" ca="1" si="55"/>
        <v>4072</v>
      </c>
      <c r="S477" s="1">
        <f t="shared" si="49"/>
        <v>10061</v>
      </c>
    </row>
    <row r="478" spans="1:19" x14ac:dyDescent="0.2">
      <c r="A478" s="57" t="s">
        <v>234</v>
      </c>
      <c r="B478" s="57" t="s">
        <v>237</v>
      </c>
      <c r="C478" s="57" t="s">
        <v>238</v>
      </c>
      <c r="D478" s="58">
        <v>165.05</v>
      </c>
      <c r="E478" s="59">
        <v>41062</v>
      </c>
      <c r="F478" s="58">
        <v>10061</v>
      </c>
      <c r="G478" s="58">
        <v>1595</v>
      </c>
      <c r="H478" s="58">
        <v>2038</v>
      </c>
      <c r="I478" s="58">
        <v>9581</v>
      </c>
      <c r="J478" s="58">
        <v>0</v>
      </c>
      <c r="K478" s="1">
        <f t="shared" si="50"/>
        <v>336371.9</v>
      </c>
      <c r="L478" s="1">
        <f t="shared" si="51"/>
        <v>2038</v>
      </c>
      <c r="M478" s="1">
        <f>VLOOKUP(B478,'[1]Срок Годности'!$A$2:$B$4,2,0)</f>
        <v>1000</v>
      </c>
      <c r="N478" s="60">
        <f t="shared" si="52"/>
        <v>1595</v>
      </c>
      <c r="O478" s="1" t="str">
        <f t="shared" si="53"/>
        <v>22 2012</v>
      </c>
      <c r="P478" s="1">
        <f t="shared" si="54"/>
        <v>22</v>
      </c>
      <c r="Q478" s="1">
        <f t="shared" ca="1" si="55"/>
        <v>4071</v>
      </c>
      <c r="S478" s="1">
        <f t="shared" si="49"/>
        <v>9581</v>
      </c>
    </row>
    <row r="479" spans="1:19" x14ac:dyDescent="0.2">
      <c r="A479" s="57" t="s">
        <v>234</v>
      </c>
      <c r="B479" s="57" t="s">
        <v>237</v>
      </c>
      <c r="C479" s="57" t="s">
        <v>238</v>
      </c>
      <c r="D479" s="58">
        <v>165.05</v>
      </c>
      <c r="E479" s="59">
        <v>41063</v>
      </c>
      <c r="F479" s="58">
        <v>9581</v>
      </c>
      <c r="G479" s="58">
        <v>2104</v>
      </c>
      <c r="H479" s="58">
        <v>1710</v>
      </c>
      <c r="I479" s="58">
        <v>9952</v>
      </c>
      <c r="J479" s="58">
        <v>0</v>
      </c>
      <c r="K479" s="1">
        <f t="shared" si="50"/>
        <v>282235.5</v>
      </c>
      <c r="L479" s="1">
        <f t="shared" si="51"/>
        <v>1710</v>
      </c>
      <c r="M479" s="1">
        <f>VLOOKUP(B479,'[1]Срок Годности'!$A$2:$B$4,2,0)</f>
        <v>1000</v>
      </c>
      <c r="N479" s="60">
        <f t="shared" si="52"/>
        <v>0</v>
      </c>
      <c r="O479" s="1" t="str">
        <f t="shared" si="53"/>
        <v>23 2012</v>
      </c>
      <c r="P479" s="1">
        <f t="shared" si="54"/>
        <v>22</v>
      </c>
      <c r="Q479" s="1">
        <f t="shared" ca="1" si="55"/>
        <v>4070</v>
      </c>
      <c r="S479" s="1">
        <f t="shared" si="49"/>
        <v>9952</v>
      </c>
    </row>
    <row r="480" spans="1:19" x14ac:dyDescent="0.2">
      <c r="A480" s="57" t="s">
        <v>234</v>
      </c>
      <c r="B480" s="57" t="s">
        <v>237</v>
      </c>
      <c r="C480" s="57" t="s">
        <v>238</v>
      </c>
      <c r="D480" s="58">
        <v>165.05</v>
      </c>
      <c r="E480" s="59">
        <v>41064</v>
      </c>
      <c r="F480" s="58">
        <v>9952</v>
      </c>
      <c r="G480" s="58">
        <v>2279</v>
      </c>
      <c r="H480" s="58">
        <v>1706</v>
      </c>
      <c r="I480" s="58">
        <v>10512</v>
      </c>
      <c r="J480" s="58">
        <v>1</v>
      </c>
      <c r="K480" s="1">
        <f t="shared" si="50"/>
        <v>281575.30000000005</v>
      </c>
      <c r="L480" s="1">
        <f t="shared" si="51"/>
        <v>1706</v>
      </c>
      <c r="M480" s="1">
        <f>VLOOKUP(B480,'[1]Срок Годности'!$A$2:$B$4,2,0)</f>
        <v>1000</v>
      </c>
      <c r="N480" s="60">
        <f t="shared" si="52"/>
        <v>2279</v>
      </c>
      <c r="O480" s="1" t="str">
        <f t="shared" si="53"/>
        <v>23 2012</v>
      </c>
      <c r="P480" s="1">
        <f t="shared" si="54"/>
        <v>22</v>
      </c>
      <c r="Q480" s="1">
        <f t="shared" ca="1" si="55"/>
        <v>4069</v>
      </c>
      <c r="S480" s="1">
        <f t="shared" si="49"/>
        <v>10511</v>
      </c>
    </row>
    <row r="481" spans="1:19" x14ac:dyDescent="0.2">
      <c r="A481" s="57" t="s">
        <v>234</v>
      </c>
      <c r="B481" s="57" t="s">
        <v>237</v>
      </c>
      <c r="C481" s="57" t="s">
        <v>238</v>
      </c>
      <c r="D481" s="58">
        <v>165.05</v>
      </c>
      <c r="E481" s="59">
        <v>41065</v>
      </c>
      <c r="F481" s="58">
        <v>10512</v>
      </c>
      <c r="G481" s="58">
        <v>1563</v>
      </c>
      <c r="H481" s="58">
        <v>1631</v>
      </c>
      <c r="I481" s="58">
        <v>10413</v>
      </c>
      <c r="J481" s="58">
        <v>0</v>
      </c>
      <c r="K481" s="1">
        <f t="shared" si="50"/>
        <v>269196.55000000005</v>
      </c>
      <c r="L481" s="1">
        <f t="shared" si="51"/>
        <v>1631</v>
      </c>
      <c r="M481" s="1">
        <f>VLOOKUP(B481,'[1]Срок Годности'!$A$2:$B$4,2,0)</f>
        <v>1000</v>
      </c>
      <c r="N481" s="60">
        <f t="shared" si="52"/>
        <v>1563</v>
      </c>
      <c r="O481" s="1" t="str">
        <f t="shared" si="53"/>
        <v>23 2012</v>
      </c>
      <c r="P481" s="1">
        <f t="shared" si="54"/>
        <v>22</v>
      </c>
      <c r="Q481" s="1">
        <f t="shared" ca="1" si="55"/>
        <v>4068</v>
      </c>
      <c r="S481" s="1">
        <f t="shared" si="49"/>
        <v>10413</v>
      </c>
    </row>
    <row r="482" spans="1:19" x14ac:dyDescent="0.2">
      <c r="A482" s="57" t="s">
        <v>234</v>
      </c>
      <c r="B482" s="57" t="s">
        <v>237</v>
      </c>
      <c r="C482" s="57" t="s">
        <v>238</v>
      </c>
      <c r="D482" s="58">
        <v>165.05</v>
      </c>
      <c r="E482" s="59">
        <v>41066</v>
      </c>
      <c r="F482" s="58">
        <v>10413</v>
      </c>
      <c r="G482" s="58">
        <v>1806</v>
      </c>
      <c r="H482" s="58">
        <v>1625</v>
      </c>
      <c r="I482" s="58">
        <v>10525</v>
      </c>
      <c r="J482" s="58">
        <v>0</v>
      </c>
      <c r="K482" s="1">
        <f t="shared" si="50"/>
        <v>268206.25</v>
      </c>
      <c r="L482" s="1">
        <f t="shared" si="51"/>
        <v>1625</v>
      </c>
      <c r="M482" s="1">
        <f>VLOOKUP(B482,'[1]Срок Годности'!$A$2:$B$4,2,0)</f>
        <v>1000</v>
      </c>
      <c r="N482" s="60">
        <f t="shared" si="52"/>
        <v>1806</v>
      </c>
      <c r="O482" s="1" t="str">
        <f t="shared" si="53"/>
        <v>23 2012</v>
      </c>
      <c r="P482" s="1">
        <f t="shared" si="54"/>
        <v>22</v>
      </c>
      <c r="Q482" s="1">
        <f t="shared" ca="1" si="55"/>
        <v>4067</v>
      </c>
      <c r="S482" s="1">
        <f t="shared" si="49"/>
        <v>10525</v>
      </c>
    </row>
    <row r="483" spans="1:19" x14ac:dyDescent="0.2">
      <c r="A483" s="57" t="s">
        <v>234</v>
      </c>
      <c r="B483" s="57" t="s">
        <v>237</v>
      </c>
      <c r="C483" s="57" t="s">
        <v>238</v>
      </c>
      <c r="D483" s="58">
        <v>165.05</v>
      </c>
      <c r="E483" s="59">
        <v>41067</v>
      </c>
      <c r="F483" s="58">
        <v>10525</v>
      </c>
      <c r="G483" s="58">
        <v>1822</v>
      </c>
      <c r="H483" s="58">
        <v>1673</v>
      </c>
      <c r="I483" s="58">
        <v>10676</v>
      </c>
      <c r="J483" s="58">
        <v>0</v>
      </c>
      <c r="K483" s="1">
        <f t="shared" si="50"/>
        <v>276128.65000000002</v>
      </c>
      <c r="L483" s="1">
        <f t="shared" si="51"/>
        <v>1673</v>
      </c>
      <c r="M483" s="1">
        <f>VLOOKUP(B483,'[1]Срок Годности'!$A$2:$B$4,2,0)</f>
        <v>1000</v>
      </c>
      <c r="N483" s="60">
        <f t="shared" si="52"/>
        <v>1822</v>
      </c>
      <c r="O483" s="1" t="str">
        <f t="shared" si="53"/>
        <v>23 2012</v>
      </c>
      <c r="P483" s="1">
        <f t="shared" si="54"/>
        <v>22</v>
      </c>
      <c r="Q483" s="1">
        <f t="shared" ca="1" si="55"/>
        <v>4066</v>
      </c>
      <c r="S483" s="1">
        <f t="shared" si="49"/>
        <v>10676</v>
      </c>
    </row>
    <row r="484" spans="1:19" x14ac:dyDescent="0.2">
      <c r="A484" s="57" t="s">
        <v>234</v>
      </c>
      <c r="B484" s="57" t="s">
        <v>237</v>
      </c>
      <c r="C484" s="57" t="s">
        <v>238</v>
      </c>
      <c r="D484" s="58">
        <v>165.05</v>
      </c>
      <c r="E484" s="59">
        <v>41068</v>
      </c>
      <c r="F484" s="58">
        <v>10676</v>
      </c>
      <c r="G484" s="58">
        <v>1380</v>
      </c>
      <c r="H484" s="58">
        <v>1930</v>
      </c>
      <c r="I484" s="58">
        <v>10083</v>
      </c>
      <c r="J484" s="58">
        <v>0</v>
      </c>
      <c r="K484" s="1">
        <f t="shared" si="50"/>
        <v>318546.5</v>
      </c>
      <c r="L484" s="1">
        <f t="shared" si="51"/>
        <v>1930</v>
      </c>
      <c r="M484" s="1">
        <f>VLOOKUP(B484,'[1]Срок Годности'!$A$2:$B$4,2,0)</f>
        <v>1000</v>
      </c>
      <c r="N484" s="60">
        <f t="shared" si="52"/>
        <v>1380</v>
      </c>
      <c r="O484" s="1" t="str">
        <f t="shared" si="53"/>
        <v>23 2012</v>
      </c>
      <c r="P484" s="1">
        <f t="shared" si="54"/>
        <v>22</v>
      </c>
      <c r="Q484" s="1">
        <f t="shared" ca="1" si="55"/>
        <v>4065</v>
      </c>
      <c r="S484" s="1">
        <f t="shared" si="49"/>
        <v>10083</v>
      </c>
    </row>
    <row r="485" spans="1:19" x14ac:dyDescent="0.2">
      <c r="A485" s="57" t="s">
        <v>234</v>
      </c>
      <c r="B485" s="57" t="s">
        <v>237</v>
      </c>
      <c r="C485" s="57" t="s">
        <v>238</v>
      </c>
      <c r="D485" s="58">
        <v>165.05</v>
      </c>
      <c r="E485" s="59">
        <v>41069</v>
      </c>
      <c r="F485" s="58">
        <v>10083</v>
      </c>
      <c r="G485" s="58">
        <v>1485</v>
      </c>
      <c r="H485" s="58">
        <v>2045</v>
      </c>
      <c r="I485" s="58">
        <v>9473</v>
      </c>
      <c r="J485" s="58">
        <v>0</v>
      </c>
      <c r="K485" s="1">
        <f t="shared" si="50"/>
        <v>337527.25</v>
      </c>
      <c r="L485" s="1">
        <f t="shared" si="51"/>
        <v>2045</v>
      </c>
      <c r="M485" s="1">
        <f>VLOOKUP(B485,'[1]Срок Годности'!$A$2:$B$4,2,0)</f>
        <v>1000</v>
      </c>
      <c r="N485" s="60">
        <f t="shared" si="52"/>
        <v>1485</v>
      </c>
      <c r="O485" s="1" t="str">
        <f t="shared" si="53"/>
        <v>23 2012</v>
      </c>
      <c r="P485" s="1">
        <f t="shared" si="54"/>
        <v>22</v>
      </c>
      <c r="Q485" s="1">
        <f t="shared" ca="1" si="55"/>
        <v>4064</v>
      </c>
      <c r="S485" s="1">
        <f t="shared" si="49"/>
        <v>9473</v>
      </c>
    </row>
    <row r="486" spans="1:19" x14ac:dyDescent="0.2">
      <c r="A486" s="57" t="s">
        <v>234</v>
      </c>
      <c r="B486" s="57" t="s">
        <v>237</v>
      </c>
      <c r="C486" s="57" t="s">
        <v>238</v>
      </c>
      <c r="D486" s="58">
        <v>165.05</v>
      </c>
      <c r="E486" s="59">
        <v>41070</v>
      </c>
      <c r="F486" s="58">
        <v>9473</v>
      </c>
      <c r="G486" s="58">
        <v>1710</v>
      </c>
      <c r="H486" s="58">
        <v>1639</v>
      </c>
      <c r="I486" s="58">
        <v>9527</v>
      </c>
      <c r="J486" s="58">
        <v>0</v>
      </c>
      <c r="K486" s="1">
        <f t="shared" si="50"/>
        <v>270516.95</v>
      </c>
      <c r="L486" s="1">
        <f t="shared" si="51"/>
        <v>1639</v>
      </c>
      <c r="M486" s="1">
        <f>VLOOKUP(B486,'[1]Срок Годности'!$A$2:$B$4,2,0)</f>
        <v>1000</v>
      </c>
      <c r="N486" s="60">
        <f t="shared" si="52"/>
        <v>0</v>
      </c>
      <c r="O486" s="1" t="str">
        <f t="shared" si="53"/>
        <v>24 2012</v>
      </c>
      <c r="P486" s="1">
        <f t="shared" si="54"/>
        <v>22</v>
      </c>
      <c r="Q486" s="1">
        <f t="shared" ca="1" si="55"/>
        <v>4063</v>
      </c>
      <c r="S486" s="1">
        <f t="shared" si="49"/>
        <v>9527</v>
      </c>
    </row>
    <row r="487" spans="1:19" x14ac:dyDescent="0.2">
      <c r="A487" s="57" t="s">
        <v>234</v>
      </c>
      <c r="B487" s="57" t="s">
        <v>237</v>
      </c>
      <c r="C487" s="57" t="s">
        <v>238</v>
      </c>
      <c r="D487" s="58">
        <v>165.05</v>
      </c>
      <c r="E487" s="59">
        <v>41071</v>
      </c>
      <c r="F487" s="58">
        <v>9527</v>
      </c>
      <c r="G487" s="58">
        <v>1720</v>
      </c>
      <c r="H487" s="58">
        <v>1425</v>
      </c>
      <c r="I487" s="58">
        <v>9796</v>
      </c>
      <c r="J487" s="58">
        <v>0</v>
      </c>
      <c r="K487" s="1">
        <f t="shared" si="50"/>
        <v>235196.25000000003</v>
      </c>
      <c r="L487" s="1">
        <f t="shared" si="51"/>
        <v>1425</v>
      </c>
      <c r="M487" s="1">
        <f>VLOOKUP(B487,'[1]Срок Годности'!$A$2:$B$4,2,0)</f>
        <v>1000</v>
      </c>
      <c r="N487" s="60">
        <f t="shared" si="52"/>
        <v>1720</v>
      </c>
      <c r="O487" s="1" t="str">
        <f t="shared" si="53"/>
        <v>24 2012</v>
      </c>
      <c r="P487" s="1">
        <f t="shared" si="54"/>
        <v>22</v>
      </c>
      <c r="Q487" s="1">
        <f t="shared" ca="1" si="55"/>
        <v>4062</v>
      </c>
      <c r="S487" s="1">
        <f t="shared" si="49"/>
        <v>9796</v>
      </c>
    </row>
    <row r="488" spans="1:19" x14ac:dyDescent="0.2">
      <c r="A488" s="57" t="s">
        <v>234</v>
      </c>
      <c r="B488" s="57" t="s">
        <v>237</v>
      </c>
      <c r="C488" s="57" t="s">
        <v>238</v>
      </c>
      <c r="D488" s="58">
        <v>165.05</v>
      </c>
      <c r="E488" s="59">
        <v>41072</v>
      </c>
      <c r="F488" s="58">
        <v>9796</v>
      </c>
      <c r="G488" s="58">
        <v>1380</v>
      </c>
      <c r="H488" s="58">
        <v>1291</v>
      </c>
      <c r="I488" s="58">
        <v>9831</v>
      </c>
      <c r="J488" s="58">
        <v>0</v>
      </c>
      <c r="K488" s="1">
        <f t="shared" si="50"/>
        <v>213079.55000000002</v>
      </c>
      <c r="L488" s="1">
        <f t="shared" si="51"/>
        <v>1291</v>
      </c>
      <c r="M488" s="1">
        <f>VLOOKUP(B488,'[1]Срок Годности'!$A$2:$B$4,2,0)</f>
        <v>1000</v>
      </c>
      <c r="N488" s="60">
        <f t="shared" si="52"/>
        <v>1380</v>
      </c>
      <c r="O488" s="1" t="str">
        <f t="shared" si="53"/>
        <v>24 2012</v>
      </c>
      <c r="P488" s="1">
        <f t="shared" si="54"/>
        <v>22</v>
      </c>
      <c r="Q488" s="1">
        <f t="shared" ca="1" si="55"/>
        <v>4061</v>
      </c>
      <c r="S488" s="1">
        <f t="shared" si="49"/>
        <v>9831</v>
      </c>
    </row>
    <row r="489" spans="1:19" x14ac:dyDescent="0.2">
      <c r="A489" s="57" t="s">
        <v>234</v>
      </c>
      <c r="B489" s="57" t="s">
        <v>237</v>
      </c>
      <c r="C489" s="57" t="s">
        <v>238</v>
      </c>
      <c r="D489" s="58">
        <v>165.05</v>
      </c>
      <c r="E489" s="59">
        <v>41073</v>
      </c>
      <c r="F489" s="58">
        <v>9831</v>
      </c>
      <c r="G489" s="58">
        <v>1542</v>
      </c>
      <c r="H489" s="58">
        <v>1356</v>
      </c>
      <c r="I489" s="58">
        <v>9994</v>
      </c>
      <c r="J489" s="58">
        <v>0</v>
      </c>
      <c r="K489" s="1">
        <f t="shared" si="50"/>
        <v>223807.80000000002</v>
      </c>
      <c r="L489" s="1">
        <f t="shared" si="51"/>
        <v>1356</v>
      </c>
      <c r="M489" s="1">
        <f>VLOOKUP(B489,'[1]Срок Годности'!$A$2:$B$4,2,0)</f>
        <v>1000</v>
      </c>
      <c r="N489" s="60">
        <f t="shared" si="52"/>
        <v>1542</v>
      </c>
      <c r="O489" s="1" t="str">
        <f t="shared" si="53"/>
        <v>24 2012</v>
      </c>
      <c r="P489" s="1">
        <f t="shared" si="54"/>
        <v>22</v>
      </c>
      <c r="Q489" s="1">
        <f t="shared" ca="1" si="55"/>
        <v>4060</v>
      </c>
      <c r="S489" s="1">
        <f t="shared" si="49"/>
        <v>9994</v>
      </c>
    </row>
    <row r="490" spans="1:19" x14ac:dyDescent="0.2">
      <c r="A490" s="57" t="s">
        <v>234</v>
      </c>
      <c r="B490" s="57" t="s">
        <v>237</v>
      </c>
      <c r="C490" s="57" t="s">
        <v>238</v>
      </c>
      <c r="D490" s="58">
        <v>165.05</v>
      </c>
      <c r="E490" s="59">
        <v>41074</v>
      </c>
      <c r="F490" s="58">
        <v>9994</v>
      </c>
      <c r="G490" s="58">
        <v>1397</v>
      </c>
      <c r="H490" s="58">
        <v>1503</v>
      </c>
      <c r="I490" s="58">
        <v>9837</v>
      </c>
      <c r="J490" s="58">
        <v>1</v>
      </c>
      <c r="K490" s="1">
        <f t="shared" si="50"/>
        <v>248070.15000000002</v>
      </c>
      <c r="L490" s="1">
        <f t="shared" si="51"/>
        <v>1503</v>
      </c>
      <c r="M490" s="1">
        <f>VLOOKUP(B490,'[1]Срок Годности'!$A$2:$B$4,2,0)</f>
        <v>1000</v>
      </c>
      <c r="N490" s="60">
        <f t="shared" si="52"/>
        <v>1397</v>
      </c>
      <c r="O490" s="1" t="str">
        <f t="shared" si="53"/>
        <v>24 2012</v>
      </c>
      <c r="P490" s="1">
        <f t="shared" si="54"/>
        <v>22</v>
      </c>
      <c r="Q490" s="1">
        <f t="shared" ca="1" si="55"/>
        <v>4059</v>
      </c>
      <c r="S490" s="1">
        <f t="shared" si="49"/>
        <v>9836</v>
      </c>
    </row>
    <row r="491" spans="1:19" x14ac:dyDescent="0.2">
      <c r="A491" s="57" t="s">
        <v>234</v>
      </c>
      <c r="B491" s="57" t="s">
        <v>237</v>
      </c>
      <c r="C491" s="57" t="s">
        <v>238</v>
      </c>
      <c r="D491" s="58">
        <v>165.05</v>
      </c>
      <c r="E491" s="59">
        <v>41075</v>
      </c>
      <c r="F491" s="58">
        <v>9837</v>
      </c>
      <c r="G491" s="58">
        <v>1481</v>
      </c>
      <c r="H491" s="58">
        <v>1814</v>
      </c>
      <c r="I491" s="58">
        <v>9472</v>
      </c>
      <c r="J491" s="58">
        <v>0</v>
      </c>
      <c r="K491" s="1">
        <f t="shared" si="50"/>
        <v>299400.7</v>
      </c>
      <c r="L491" s="1">
        <f t="shared" si="51"/>
        <v>1814</v>
      </c>
      <c r="M491" s="1">
        <f>VLOOKUP(B491,'[1]Срок Годности'!$A$2:$B$4,2,0)</f>
        <v>1000</v>
      </c>
      <c r="N491" s="60">
        <f t="shared" si="52"/>
        <v>1481</v>
      </c>
      <c r="O491" s="1" t="str">
        <f t="shared" si="53"/>
        <v>24 2012</v>
      </c>
      <c r="P491" s="1">
        <f t="shared" si="54"/>
        <v>22</v>
      </c>
      <c r="Q491" s="1">
        <f t="shared" ca="1" si="55"/>
        <v>4058</v>
      </c>
      <c r="S491" s="1">
        <f t="shared" si="49"/>
        <v>9472</v>
      </c>
    </row>
    <row r="492" spans="1:19" x14ac:dyDescent="0.2">
      <c r="A492" s="57" t="s">
        <v>234</v>
      </c>
      <c r="B492" s="57" t="s">
        <v>237</v>
      </c>
      <c r="C492" s="57" t="s">
        <v>238</v>
      </c>
      <c r="D492" s="58">
        <v>165.05</v>
      </c>
      <c r="E492" s="59">
        <v>41076</v>
      </c>
      <c r="F492" s="58">
        <v>9472</v>
      </c>
      <c r="G492" s="58">
        <v>1506</v>
      </c>
      <c r="H492" s="58">
        <v>1638</v>
      </c>
      <c r="I492" s="58">
        <v>9313</v>
      </c>
      <c r="J492" s="58">
        <v>0</v>
      </c>
      <c r="K492" s="1">
        <f t="shared" si="50"/>
        <v>270351.90000000002</v>
      </c>
      <c r="L492" s="1">
        <f t="shared" si="51"/>
        <v>1638</v>
      </c>
      <c r="M492" s="1">
        <f>VLOOKUP(B492,'[1]Срок Годности'!$A$2:$B$4,2,0)</f>
        <v>1000</v>
      </c>
      <c r="N492" s="60">
        <f t="shared" si="52"/>
        <v>1506</v>
      </c>
      <c r="O492" s="1" t="str">
        <f t="shared" si="53"/>
        <v>24 2012</v>
      </c>
      <c r="P492" s="1">
        <f t="shared" si="54"/>
        <v>22</v>
      </c>
      <c r="Q492" s="1">
        <f t="shared" ca="1" si="55"/>
        <v>4057</v>
      </c>
      <c r="S492" s="1">
        <f t="shared" si="49"/>
        <v>9313</v>
      </c>
    </row>
    <row r="493" spans="1:19" x14ac:dyDescent="0.2">
      <c r="A493" s="57" t="s">
        <v>234</v>
      </c>
      <c r="B493" s="57" t="s">
        <v>237</v>
      </c>
      <c r="C493" s="57" t="s">
        <v>238</v>
      </c>
      <c r="D493" s="58">
        <v>165.05</v>
      </c>
      <c r="E493" s="59">
        <v>41077</v>
      </c>
      <c r="F493" s="58">
        <v>9313</v>
      </c>
      <c r="G493" s="58">
        <v>1590</v>
      </c>
      <c r="H493" s="58">
        <v>1397</v>
      </c>
      <c r="I493" s="58">
        <v>9487</v>
      </c>
      <c r="J493" s="58">
        <v>0</v>
      </c>
      <c r="K493" s="1">
        <f t="shared" si="50"/>
        <v>230574.85</v>
      </c>
      <c r="L493" s="1">
        <f t="shared" si="51"/>
        <v>1397</v>
      </c>
      <c r="M493" s="1">
        <f>VLOOKUP(B493,'[1]Срок Годности'!$A$2:$B$4,2,0)</f>
        <v>1000</v>
      </c>
      <c r="N493" s="60">
        <f t="shared" si="52"/>
        <v>0</v>
      </c>
      <c r="O493" s="1" t="str">
        <f t="shared" si="53"/>
        <v>25 2012</v>
      </c>
      <c r="P493" s="1">
        <f t="shared" si="54"/>
        <v>22</v>
      </c>
      <c r="Q493" s="1">
        <f t="shared" ca="1" si="55"/>
        <v>4056</v>
      </c>
      <c r="S493" s="1">
        <f t="shared" si="49"/>
        <v>9487</v>
      </c>
    </row>
    <row r="494" spans="1:19" x14ac:dyDescent="0.2">
      <c r="A494" s="57" t="s">
        <v>234</v>
      </c>
      <c r="B494" s="57" t="s">
        <v>237</v>
      </c>
      <c r="C494" s="57" t="s">
        <v>238</v>
      </c>
      <c r="D494" s="58">
        <v>165.05</v>
      </c>
      <c r="E494" s="59">
        <v>41078</v>
      </c>
      <c r="F494" s="58">
        <v>9487</v>
      </c>
      <c r="G494" s="58">
        <v>1723</v>
      </c>
      <c r="H494" s="58">
        <v>1667</v>
      </c>
      <c r="I494" s="58">
        <v>9522</v>
      </c>
      <c r="J494" s="58">
        <v>0</v>
      </c>
      <c r="K494" s="1">
        <f t="shared" si="50"/>
        <v>275138.35000000003</v>
      </c>
      <c r="L494" s="1">
        <f t="shared" si="51"/>
        <v>1667</v>
      </c>
      <c r="M494" s="1">
        <f>VLOOKUP(B494,'[1]Срок Годности'!$A$2:$B$4,2,0)</f>
        <v>1000</v>
      </c>
      <c r="N494" s="60">
        <f t="shared" si="52"/>
        <v>1723</v>
      </c>
      <c r="O494" s="1" t="str">
        <f t="shared" si="53"/>
        <v>25 2012</v>
      </c>
      <c r="P494" s="1">
        <f t="shared" si="54"/>
        <v>22</v>
      </c>
      <c r="Q494" s="1">
        <f t="shared" ca="1" si="55"/>
        <v>4055</v>
      </c>
      <c r="S494" s="1">
        <f t="shared" si="49"/>
        <v>9522</v>
      </c>
    </row>
    <row r="495" spans="1:19" x14ac:dyDescent="0.2">
      <c r="A495" s="57" t="s">
        <v>234</v>
      </c>
      <c r="B495" s="57" t="s">
        <v>237</v>
      </c>
      <c r="C495" s="57" t="s">
        <v>238</v>
      </c>
      <c r="D495" s="58">
        <v>165.05</v>
      </c>
      <c r="E495" s="59">
        <v>41079</v>
      </c>
      <c r="F495" s="58">
        <v>9522</v>
      </c>
      <c r="G495" s="58">
        <v>1287</v>
      </c>
      <c r="H495" s="58">
        <v>1698</v>
      </c>
      <c r="I495" s="58">
        <v>9094</v>
      </c>
      <c r="J495" s="58">
        <v>0</v>
      </c>
      <c r="K495" s="1">
        <f t="shared" si="50"/>
        <v>280254.90000000002</v>
      </c>
      <c r="L495" s="1">
        <f t="shared" si="51"/>
        <v>1698</v>
      </c>
      <c r="M495" s="1">
        <f>VLOOKUP(B495,'[1]Срок Годности'!$A$2:$B$4,2,0)</f>
        <v>1000</v>
      </c>
      <c r="N495" s="60">
        <f t="shared" si="52"/>
        <v>1287</v>
      </c>
      <c r="O495" s="1" t="str">
        <f t="shared" si="53"/>
        <v>25 2012</v>
      </c>
      <c r="P495" s="1">
        <f t="shared" si="54"/>
        <v>22</v>
      </c>
      <c r="Q495" s="1">
        <f t="shared" ca="1" si="55"/>
        <v>4054</v>
      </c>
      <c r="S495" s="1">
        <f t="shared" si="49"/>
        <v>9094</v>
      </c>
    </row>
    <row r="496" spans="1:19" x14ac:dyDescent="0.2">
      <c r="A496" s="57" t="s">
        <v>234</v>
      </c>
      <c r="B496" s="57" t="s">
        <v>237</v>
      </c>
      <c r="C496" s="57" t="s">
        <v>238</v>
      </c>
      <c r="D496" s="58">
        <v>165.05</v>
      </c>
      <c r="E496" s="59">
        <v>41080</v>
      </c>
      <c r="F496" s="58">
        <v>9094</v>
      </c>
      <c r="G496" s="58">
        <v>1385</v>
      </c>
      <c r="H496" s="58">
        <v>1741</v>
      </c>
      <c r="I496" s="58">
        <v>8736</v>
      </c>
      <c r="J496" s="58">
        <v>0</v>
      </c>
      <c r="K496" s="1">
        <f t="shared" si="50"/>
        <v>287352.05000000005</v>
      </c>
      <c r="L496" s="1">
        <f t="shared" si="51"/>
        <v>1741</v>
      </c>
      <c r="M496" s="1">
        <f>VLOOKUP(B496,'[1]Срок Годности'!$A$2:$B$4,2,0)</f>
        <v>1000</v>
      </c>
      <c r="N496" s="60">
        <f t="shared" si="52"/>
        <v>1385</v>
      </c>
      <c r="O496" s="1" t="str">
        <f t="shared" si="53"/>
        <v>25 2012</v>
      </c>
      <c r="P496" s="1">
        <f t="shared" si="54"/>
        <v>22</v>
      </c>
      <c r="Q496" s="1">
        <f t="shared" ca="1" si="55"/>
        <v>4053</v>
      </c>
      <c r="S496" s="1">
        <f t="shared" si="49"/>
        <v>8736</v>
      </c>
    </row>
    <row r="497" spans="1:19" x14ac:dyDescent="0.2">
      <c r="A497" s="57" t="s">
        <v>234</v>
      </c>
      <c r="B497" s="57" t="s">
        <v>237</v>
      </c>
      <c r="C497" s="57" t="s">
        <v>238</v>
      </c>
      <c r="D497" s="58">
        <v>165.05</v>
      </c>
      <c r="E497" s="59">
        <v>41081</v>
      </c>
      <c r="F497" s="58">
        <v>8736</v>
      </c>
      <c r="G497" s="58">
        <v>1813</v>
      </c>
      <c r="H497" s="58">
        <v>1587</v>
      </c>
      <c r="I497" s="58">
        <v>8942</v>
      </c>
      <c r="J497" s="58">
        <v>0</v>
      </c>
      <c r="K497" s="1">
        <f t="shared" si="50"/>
        <v>261934.35</v>
      </c>
      <c r="L497" s="1">
        <f t="shared" si="51"/>
        <v>1587</v>
      </c>
      <c r="M497" s="1">
        <f>VLOOKUP(B497,'[1]Срок Годности'!$A$2:$B$4,2,0)</f>
        <v>1000</v>
      </c>
      <c r="N497" s="60">
        <f t="shared" si="52"/>
        <v>1813</v>
      </c>
      <c r="O497" s="1" t="str">
        <f t="shared" si="53"/>
        <v>25 2012</v>
      </c>
      <c r="P497" s="1">
        <f t="shared" si="54"/>
        <v>22</v>
      </c>
      <c r="Q497" s="1">
        <f t="shared" ca="1" si="55"/>
        <v>4052</v>
      </c>
      <c r="S497" s="1">
        <f t="shared" si="49"/>
        <v>8942</v>
      </c>
    </row>
    <row r="498" spans="1:19" x14ac:dyDescent="0.2">
      <c r="A498" s="57" t="s">
        <v>234</v>
      </c>
      <c r="B498" s="57" t="s">
        <v>237</v>
      </c>
      <c r="C498" s="57" t="s">
        <v>238</v>
      </c>
      <c r="D498" s="58">
        <v>165.05</v>
      </c>
      <c r="E498" s="59">
        <v>41082</v>
      </c>
      <c r="F498" s="58">
        <v>8942</v>
      </c>
      <c r="G498" s="58">
        <v>706</v>
      </c>
      <c r="H498" s="58">
        <v>1858</v>
      </c>
      <c r="I498" s="58">
        <v>7779</v>
      </c>
      <c r="J498" s="58">
        <v>0</v>
      </c>
      <c r="K498" s="1">
        <f t="shared" si="50"/>
        <v>306662.90000000002</v>
      </c>
      <c r="L498" s="1">
        <f t="shared" si="51"/>
        <v>1858</v>
      </c>
      <c r="M498" s="1">
        <f>VLOOKUP(B498,'[1]Срок Годности'!$A$2:$B$4,2,0)</f>
        <v>1000</v>
      </c>
      <c r="N498" s="60">
        <f t="shared" si="52"/>
        <v>706</v>
      </c>
      <c r="O498" s="1" t="str">
        <f t="shared" si="53"/>
        <v>25 2012</v>
      </c>
      <c r="P498" s="1">
        <f t="shared" si="54"/>
        <v>22</v>
      </c>
      <c r="Q498" s="1">
        <f t="shared" ca="1" si="55"/>
        <v>4051</v>
      </c>
      <c r="S498" s="1">
        <f t="shared" si="49"/>
        <v>7779</v>
      </c>
    </row>
    <row r="499" spans="1:19" x14ac:dyDescent="0.2">
      <c r="A499" s="57" t="s">
        <v>234</v>
      </c>
      <c r="B499" s="57" t="s">
        <v>237</v>
      </c>
      <c r="C499" s="57" t="s">
        <v>238</v>
      </c>
      <c r="D499" s="58">
        <v>165.05</v>
      </c>
      <c r="E499" s="59">
        <v>41083</v>
      </c>
      <c r="F499" s="58">
        <v>7779</v>
      </c>
      <c r="G499" s="58">
        <v>617</v>
      </c>
      <c r="H499" s="58">
        <v>1675</v>
      </c>
      <c r="I499" s="58">
        <v>6714</v>
      </c>
      <c r="J499" s="58">
        <v>0</v>
      </c>
      <c r="K499" s="1">
        <f t="shared" si="50"/>
        <v>276458.75</v>
      </c>
      <c r="L499" s="1">
        <f t="shared" si="51"/>
        <v>1675</v>
      </c>
      <c r="M499" s="1">
        <f>VLOOKUP(B499,'[1]Срок Годности'!$A$2:$B$4,2,0)</f>
        <v>1000</v>
      </c>
      <c r="N499" s="60">
        <f t="shared" si="52"/>
        <v>617</v>
      </c>
      <c r="O499" s="1" t="str">
        <f t="shared" si="53"/>
        <v>25 2012</v>
      </c>
      <c r="P499" s="1">
        <f t="shared" si="54"/>
        <v>22</v>
      </c>
      <c r="Q499" s="1">
        <f t="shared" ca="1" si="55"/>
        <v>4050</v>
      </c>
      <c r="S499" s="1">
        <f t="shared" si="49"/>
        <v>6714</v>
      </c>
    </row>
    <row r="500" spans="1:19" x14ac:dyDescent="0.2">
      <c r="A500" s="57" t="s">
        <v>234</v>
      </c>
      <c r="B500" s="57" t="s">
        <v>237</v>
      </c>
      <c r="C500" s="57" t="s">
        <v>238</v>
      </c>
      <c r="D500" s="58">
        <v>165.05</v>
      </c>
      <c r="E500" s="59">
        <v>41084</v>
      </c>
      <c r="F500" s="58">
        <v>6714</v>
      </c>
      <c r="G500" s="58">
        <v>1309</v>
      </c>
      <c r="H500" s="58">
        <v>1466</v>
      </c>
      <c r="I500" s="58">
        <v>6559</v>
      </c>
      <c r="J500" s="58">
        <v>0</v>
      </c>
      <c r="K500" s="1">
        <f t="shared" si="50"/>
        <v>241963.30000000002</v>
      </c>
      <c r="L500" s="1">
        <f t="shared" si="51"/>
        <v>1466</v>
      </c>
      <c r="M500" s="1">
        <f>VLOOKUP(B500,'[1]Срок Годности'!$A$2:$B$4,2,0)</f>
        <v>1000</v>
      </c>
      <c r="N500" s="60">
        <f t="shared" si="52"/>
        <v>0</v>
      </c>
      <c r="O500" s="1" t="str">
        <f t="shared" si="53"/>
        <v>26 2012</v>
      </c>
      <c r="P500" s="1">
        <f t="shared" si="54"/>
        <v>22</v>
      </c>
      <c r="Q500" s="1">
        <f t="shared" ca="1" si="55"/>
        <v>4049</v>
      </c>
      <c r="S500" s="1">
        <f t="shared" si="49"/>
        <v>6559</v>
      </c>
    </row>
    <row r="501" spans="1:19" x14ac:dyDescent="0.2">
      <c r="A501" s="57" t="s">
        <v>234</v>
      </c>
      <c r="B501" s="57" t="s">
        <v>237</v>
      </c>
      <c r="C501" s="57" t="s">
        <v>238</v>
      </c>
      <c r="D501" s="58">
        <v>165.05</v>
      </c>
      <c r="E501" s="59">
        <v>41085</v>
      </c>
      <c r="F501" s="58">
        <v>6559</v>
      </c>
      <c r="G501" s="58">
        <v>1908</v>
      </c>
      <c r="H501" s="58">
        <v>1560</v>
      </c>
      <c r="I501" s="58">
        <v>6892</v>
      </c>
      <c r="J501" s="58">
        <v>0</v>
      </c>
      <c r="K501" s="1">
        <f t="shared" si="50"/>
        <v>257478.00000000003</v>
      </c>
      <c r="L501" s="1">
        <f t="shared" si="51"/>
        <v>1560</v>
      </c>
      <c r="M501" s="1">
        <f>VLOOKUP(B501,'[1]Срок Годности'!$A$2:$B$4,2,0)</f>
        <v>1000</v>
      </c>
      <c r="N501" s="60">
        <f t="shared" si="52"/>
        <v>1908</v>
      </c>
      <c r="O501" s="1" t="str">
        <f t="shared" si="53"/>
        <v>26 2012</v>
      </c>
      <c r="P501" s="1">
        <f t="shared" si="54"/>
        <v>22</v>
      </c>
      <c r="Q501" s="1">
        <f t="shared" ca="1" si="55"/>
        <v>4048</v>
      </c>
      <c r="S501" s="1">
        <f t="shared" si="49"/>
        <v>6892</v>
      </c>
    </row>
    <row r="502" spans="1:19" x14ac:dyDescent="0.2">
      <c r="A502" s="57" t="s">
        <v>234</v>
      </c>
      <c r="B502" s="57" t="s">
        <v>237</v>
      </c>
      <c r="C502" s="57" t="s">
        <v>238</v>
      </c>
      <c r="D502" s="58">
        <v>165.05</v>
      </c>
      <c r="E502" s="59">
        <v>41086</v>
      </c>
      <c r="F502" s="58">
        <v>6892</v>
      </c>
      <c r="G502" s="58">
        <v>1671</v>
      </c>
      <c r="H502" s="58">
        <v>1705</v>
      </c>
      <c r="I502" s="58">
        <v>6821</v>
      </c>
      <c r="J502" s="58">
        <v>0</v>
      </c>
      <c r="K502" s="1">
        <f t="shared" si="50"/>
        <v>281410.25</v>
      </c>
      <c r="L502" s="1">
        <f t="shared" si="51"/>
        <v>1705</v>
      </c>
      <c r="M502" s="1">
        <f>VLOOKUP(B502,'[1]Срок Годности'!$A$2:$B$4,2,0)</f>
        <v>1000</v>
      </c>
      <c r="N502" s="60">
        <f t="shared" si="52"/>
        <v>1671</v>
      </c>
      <c r="O502" s="1" t="str">
        <f t="shared" si="53"/>
        <v>26 2012</v>
      </c>
      <c r="P502" s="1">
        <f t="shared" si="54"/>
        <v>22</v>
      </c>
      <c r="Q502" s="1">
        <f t="shared" ca="1" si="55"/>
        <v>4047</v>
      </c>
      <c r="S502" s="1">
        <f t="shared" si="49"/>
        <v>6821</v>
      </c>
    </row>
    <row r="503" spans="1:19" x14ac:dyDescent="0.2">
      <c r="A503" s="57" t="s">
        <v>234</v>
      </c>
      <c r="B503" s="57" t="s">
        <v>237</v>
      </c>
      <c r="C503" s="57" t="s">
        <v>238</v>
      </c>
      <c r="D503" s="58">
        <v>165.05</v>
      </c>
      <c r="E503" s="59">
        <v>41087</v>
      </c>
      <c r="F503" s="58">
        <v>6821</v>
      </c>
      <c r="G503" s="58">
        <v>2051</v>
      </c>
      <c r="H503" s="58">
        <v>1754</v>
      </c>
      <c r="I503" s="58">
        <v>7072</v>
      </c>
      <c r="J503" s="58">
        <v>0</v>
      </c>
      <c r="K503" s="1">
        <f t="shared" si="50"/>
        <v>289497.7</v>
      </c>
      <c r="L503" s="1">
        <f t="shared" si="51"/>
        <v>1754</v>
      </c>
      <c r="M503" s="1">
        <f>VLOOKUP(B503,'[1]Срок Годности'!$A$2:$B$4,2,0)</f>
        <v>1000</v>
      </c>
      <c r="N503" s="60">
        <f t="shared" si="52"/>
        <v>2051</v>
      </c>
      <c r="O503" s="1" t="str">
        <f t="shared" si="53"/>
        <v>26 2012</v>
      </c>
      <c r="P503" s="1">
        <f t="shared" si="54"/>
        <v>22</v>
      </c>
      <c r="Q503" s="1">
        <f t="shared" ca="1" si="55"/>
        <v>4046</v>
      </c>
      <c r="S503" s="1">
        <f t="shared" si="49"/>
        <v>7072</v>
      </c>
    </row>
    <row r="504" spans="1:19" x14ac:dyDescent="0.2">
      <c r="A504" s="57" t="s">
        <v>234</v>
      </c>
      <c r="B504" s="57" t="s">
        <v>237</v>
      </c>
      <c r="C504" s="57" t="s">
        <v>238</v>
      </c>
      <c r="D504" s="58">
        <v>165.05</v>
      </c>
      <c r="E504" s="59">
        <v>41088</v>
      </c>
      <c r="F504" s="58">
        <v>7072</v>
      </c>
      <c r="G504" s="58">
        <v>2177</v>
      </c>
      <c r="H504" s="58">
        <v>1942</v>
      </c>
      <c r="I504" s="58">
        <v>7294</v>
      </c>
      <c r="J504" s="58">
        <v>0</v>
      </c>
      <c r="K504" s="1">
        <f t="shared" si="50"/>
        <v>320527.10000000003</v>
      </c>
      <c r="L504" s="1">
        <f t="shared" si="51"/>
        <v>1942</v>
      </c>
      <c r="M504" s="1">
        <f>VLOOKUP(B504,'[1]Срок Годности'!$A$2:$B$4,2,0)</f>
        <v>1000</v>
      </c>
      <c r="N504" s="60">
        <f t="shared" si="52"/>
        <v>2177</v>
      </c>
      <c r="O504" s="1" t="str">
        <f t="shared" si="53"/>
        <v>26 2012</v>
      </c>
      <c r="P504" s="1">
        <f t="shared" si="54"/>
        <v>22</v>
      </c>
      <c r="Q504" s="1">
        <f t="shared" ca="1" si="55"/>
        <v>4045</v>
      </c>
      <c r="S504" s="1">
        <f t="shared" si="49"/>
        <v>7294</v>
      </c>
    </row>
    <row r="505" spans="1:19" x14ac:dyDescent="0.2">
      <c r="A505" s="57" t="s">
        <v>234</v>
      </c>
      <c r="B505" s="57" t="s">
        <v>237</v>
      </c>
      <c r="C505" s="57" t="s">
        <v>238</v>
      </c>
      <c r="D505" s="58">
        <v>165.05</v>
      </c>
      <c r="E505" s="59">
        <v>41089</v>
      </c>
      <c r="F505" s="58">
        <v>7294</v>
      </c>
      <c r="G505" s="58">
        <v>1596</v>
      </c>
      <c r="H505" s="58">
        <v>2030</v>
      </c>
      <c r="I505" s="58">
        <v>6851</v>
      </c>
      <c r="J505" s="58">
        <v>0</v>
      </c>
      <c r="K505" s="1">
        <f t="shared" si="50"/>
        <v>335051.5</v>
      </c>
      <c r="L505" s="1">
        <f t="shared" si="51"/>
        <v>2030</v>
      </c>
      <c r="M505" s="1">
        <f>VLOOKUP(B505,'[1]Срок Годности'!$A$2:$B$4,2,0)</f>
        <v>1000</v>
      </c>
      <c r="N505" s="60">
        <f t="shared" si="52"/>
        <v>1596</v>
      </c>
      <c r="O505" s="1" t="str">
        <f t="shared" si="53"/>
        <v>26 2012</v>
      </c>
      <c r="P505" s="1">
        <f t="shared" si="54"/>
        <v>22</v>
      </c>
      <c r="Q505" s="1">
        <f t="shared" ca="1" si="55"/>
        <v>4044</v>
      </c>
      <c r="S505" s="1">
        <f t="shared" si="49"/>
        <v>6851</v>
      </c>
    </row>
    <row r="506" spans="1:19" x14ac:dyDescent="0.2">
      <c r="A506" s="57" t="s">
        <v>234</v>
      </c>
      <c r="B506" s="57" t="s">
        <v>237</v>
      </c>
      <c r="C506" s="57" t="s">
        <v>238</v>
      </c>
      <c r="D506" s="58">
        <v>165.05</v>
      </c>
      <c r="E506" s="59">
        <v>41090</v>
      </c>
      <c r="F506" s="58">
        <v>6851</v>
      </c>
      <c r="G506" s="58">
        <v>1936</v>
      </c>
      <c r="H506" s="58">
        <v>1824</v>
      </c>
      <c r="I506" s="58">
        <v>6939</v>
      </c>
      <c r="J506" s="58">
        <v>0</v>
      </c>
      <c r="K506" s="1">
        <f t="shared" si="50"/>
        <v>301051.2</v>
      </c>
      <c r="L506" s="1">
        <f t="shared" si="51"/>
        <v>1824</v>
      </c>
      <c r="M506" s="1">
        <f>VLOOKUP(B506,'[1]Срок Годности'!$A$2:$B$4,2,0)</f>
        <v>1000</v>
      </c>
      <c r="N506" s="60">
        <f t="shared" si="52"/>
        <v>1936</v>
      </c>
      <c r="O506" s="1" t="str">
        <f t="shared" si="53"/>
        <v>26 2012</v>
      </c>
      <c r="P506" s="1">
        <f t="shared" si="54"/>
        <v>22</v>
      </c>
      <c r="Q506" s="1">
        <f t="shared" ca="1" si="55"/>
        <v>4043</v>
      </c>
      <c r="S506" s="1">
        <f t="shared" si="49"/>
        <v>6939</v>
      </c>
    </row>
    <row r="507" spans="1:19" x14ac:dyDescent="0.2">
      <c r="A507" s="57" t="s">
        <v>234</v>
      </c>
      <c r="B507" s="57" t="s">
        <v>237</v>
      </c>
      <c r="C507" s="57" t="s">
        <v>238</v>
      </c>
      <c r="D507" s="58">
        <v>165.05</v>
      </c>
      <c r="E507" s="59">
        <v>41091</v>
      </c>
      <c r="F507" s="58">
        <v>6939</v>
      </c>
      <c r="G507" s="58">
        <v>3606</v>
      </c>
      <c r="H507" s="58">
        <v>1536</v>
      </c>
      <c r="I507" s="58">
        <v>9005</v>
      </c>
      <c r="J507" s="58">
        <v>0</v>
      </c>
      <c r="K507" s="1">
        <f t="shared" si="50"/>
        <v>253516.80000000002</v>
      </c>
      <c r="L507" s="1">
        <f t="shared" si="51"/>
        <v>1536</v>
      </c>
      <c r="M507" s="1">
        <f>VLOOKUP(B507,'[1]Срок Годности'!$A$2:$B$4,2,0)</f>
        <v>1000</v>
      </c>
      <c r="N507" s="60">
        <f t="shared" si="52"/>
        <v>0</v>
      </c>
      <c r="O507" s="1" t="str">
        <f t="shared" si="53"/>
        <v>27 2012</v>
      </c>
      <c r="P507" s="1">
        <f t="shared" si="54"/>
        <v>22</v>
      </c>
      <c r="Q507" s="1">
        <f t="shared" ca="1" si="55"/>
        <v>4042</v>
      </c>
      <c r="S507" s="1">
        <f t="shared" si="49"/>
        <v>9005</v>
      </c>
    </row>
    <row r="508" spans="1:19" x14ac:dyDescent="0.2">
      <c r="A508" s="57" t="s">
        <v>234</v>
      </c>
      <c r="B508" s="57" t="s">
        <v>237</v>
      </c>
      <c r="C508" s="57" t="s">
        <v>238</v>
      </c>
      <c r="D508" s="58">
        <v>165.05</v>
      </c>
      <c r="E508" s="59">
        <v>41092</v>
      </c>
      <c r="F508" s="58">
        <v>9005</v>
      </c>
      <c r="G508" s="58">
        <v>2528</v>
      </c>
      <c r="H508" s="58">
        <v>1978</v>
      </c>
      <c r="I508" s="58">
        <v>9521</v>
      </c>
      <c r="J508" s="58">
        <v>0</v>
      </c>
      <c r="K508" s="1">
        <f t="shared" si="50"/>
        <v>326468.90000000002</v>
      </c>
      <c r="L508" s="1">
        <f t="shared" si="51"/>
        <v>1978</v>
      </c>
      <c r="M508" s="1">
        <f>VLOOKUP(B508,'[1]Срок Годности'!$A$2:$B$4,2,0)</f>
        <v>1000</v>
      </c>
      <c r="N508" s="60">
        <f t="shared" si="52"/>
        <v>2528</v>
      </c>
      <c r="O508" s="1" t="str">
        <f t="shared" si="53"/>
        <v>27 2012</v>
      </c>
      <c r="P508" s="1">
        <f t="shared" si="54"/>
        <v>22</v>
      </c>
      <c r="Q508" s="1">
        <f t="shared" ca="1" si="55"/>
        <v>4041</v>
      </c>
      <c r="S508" s="1">
        <f t="shared" si="49"/>
        <v>9521</v>
      </c>
    </row>
    <row r="509" spans="1:19" x14ac:dyDescent="0.2">
      <c r="A509" s="57" t="s">
        <v>234</v>
      </c>
      <c r="B509" s="57" t="s">
        <v>237</v>
      </c>
      <c r="C509" s="57" t="s">
        <v>238</v>
      </c>
      <c r="D509" s="58">
        <v>165.05</v>
      </c>
      <c r="E509" s="59">
        <v>41093</v>
      </c>
      <c r="F509" s="58">
        <v>9521</v>
      </c>
      <c r="G509" s="58">
        <v>394</v>
      </c>
      <c r="H509" s="58">
        <v>2027</v>
      </c>
      <c r="I509" s="58">
        <v>7860</v>
      </c>
      <c r="J509" s="58">
        <v>0</v>
      </c>
      <c r="K509" s="1">
        <f t="shared" si="50"/>
        <v>334556.35000000003</v>
      </c>
      <c r="L509" s="1">
        <f t="shared" si="51"/>
        <v>2027</v>
      </c>
      <c r="M509" s="1">
        <f>VLOOKUP(B509,'[1]Срок Годности'!$A$2:$B$4,2,0)</f>
        <v>1000</v>
      </c>
      <c r="N509" s="60">
        <f t="shared" si="52"/>
        <v>394</v>
      </c>
      <c r="O509" s="1" t="str">
        <f t="shared" si="53"/>
        <v>27 2012</v>
      </c>
      <c r="P509" s="1">
        <f t="shared" si="54"/>
        <v>22</v>
      </c>
      <c r="Q509" s="1">
        <f t="shared" ca="1" si="55"/>
        <v>4040</v>
      </c>
      <c r="S509" s="1">
        <f t="shared" si="49"/>
        <v>7860</v>
      </c>
    </row>
    <row r="510" spans="1:19" x14ac:dyDescent="0.2">
      <c r="A510" s="57" t="s">
        <v>234</v>
      </c>
      <c r="B510" s="57" t="s">
        <v>237</v>
      </c>
      <c r="C510" s="57" t="s">
        <v>238</v>
      </c>
      <c r="D510" s="58">
        <v>165.05</v>
      </c>
      <c r="E510" s="59">
        <v>41094</v>
      </c>
      <c r="F510" s="58">
        <v>7860</v>
      </c>
      <c r="G510" s="58">
        <v>2207</v>
      </c>
      <c r="H510" s="58">
        <v>2210</v>
      </c>
      <c r="I510" s="58">
        <v>7835</v>
      </c>
      <c r="J510" s="58">
        <v>0</v>
      </c>
      <c r="K510" s="1">
        <f t="shared" si="50"/>
        <v>364760.5</v>
      </c>
      <c r="L510" s="1">
        <f t="shared" si="51"/>
        <v>2210</v>
      </c>
      <c r="M510" s="1">
        <f>VLOOKUP(B510,'[1]Срок Годности'!$A$2:$B$4,2,0)</f>
        <v>1000</v>
      </c>
      <c r="N510" s="60">
        <f t="shared" si="52"/>
        <v>2207</v>
      </c>
      <c r="O510" s="1" t="str">
        <f t="shared" si="53"/>
        <v>27 2012</v>
      </c>
      <c r="P510" s="1">
        <f t="shared" si="54"/>
        <v>22</v>
      </c>
      <c r="Q510" s="1">
        <f t="shared" ca="1" si="55"/>
        <v>4039</v>
      </c>
      <c r="S510" s="1">
        <f t="shared" si="49"/>
        <v>7835</v>
      </c>
    </row>
    <row r="511" spans="1:19" x14ac:dyDescent="0.2">
      <c r="A511" s="57" t="s">
        <v>234</v>
      </c>
      <c r="B511" s="57" t="s">
        <v>237</v>
      </c>
      <c r="C511" s="57" t="s">
        <v>238</v>
      </c>
      <c r="D511" s="58">
        <v>165.05</v>
      </c>
      <c r="E511" s="59">
        <v>41095</v>
      </c>
      <c r="F511" s="58">
        <v>7835</v>
      </c>
      <c r="G511" s="58">
        <v>3237</v>
      </c>
      <c r="H511" s="58">
        <v>2296</v>
      </c>
      <c r="I511" s="58">
        <v>8769</v>
      </c>
      <c r="J511" s="58">
        <v>0</v>
      </c>
      <c r="K511" s="1">
        <f t="shared" si="50"/>
        <v>378954.80000000005</v>
      </c>
      <c r="L511" s="1">
        <f t="shared" si="51"/>
        <v>2296</v>
      </c>
      <c r="M511" s="1">
        <f>VLOOKUP(B511,'[1]Срок Годности'!$A$2:$B$4,2,0)</f>
        <v>1000</v>
      </c>
      <c r="N511" s="60">
        <f t="shared" si="52"/>
        <v>3237</v>
      </c>
      <c r="O511" s="1" t="str">
        <f t="shared" si="53"/>
        <v>27 2012</v>
      </c>
      <c r="P511" s="1">
        <f t="shared" si="54"/>
        <v>22</v>
      </c>
      <c r="Q511" s="1">
        <f t="shared" ca="1" si="55"/>
        <v>4038</v>
      </c>
      <c r="S511" s="1">
        <f t="shared" si="49"/>
        <v>8769</v>
      </c>
    </row>
    <row r="512" spans="1:19" x14ac:dyDescent="0.2">
      <c r="A512" s="57" t="s">
        <v>234</v>
      </c>
      <c r="B512" s="57" t="s">
        <v>237</v>
      </c>
      <c r="C512" s="57" t="s">
        <v>238</v>
      </c>
      <c r="D512" s="58">
        <v>165.05</v>
      </c>
      <c r="E512" s="59">
        <v>41096</v>
      </c>
      <c r="F512" s="58">
        <v>8769</v>
      </c>
      <c r="G512" s="58">
        <v>2622</v>
      </c>
      <c r="H512" s="58">
        <v>2746</v>
      </c>
      <c r="I512" s="58">
        <v>8613</v>
      </c>
      <c r="J512" s="58">
        <v>0</v>
      </c>
      <c r="K512" s="1">
        <f t="shared" si="50"/>
        <v>453227.30000000005</v>
      </c>
      <c r="L512" s="1">
        <f t="shared" si="51"/>
        <v>2746</v>
      </c>
      <c r="M512" s="1">
        <f>VLOOKUP(B512,'[1]Срок Годности'!$A$2:$B$4,2,0)</f>
        <v>1000</v>
      </c>
      <c r="N512" s="60">
        <f t="shared" si="52"/>
        <v>2622</v>
      </c>
      <c r="O512" s="1" t="str">
        <f t="shared" si="53"/>
        <v>27 2012</v>
      </c>
      <c r="P512" s="1">
        <f t="shared" si="54"/>
        <v>22</v>
      </c>
      <c r="Q512" s="1">
        <f t="shared" ca="1" si="55"/>
        <v>4037</v>
      </c>
      <c r="S512" s="1">
        <f t="shared" si="49"/>
        <v>8613</v>
      </c>
    </row>
    <row r="513" spans="1:19" x14ac:dyDescent="0.2">
      <c r="A513" s="57" t="s">
        <v>234</v>
      </c>
      <c r="B513" s="57" t="s">
        <v>237</v>
      </c>
      <c r="C513" s="57" t="s">
        <v>238</v>
      </c>
      <c r="D513" s="58">
        <v>165.05</v>
      </c>
      <c r="E513" s="59">
        <v>41097</v>
      </c>
      <c r="F513" s="58">
        <v>8613</v>
      </c>
      <c r="G513" s="58">
        <v>3002</v>
      </c>
      <c r="H513" s="58">
        <v>2473</v>
      </c>
      <c r="I513" s="58">
        <v>9115</v>
      </c>
      <c r="J513" s="58">
        <v>0</v>
      </c>
      <c r="K513" s="1">
        <f t="shared" si="50"/>
        <v>408168.65</v>
      </c>
      <c r="L513" s="1">
        <f t="shared" si="51"/>
        <v>2473</v>
      </c>
      <c r="M513" s="1">
        <f>VLOOKUP(B513,'[1]Срок Годности'!$A$2:$B$4,2,0)</f>
        <v>1000</v>
      </c>
      <c r="N513" s="60">
        <f t="shared" si="52"/>
        <v>3002</v>
      </c>
      <c r="O513" s="1" t="str">
        <f t="shared" si="53"/>
        <v>27 2012</v>
      </c>
      <c r="P513" s="1">
        <f t="shared" si="54"/>
        <v>22</v>
      </c>
      <c r="Q513" s="1">
        <f t="shared" ca="1" si="55"/>
        <v>4036</v>
      </c>
      <c r="S513" s="1">
        <f t="shared" si="49"/>
        <v>9115</v>
      </c>
    </row>
    <row r="514" spans="1:19" x14ac:dyDescent="0.2">
      <c r="A514" s="57" t="s">
        <v>234</v>
      </c>
      <c r="B514" s="57" t="s">
        <v>237</v>
      </c>
      <c r="C514" s="57" t="s">
        <v>238</v>
      </c>
      <c r="D514" s="58">
        <v>165.05</v>
      </c>
      <c r="E514" s="59">
        <v>41098</v>
      </c>
      <c r="F514" s="58">
        <v>9115</v>
      </c>
      <c r="G514" s="58">
        <v>2970</v>
      </c>
      <c r="H514" s="58">
        <v>2033</v>
      </c>
      <c r="I514" s="58">
        <v>10017</v>
      </c>
      <c r="J514" s="58">
        <v>0</v>
      </c>
      <c r="K514" s="1">
        <f t="shared" si="50"/>
        <v>335546.65</v>
      </c>
      <c r="L514" s="1">
        <f t="shared" si="51"/>
        <v>2033</v>
      </c>
      <c r="M514" s="1">
        <f>VLOOKUP(B514,'[1]Срок Годности'!$A$2:$B$4,2,0)</f>
        <v>1000</v>
      </c>
      <c r="N514" s="60">
        <f t="shared" si="52"/>
        <v>0</v>
      </c>
      <c r="O514" s="1" t="str">
        <f t="shared" si="53"/>
        <v>28 2012</v>
      </c>
      <c r="P514" s="1">
        <f t="shared" si="54"/>
        <v>22</v>
      </c>
      <c r="Q514" s="1">
        <f t="shared" ca="1" si="55"/>
        <v>4035</v>
      </c>
      <c r="S514" s="1">
        <f t="shared" si="49"/>
        <v>10017</v>
      </c>
    </row>
    <row r="515" spans="1:19" x14ac:dyDescent="0.2">
      <c r="A515" s="57" t="s">
        <v>234</v>
      </c>
      <c r="B515" s="57" t="s">
        <v>237</v>
      </c>
      <c r="C515" s="57" t="s">
        <v>238</v>
      </c>
      <c r="D515" s="58">
        <v>165.05</v>
      </c>
      <c r="E515" s="59">
        <v>41099</v>
      </c>
      <c r="F515" s="58">
        <v>10017</v>
      </c>
      <c r="G515" s="58">
        <v>3372</v>
      </c>
      <c r="H515" s="58">
        <v>2394</v>
      </c>
      <c r="I515" s="58">
        <v>10967</v>
      </c>
      <c r="J515" s="58">
        <v>0</v>
      </c>
      <c r="K515" s="1">
        <f t="shared" si="50"/>
        <v>395129.7</v>
      </c>
      <c r="L515" s="1">
        <f t="shared" si="51"/>
        <v>2394</v>
      </c>
      <c r="M515" s="1">
        <f>VLOOKUP(B515,'[1]Срок Годности'!$A$2:$B$4,2,0)</f>
        <v>1000</v>
      </c>
      <c r="N515" s="60">
        <f t="shared" si="52"/>
        <v>3372</v>
      </c>
      <c r="O515" s="1" t="str">
        <f t="shared" si="53"/>
        <v>28 2012</v>
      </c>
      <c r="P515" s="1">
        <f t="shared" si="54"/>
        <v>22</v>
      </c>
      <c r="Q515" s="1">
        <f t="shared" ca="1" si="55"/>
        <v>4034</v>
      </c>
      <c r="S515" s="1">
        <f t="shared" si="49"/>
        <v>10967</v>
      </c>
    </row>
    <row r="516" spans="1:19" x14ac:dyDescent="0.2">
      <c r="A516" s="57" t="s">
        <v>234</v>
      </c>
      <c r="B516" s="57" t="s">
        <v>237</v>
      </c>
      <c r="C516" s="57" t="s">
        <v>238</v>
      </c>
      <c r="D516" s="58">
        <v>165.05</v>
      </c>
      <c r="E516" s="59">
        <v>41100</v>
      </c>
      <c r="F516" s="58">
        <v>10967</v>
      </c>
      <c r="G516" s="58">
        <v>2436</v>
      </c>
      <c r="H516" s="58">
        <v>2401</v>
      </c>
      <c r="I516" s="58">
        <v>10968</v>
      </c>
      <c r="J516" s="58">
        <v>0</v>
      </c>
      <c r="K516" s="1">
        <f t="shared" si="50"/>
        <v>396285.05000000005</v>
      </c>
      <c r="L516" s="1">
        <f t="shared" si="51"/>
        <v>2401</v>
      </c>
      <c r="M516" s="1">
        <f>VLOOKUP(B516,'[1]Срок Годности'!$A$2:$B$4,2,0)</f>
        <v>1000</v>
      </c>
      <c r="N516" s="60">
        <f t="shared" si="52"/>
        <v>2436</v>
      </c>
      <c r="O516" s="1" t="str">
        <f t="shared" si="53"/>
        <v>28 2012</v>
      </c>
      <c r="P516" s="1">
        <f t="shared" si="54"/>
        <v>22</v>
      </c>
      <c r="Q516" s="1">
        <f t="shared" ca="1" si="55"/>
        <v>4033</v>
      </c>
      <c r="S516" s="1">
        <f t="shared" si="49"/>
        <v>10968</v>
      </c>
    </row>
    <row r="517" spans="1:19" x14ac:dyDescent="0.2">
      <c r="A517" s="57" t="s">
        <v>234</v>
      </c>
      <c r="B517" s="57" t="s">
        <v>237</v>
      </c>
      <c r="C517" s="57" t="s">
        <v>238</v>
      </c>
      <c r="D517" s="58">
        <v>165.05</v>
      </c>
      <c r="E517" s="59">
        <v>41101</v>
      </c>
      <c r="F517" s="58">
        <v>10968</v>
      </c>
      <c r="G517" s="58">
        <v>2484</v>
      </c>
      <c r="H517" s="58">
        <v>2580</v>
      </c>
      <c r="I517" s="58">
        <v>10849</v>
      </c>
      <c r="J517" s="58">
        <v>0</v>
      </c>
      <c r="K517" s="1">
        <f t="shared" si="50"/>
        <v>425829.00000000006</v>
      </c>
      <c r="L517" s="1">
        <f t="shared" si="51"/>
        <v>2580</v>
      </c>
      <c r="M517" s="1">
        <f>VLOOKUP(B517,'[1]Срок Годности'!$A$2:$B$4,2,0)</f>
        <v>1000</v>
      </c>
      <c r="N517" s="60">
        <f t="shared" si="52"/>
        <v>2484</v>
      </c>
      <c r="O517" s="1" t="str">
        <f t="shared" si="53"/>
        <v>28 2012</v>
      </c>
      <c r="P517" s="1">
        <f t="shared" si="54"/>
        <v>22</v>
      </c>
      <c r="Q517" s="1">
        <f t="shared" ca="1" si="55"/>
        <v>4032</v>
      </c>
      <c r="S517" s="1">
        <f t="shared" si="49"/>
        <v>10849</v>
      </c>
    </row>
    <row r="518" spans="1:19" x14ac:dyDescent="0.2">
      <c r="A518" s="57" t="s">
        <v>234</v>
      </c>
      <c r="B518" s="57" t="s">
        <v>237</v>
      </c>
      <c r="C518" s="57" t="s">
        <v>238</v>
      </c>
      <c r="D518" s="58">
        <v>165.05</v>
      </c>
      <c r="E518" s="59">
        <v>41102</v>
      </c>
      <c r="F518" s="58">
        <v>10849</v>
      </c>
      <c r="G518" s="58">
        <v>2744</v>
      </c>
      <c r="H518" s="58">
        <v>2637</v>
      </c>
      <c r="I518" s="58">
        <v>10932</v>
      </c>
      <c r="J518" s="58">
        <v>0</v>
      </c>
      <c r="K518" s="1">
        <f t="shared" si="50"/>
        <v>435236.85000000003</v>
      </c>
      <c r="L518" s="1">
        <f t="shared" si="51"/>
        <v>2637</v>
      </c>
      <c r="M518" s="1">
        <f>VLOOKUP(B518,'[1]Срок Годности'!$A$2:$B$4,2,0)</f>
        <v>1000</v>
      </c>
      <c r="N518" s="60">
        <f t="shared" si="52"/>
        <v>2744</v>
      </c>
      <c r="O518" s="1" t="str">
        <f t="shared" si="53"/>
        <v>28 2012</v>
      </c>
      <c r="P518" s="1">
        <f t="shared" si="54"/>
        <v>22</v>
      </c>
      <c r="Q518" s="1">
        <f t="shared" ca="1" si="55"/>
        <v>4031</v>
      </c>
      <c r="S518" s="1">
        <f t="shared" si="49"/>
        <v>10932</v>
      </c>
    </row>
    <row r="519" spans="1:19" x14ac:dyDescent="0.2">
      <c r="A519" s="57" t="s">
        <v>234</v>
      </c>
      <c r="B519" s="57" t="s">
        <v>237</v>
      </c>
      <c r="C519" s="57" t="s">
        <v>238</v>
      </c>
      <c r="D519" s="58">
        <v>165.05</v>
      </c>
      <c r="E519" s="59">
        <v>41103</v>
      </c>
      <c r="F519" s="58">
        <v>10932</v>
      </c>
      <c r="G519" s="58">
        <v>3030</v>
      </c>
      <c r="H519" s="58">
        <v>3076</v>
      </c>
      <c r="I519" s="58">
        <v>10851</v>
      </c>
      <c r="J519" s="58">
        <v>0</v>
      </c>
      <c r="K519" s="1">
        <f t="shared" si="50"/>
        <v>507693.80000000005</v>
      </c>
      <c r="L519" s="1">
        <f t="shared" si="51"/>
        <v>3076</v>
      </c>
      <c r="M519" s="1">
        <f>VLOOKUP(B519,'[1]Срок Годности'!$A$2:$B$4,2,0)</f>
        <v>1000</v>
      </c>
      <c r="N519" s="60">
        <f t="shared" si="52"/>
        <v>3030</v>
      </c>
      <c r="O519" s="1" t="str">
        <f t="shared" si="53"/>
        <v>28 2012</v>
      </c>
      <c r="P519" s="1">
        <f t="shared" si="54"/>
        <v>22</v>
      </c>
      <c r="Q519" s="1">
        <f t="shared" ca="1" si="55"/>
        <v>4030</v>
      </c>
      <c r="S519" s="1">
        <f t="shared" ref="S519:S582" si="56">I519-J519</f>
        <v>10851</v>
      </c>
    </row>
    <row r="520" spans="1:19" x14ac:dyDescent="0.2">
      <c r="A520" s="57" t="s">
        <v>234</v>
      </c>
      <c r="B520" s="57" t="s">
        <v>237</v>
      </c>
      <c r="C520" s="57" t="s">
        <v>238</v>
      </c>
      <c r="D520" s="58">
        <v>165.05</v>
      </c>
      <c r="E520" s="59">
        <v>41104</v>
      </c>
      <c r="F520" s="58">
        <v>10851</v>
      </c>
      <c r="G520" s="58">
        <v>2920</v>
      </c>
      <c r="H520" s="58">
        <v>3134</v>
      </c>
      <c r="I520" s="58">
        <v>10632</v>
      </c>
      <c r="J520" s="58">
        <v>0</v>
      </c>
      <c r="K520" s="1">
        <f t="shared" ref="K520:K583" si="57">H520*D520</f>
        <v>517266.7</v>
      </c>
      <c r="L520" s="1">
        <f t="shared" ref="L520:L583" si="58">IF(H520&gt;1000,H520,"")</f>
        <v>3134</v>
      </c>
      <c r="M520" s="1">
        <f>VLOOKUP(B520,'[1]Срок Годности'!$A$2:$B$4,2,0)</f>
        <v>1000</v>
      </c>
      <c r="N520" s="60">
        <f t="shared" ref="N520:N583" si="59">IF(WEEKDAY(E520) = 1, 0, G520)</f>
        <v>2920</v>
      </c>
      <c r="O520" s="1" t="str">
        <f t="shared" ref="O520:O583" si="60">WEEKNUM(E520) &amp; " " &amp; YEAR(E520)</f>
        <v>28 2012</v>
      </c>
      <c r="P520" s="1">
        <f t="shared" ref="P520:P583" si="61">LEN(C520)</f>
        <v>22</v>
      </c>
      <c r="Q520" s="1">
        <f t="shared" ref="Q520:Q583" ca="1" si="62">DATEDIF(E520,NOW(),"D")</f>
        <v>4029</v>
      </c>
      <c r="S520" s="1">
        <f t="shared" si="56"/>
        <v>10632</v>
      </c>
    </row>
    <row r="521" spans="1:19" x14ac:dyDescent="0.2">
      <c r="A521" s="57" t="s">
        <v>234</v>
      </c>
      <c r="B521" s="57" t="s">
        <v>237</v>
      </c>
      <c r="C521" s="57" t="s">
        <v>238</v>
      </c>
      <c r="D521" s="58">
        <v>165.05</v>
      </c>
      <c r="E521" s="59">
        <v>41105</v>
      </c>
      <c r="F521" s="58">
        <v>10632</v>
      </c>
      <c r="G521" s="58">
        <v>3823</v>
      </c>
      <c r="H521" s="58">
        <v>3564</v>
      </c>
      <c r="I521" s="58">
        <v>10895</v>
      </c>
      <c r="J521" s="58">
        <v>0</v>
      </c>
      <c r="K521" s="1">
        <f t="shared" si="57"/>
        <v>588238.20000000007</v>
      </c>
      <c r="L521" s="1">
        <f t="shared" si="58"/>
        <v>3564</v>
      </c>
      <c r="M521" s="1">
        <f>VLOOKUP(B521,'[1]Срок Годности'!$A$2:$B$4,2,0)</f>
        <v>1000</v>
      </c>
      <c r="N521" s="60">
        <f t="shared" si="59"/>
        <v>0</v>
      </c>
      <c r="O521" s="1" t="str">
        <f t="shared" si="60"/>
        <v>29 2012</v>
      </c>
      <c r="P521" s="1">
        <f t="shared" si="61"/>
        <v>22</v>
      </c>
      <c r="Q521" s="1">
        <f t="shared" ca="1" si="62"/>
        <v>4028</v>
      </c>
      <c r="S521" s="1">
        <f t="shared" si="56"/>
        <v>10895</v>
      </c>
    </row>
    <row r="522" spans="1:19" x14ac:dyDescent="0.2">
      <c r="A522" s="57" t="s">
        <v>234</v>
      </c>
      <c r="B522" s="57" t="s">
        <v>237</v>
      </c>
      <c r="C522" s="57" t="s">
        <v>238</v>
      </c>
      <c r="D522" s="58">
        <v>165.05</v>
      </c>
      <c r="E522" s="59">
        <v>41106</v>
      </c>
      <c r="F522" s="58">
        <v>10895</v>
      </c>
      <c r="G522" s="58">
        <v>1243</v>
      </c>
      <c r="H522" s="58">
        <v>3626</v>
      </c>
      <c r="I522" s="58">
        <v>8499</v>
      </c>
      <c r="J522" s="58">
        <v>0</v>
      </c>
      <c r="K522" s="1">
        <f t="shared" si="57"/>
        <v>598471.30000000005</v>
      </c>
      <c r="L522" s="1">
        <f t="shared" si="58"/>
        <v>3626</v>
      </c>
      <c r="M522" s="1">
        <f>VLOOKUP(B522,'[1]Срок Годности'!$A$2:$B$4,2,0)</f>
        <v>1000</v>
      </c>
      <c r="N522" s="60">
        <f t="shared" si="59"/>
        <v>1243</v>
      </c>
      <c r="O522" s="1" t="str">
        <f t="shared" si="60"/>
        <v>29 2012</v>
      </c>
      <c r="P522" s="1">
        <f t="shared" si="61"/>
        <v>22</v>
      </c>
      <c r="Q522" s="1">
        <f t="shared" ca="1" si="62"/>
        <v>4027</v>
      </c>
      <c r="S522" s="1">
        <f t="shared" si="56"/>
        <v>8499</v>
      </c>
    </row>
    <row r="523" spans="1:19" x14ac:dyDescent="0.2">
      <c r="A523" s="57" t="s">
        <v>234</v>
      </c>
      <c r="B523" s="57" t="s">
        <v>237</v>
      </c>
      <c r="C523" s="57" t="s">
        <v>238</v>
      </c>
      <c r="D523" s="58">
        <v>165.05</v>
      </c>
      <c r="E523" s="59">
        <v>41107</v>
      </c>
      <c r="F523" s="58">
        <v>8499</v>
      </c>
      <c r="G523" s="58">
        <v>356</v>
      </c>
      <c r="H523" s="58">
        <v>3460</v>
      </c>
      <c r="I523" s="58">
        <v>5401</v>
      </c>
      <c r="J523" s="58">
        <v>0</v>
      </c>
      <c r="K523" s="1">
        <f t="shared" si="57"/>
        <v>571073</v>
      </c>
      <c r="L523" s="1">
        <f t="shared" si="58"/>
        <v>3460</v>
      </c>
      <c r="M523" s="1">
        <f>VLOOKUP(B523,'[1]Срок Годности'!$A$2:$B$4,2,0)</f>
        <v>1000</v>
      </c>
      <c r="N523" s="60">
        <f t="shared" si="59"/>
        <v>356</v>
      </c>
      <c r="O523" s="1" t="str">
        <f t="shared" si="60"/>
        <v>29 2012</v>
      </c>
      <c r="P523" s="1">
        <f t="shared" si="61"/>
        <v>22</v>
      </c>
      <c r="Q523" s="1">
        <f t="shared" ca="1" si="62"/>
        <v>4026</v>
      </c>
      <c r="S523" s="1">
        <f t="shared" si="56"/>
        <v>5401</v>
      </c>
    </row>
    <row r="524" spans="1:19" x14ac:dyDescent="0.2">
      <c r="A524" s="57" t="s">
        <v>242</v>
      </c>
      <c r="B524" s="57" t="s">
        <v>225</v>
      </c>
      <c r="C524" s="57" t="s">
        <v>226</v>
      </c>
      <c r="D524" s="58">
        <v>317.08</v>
      </c>
      <c r="E524" s="59">
        <v>41061</v>
      </c>
      <c r="F524" s="58">
        <v>3903</v>
      </c>
      <c r="G524" s="58">
        <v>568</v>
      </c>
      <c r="H524" s="58">
        <v>610</v>
      </c>
      <c r="I524" s="58">
        <v>3841</v>
      </c>
      <c r="J524" s="58">
        <v>0</v>
      </c>
      <c r="K524" s="1">
        <f t="shared" si="57"/>
        <v>193418.8</v>
      </c>
      <c r="L524" s="1" t="str">
        <f t="shared" si="58"/>
        <v/>
      </c>
      <c r="M524" s="1">
        <f>VLOOKUP(B524,'[1]Срок Годности'!$A$2:$B$4,2,0)</f>
        <v>500</v>
      </c>
      <c r="N524" s="60">
        <f t="shared" si="59"/>
        <v>568</v>
      </c>
      <c r="O524" s="1" t="str">
        <f t="shared" si="60"/>
        <v>22 2012</v>
      </c>
      <c r="P524" s="1">
        <f t="shared" si="61"/>
        <v>23</v>
      </c>
      <c r="Q524" s="1">
        <f t="shared" ca="1" si="62"/>
        <v>4072</v>
      </c>
      <c r="S524" s="1">
        <f t="shared" si="56"/>
        <v>3841</v>
      </c>
    </row>
    <row r="525" spans="1:19" x14ac:dyDescent="0.2">
      <c r="A525" s="57" t="s">
        <v>242</v>
      </c>
      <c r="B525" s="57" t="s">
        <v>225</v>
      </c>
      <c r="C525" s="57" t="s">
        <v>226</v>
      </c>
      <c r="D525" s="58">
        <v>317.08</v>
      </c>
      <c r="E525" s="59">
        <v>41062</v>
      </c>
      <c r="F525" s="58">
        <v>3841</v>
      </c>
      <c r="G525" s="58">
        <v>685</v>
      </c>
      <c r="H525" s="58">
        <v>603</v>
      </c>
      <c r="I525" s="58">
        <v>3918</v>
      </c>
      <c r="J525" s="58">
        <v>0</v>
      </c>
      <c r="K525" s="1">
        <f t="shared" si="57"/>
        <v>191199.24</v>
      </c>
      <c r="L525" s="1" t="str">
        <f t="shared" si="58"/>
        <v/>
      </c>
      <c r="M525" s="1">
        <f>VLOOKUP(B525,'[1]Срок Годности'!$A$2:$B$4,2,0)</f>
        <v>500</v>
      </c>
      <c r="N525" s="60">
        <f t="shared" si="59"/>
        <v>685</v>
      </c>
      <c r="O525" s="1" t="str">
        <f t="shared" si="60"/>
        <v>22 2012</v>
      </c>
      <c r="P525" s="1">
        <f t="shared" si="61"/>
        <v>23</v>
      </c>
      <c r="Q525" s="1">
        <f t="shared" ca="1" si="62"/>
        <v>4071</v>
      </c>
      <c r="S525" s="1">
        <f t="shared" si="56"/>
        <v>3918</v>
      </c>
    </row>
    <row r="526" spans="1:19" x14ac:dyDescent="0.2">
      <c r="A526" s="57" t="s">
        <v>242</v>
      </c>
      <c r="B526" s="57" t="s">
        <v>225</v>
      </c>
      <c r="C526" s="57" t="s">
        <v>226</v>
      </c>
      <c r="D526" s="58">
        <v>317.08</v>
      </c>
      <c r="E526" s="59">
        <v>41063</v>
      </c>
      <c r="F526" s="58">
        <v>3918</v>
      </c>
      <c r="G526" s="58">
        <v>471</v>
      </c>
      <c r="H526" s="58">
        <v>632</v>
      </c>
      <c r="I526" s="58">
        <v>3759</v>
      </c>
      <c r="J526" s="58">
        <v>0</v>
      </c>
      <c r="K526" s="1">
        <f t="shared" si="57"/>
        <v>200394.56</v>
      </c>
      <c r="L526" s="1" t="str">
        <f t="shared" si="58"/>
        <v/>
      </c>
      <c r="M526" s="1">
        <f>VLOOKUP(B526,'[1]Срок Годности'!$A$2:$B$4,2,0)</f>
        <v>500</v>
      </c>
      <c r="N526" s="60">
        <f t="shared" si="59"/>
        <v>0</v>
      </c>
      <c r="O526" s="1" t="str">
        <f t="shared" si="60"/>
        <v>23 2012</v>
      </c>
      <c r="P526" s="1">
        <f t="shared" si="61"/>
        <v>23</v>
      </c>
      <c r="Q526" s="1">
        <f t="shared" ca="1" si="62"/>
        <v>4070</v>
      </c>
      <c r="S526" s="1">
        <f t="shared" si="56"/>
        <v>3759</v>
      </c>
    </row>
    <row r="527" spans="1:19" x14ac:dyDescent="0.2">
      <c r="A527" s="57" t="s">
        <v>242</v>
      </c>
      <c r="B527" s="57" t="s">
        <v>225</v>
      </c>
      <c r="C527" s="57" t="s">
        <v>226</v>
      </c>
      <c r="D527" s="58">
        <v>317.08</v>
      </c>
      <c r="E527" s="59">
        <v>41064</v>
      </c>
      <c r="F527" s="58">
        <v>3759</v>
      </c>
      <c r="G527" s="58">
        <v>471</v>
      </c>
      <c r="H527" s="58">
        <v>771</v>
      </c>
      <c r="I527" s="58">
        <v>3445</v>
      </c>
      <c r="J527" s="58">
        <v>0</v>
      </c>
      <c r="K527" s="1">
        <f t="shared" si="57"/>
        <v>244468.68</v>
      </c>
      <c r="L527" s="1" t="str">
        <f t="shared" si="58"/>
        <v/>
      </c>
      <c r="M527" s="1">
        <f>VLOOKUP(B527,'[1]Срок Годности'!$A$2:$B$4,2,0)</f>
        <v>500</v>
      </c>
      <c r="N527" s="60">
        <f t="shared" si="59"/>
        <v>471</v>
      </c>
      <c r="O527" s="1" t="str">
        <f t="shared" si="60"/>
        <v>23 2012</v>
      </c>
      <c r="P527" s="1">
        <f t="shared" si="61"/>
        <v>23</v>
      </c>
      <c r="Q527" s="1">
        <f t="shared" ca="1" si="62"/>
        <v>4069</v>
      </c>
      <c r="S527" s="1">
        <f t="shared" si="56"/>
        <v>3445</v>
      </c>
    </row>
    <row r="528" spans="1:19" x14ac:dyDescent="0.2">
      <c r="A528" s="57" t="s">
        <v>242</v>
      </c>
      <c r="B528" s="57" t="s">
        <v>225</v>
      </c>
      <c r="C528" s="57" t="s">
        <v>226</v>
      </c>
      <c r="D528" s="58">
        <v>317.08</v>
      </c>
      <c r="E528" s="59">
        <v>41065</v>
      </c>
      <c r="F528" s="58">
        <v>3445</v>
      </c>
      <c r="G528" s="58">
        <v>555</v>
      </c>
      <c r="H528" s="58">
        <v>878</v>
      </c>
      <c r="I528" s="58">
        <v>3120</v>
      </c>
      <c r="J528" s="58">
        <v>0</v>
      </c>
      <c r="K528" s="1">
        <f t="shared" si="57"/>
        <v>278396.24</v>
      </c>
      <c r="L528" s="1" t="str">
        <f t="shared" si="58"/>
        <v/>
      </c>
      <c r="M528" s="1">
        <f>VLOOKUP(B528,'[1]Срок Годности'!$A$2:$B$4,2,0)</f>
        <v>500</v>
      </c>
      <c r="N528" s="60">
        <f t="shared" si="59"/>
        <v>555</v>
      </c>
      <c r="O528" s="1" t="str">
        <f t="shared" si="60"/>
        <v>23 2012</v>
      </c>
      <c r="P528" s="1">
        <f t="shared" si="61"/>
        <v>23</v>
      </c>
      <c r="Q528" s="1">
        <f t="shared" ca="1" si="62"/>
        <v>4068</v>
      </c>
      <c r="S528" s="1">
        <f t="shared" si="56"/>
        <v>3120</v>
      </c>
    </row>
    <row r="529" spans="1:19" x14ac:dyDescent="0.2">
      <c r="A529" s="57" t="s">
        <v>242</v>
      </c>
      <c r="B529" s="57" t="s">
        <v>225</v>
      </c>
      <c r="C529" s="57" t="s">
        <v>226</v>
      </c>
      <c r="D529" s="58">
        <v>317.08</v>
      </c>
      <c r="E529" s="59">
        <v>41066</v>
      </c>
      <c r="F529" s="58">
        <v>3120</v>
      </c>
      <c r="G529" s="58">
        <v>-2</v>
      </c>
      <c r="H529" s="58">
        <v>743</v>
      </c>
      <c r="I529" s="58">
        <v>2372</v>
      </c>
      <c r="J529" s="58">
        <v>0</v>
      </c>
      <c r="K529" s="1">
        <f t="shared" si="57"/>
        <v>235590.44</v>
      </c>
      <c r="L529" s="1" t="str">
        <f t="shared" si="58"/>
        <v/>
      </c>
      <c r="M529" s="1">
        <f>VLOOKUP(B529,'[1]Срок Годности'!$A$2:$B$4,2,0)</f>
        <v>500</v>
      </c>
      <c r="N529" s="60">
        <f t="shared" si="59"/>
        <v>-2</v>
      </c>
      <c r="O529" s="1" t="str">
        <f t="shared" si="60"/>
        <v>23 2012</v>
      </c>
      <c r="P529" s="1">
        <f t="shared" si="61"/>
        <v>23</v>
      </c>
      <c r="Q529" s="1">
        <f t="shared" ca="1" si="62"/>
        <v>4067</v>
      </c>
      <c r="S529" s="1">
        <f t="shared" si="56"/>
        <v>2372</v>
      </c>
    </row>
    <row r="530" spans="1:19" x14ac:dyDescent="0.2">
      <c r="A530" s="57" t="s">
        <v>242</v>
      </c>
      <c r="B530" s="57" t="s">
        <v>225</v>
      </c>
      <c r="C530" s="57" t="s">
        <v>226</v>
      </c>
      <c r="D530" s="58">
        <v>317.08</v>
      </c>
      <c r="E530" s="59">
        <v>41067</v>
      </c>
      <c r="F530" s="58">
        <v>2372</v>
      </c>
      <c r="G530" s="58">
        <v>25</v>
      </c>
      <c r="H530" s="58">
        <v>610</v>
      </c>
      <c r="I530" s="58">
        <v>1790</v>
      </c>
      <c r="J530" s="58">
        <v>0</v>
      </c>
      <c r="K530" s="1">
        <f t="shared" si="57"/>
        <v>193418.8</v>
      </c>
      <c r="L530" s="1" t="str">
        <f t="shared" si="58"/>
        <v/>
      </c>
      <c r="M530" s="1">
        <f>VLOOKUP(B530,'[1]Срок Годности'!$A$2:$B$4,2,0)</f>
        <v>500</v>
      </c>
      <c r="N530" s="60">
        <f t="shared" si="59"/>
        <v>25</v>
      </c>
      <c r="O530" s="1" t="str">
        <f t="shared" si="60"/>
        <v>23 2012</v>
      </c>
      <c r="P530" s="1">
        <f t="shared" si="61"/>
        <v>23</v>
      </c>
      <c r="Q530" s="1">
        <f t="shared" ca="1" si="62"/>
        <v>4066</v>
      </c>
      <c r="S530" s="1">
        <f t="shared" si="56"/>
        <v>1790</v>
      </c>
    </row>
    <row r="531" spans="1:19" x14ac:dyDescent="0.2">
      <c r="A531" s="57" t="s">
        <v>242</v>
      </c>
      <c r="B531" s="57" t="s">
        <v>225</v>
      </c>
      <c r="C531" s="57" t="s">
        <v>226</v>
      </c>
      <c r="D531" s="58">
        <v>317.08</v>
      </c>
      <c r="E531" s="59">
        <v>41068</v>
      </c>
      <c r="F531" s="58">
        <v>1790</v>
      </c>
      <c r="G531" s="58">
        <v>1937</v>
      </c>
      <c r="H531" s="58">
        <v>515</v>
      </c>
      <c r="I531" s="58">
        <v>3198</v>
      </c>
      <c r="J531" s="58">
        <v>0</v>
      </c>
      <c r="K531" s="1">
        <f t="shared" si="57"/>
        <v>163296.19999999998</v>
      </c>
      <c r="L531" s="1" t="str">
        <f t="shared" si="58"/>
        <v/>
      </c>
      <c r="M531" s="1">
        <f>VLOOKUP(B531,'[1]Срок Годности'!$A$2:$B$4,2,0)</f>
        <v>500</v>
      </c>
      <c r="N531" s="60">
        <f t="shared" si="59"/>
        <v>1937</v>
      </c>
      <c r="O531" s="1" t="str">
        <f t="shared" si="60"/>
        <v>23 2012</v>
      </c>
      <c r="P531" s="1">
        <f t="shared" si="61"/>
        <v>23</v>
      </c>
      <c r="Q531" s="1">
        <f t="shared" ca="1" si="62"/>
        <v>4065</v>
      </c>
      <c r="S531" s="1">
        <f t="shared" si="56"/>
        <v>3198</v>
      </c>
    </row>
    <row r="532" spans="1:19" x14ac:dyDescent="0.2">
      <c r="A532" s="57" t="s">
        <v>242</v>
      </c>
      <c r="B532" s="57" t="s">
        <v>225</v>
      </c>
      <c r="C532" s="57" t="s">
        <v>226</v>
      </c>
      <c r="D532" s="58">
        <v>317.08</v>
      </c>
      <c r="E532" s="59">
        <v>41069</v>
      </c>
      <c r="F532" s="58">
        <v>3198</v>
      </c>
      <c r="G532" s="58">
        <v>532</v>
      </c>
      <c r="H532" s="58">
        <v>585</v>
      </c>
      <c r="I532" s="58">
        <v>3140</v>
      </c>
      <c r="J532" s="58">
        <v>0</v>
      </c>
      <c r="K532" s="1">
        <f t="shared" si="57"/>
        <v>185491.8</v>
      </c>
      <c r="L532" s="1" t="str">
        <f t="shared" si="58"/>
        <v/>
      </c>
      <c r="M532" s="1">
        <f>VLOOKUP(B532,'[1]Срок Годности'!$A$2:$B$4,2,0)</f>
        <v>500</v>
      </c>
      <c r="N532" s="60">
        <f t="shared" si="59"/>
        <v>532</v>
      </c>
      <c r="O532" s="1" t="str">
        <f t="shared" si="60"/>
        <v>23 2012</v>
      </c>
      <c r="P532" s="1">
        <f t="shared" si="61"/>
        <v>23</v>
      </c>
      <c r="Q532" s="1">
        <f t="shared" ca="1" si="62"/>
        <v>4064</v>
      </c>
      <c r="S532" s="1">
        <f t="shared" si="56"/>
        <v>3140</v>
      </c>
    </row>
    <row r="533" spans="1:19" x14ac:dyDescent="0.2">
      <c r="A533" s="57" t="s">
        <v>242</v>
      </c>
      <c r="B533" s="57" t="s">
        <v>225</v>
      </c>
      <c r="C533" s="57" t="s">
        <v>226</v>
      </c>
      <c r="D533" s="58">
        <v>317.08</v>
      </c>
      <c r="E533" s="59">
        <v>41070</v>
      </c>
      <c r="F533" s="58">
        <v>3140</v>
      </c>
      <c r="G533" s="58">
        <v>696</v>
      </c>
      <c r="H533" s="58">
        <v>412</v>
      </c>
      <c r="I533" s="58">
        <v>3412</v>
      </c>
      <c r="J533" s="58">
        <v>0</v>
      </c>
      <c r="K533" s="1">
        <f t="shared" si="57"/>
        <v>130636.95999999999</v>
      </c>
      <c r="L533" s="1" t="str">
        <f t="shared" si="58"/>
        <v/>
      </c>
      <c r="M533" s="1">
        <f>VLOOKUP(B533,'[1]Срок Годности'!$A$2:$B$4,2,0)</f>
        <v>500</v>
      </c>
      <c r="N533" s="60">
        <f t="shared" si="59"/>
        <v>0</v>
      </c>
      <c r="O533" s="1" t="str">
        <f t="shared" si="60"/>
        <v>24 2012</v>
      </c>
      <c r="P533" s="1">
        <f t="shared" si="61"/>
        <v>23</v>
      </c>
      <c r="Q533" s="1">
        <f t="shared" ca="1" si="62"/>
        <v>4063</v>
      </c>
      <c r="S533" s="1">
        <f t="shared" si="56"/>
        <v>3412</v>
      </c>
    </row>
    <row r="534" spans="1:19" x14ac:dyDescent="0.2">
      <c r="A534" s="57" t="s">
        <v>242</v>
      </c>
      <c r="B534" s="57" t="s">
        <v>225</v>
      </c>
      <c r="C534" s="57" t="s">
        <v>226</v>
      </c>
      <c r="D534" s="58">
        <v>317.08</v>
      </c>
      <c r="E534" s="59">
        <v>41071</v>
      </c>
      <c r="F534" s="58">
        <v>3412</v>
      </c>
      <c r="G534" s="58">
        <v>1202</v>
      </c>
      <c r="H534" s="58">
        <v>385</v>
      </c>
      <c r="I534" s="58">
        <v>4205</v>
      </c>
      <c r="J534" s="58">
        <v>0</v>
      </c>
      <c r="K534" s="1">
        <f t="shared" si="57"/>
        <v>122075.79999999999</v>
      </c>
      <c r="L534" s="1" t="str">
        <f t="shared" si="58"/>
        <v/>
      </c>
      <c r="M534" s="1">
        <f>VLOOKUP(B534,'[1]Срок Годности'!$A$2:$B$4,2,0)</f>
        <v>500</v>
      </c>
      <c r="N534" s="60">
        <f t="shared" si="59"/>
        <v>1202</v>
      </c>
      <c r="O534" s="1" t="str">
        <f t="shared" si="60"/>
        <v>24 2012</v>
      </c>
      <c r="P534" s="1">
        <f t="shared" si="61"/>
        <v>23</v>
      </c>
      <c r="Q534" s="1">
        <f t="shared" ca="1" si="62"/>
        <v>4062</v>
      </c>
      <c r="S534" s="1">
        <f t="shared" si="56"/>
        <v>4205</v>
      </c>
    </row>
    <row r="535" spans="1:19" x14ac:dyDescent="0.2">
      <c r="A535" s="57" t="s">
        <v>242</v>
      </c>
      <c r="B535" s="57" t="s">
        <v>225</v>
      </c>
      <c r="C535" s="57" t="s">
        <v>226</v>
      </c>
      <c r="D535" s="58">
        <v>317.08</v>
      </c>
      <c r="E535" s="59">
        <v>41072</v>
      </c>
      <c r="F535" s="58">
        <v>4205</v>
      </c>
      <c r="G535" s="58">
        <v>608</v>
      </c>
      <c r="H535" s="58">
        <v>481</v>
      </c>
      <c r="I535" s="58">
        <v>4306</v>
      </c>
      <c r="J535" s="58">
        <v>0</v>
      </c>
      <c r="K535" s="1">
        <f t="shared" si="57"/>
        <v>152515.47999999998</v>
      </c>
      <c r="L535" s="1" t="str">
        <f t="shared" si="58"/>
        <v/>
      </c>
      <c r="M535" s="1">
        <f>VLOOKUP(B535,'[1]Срок Годности'!$A$2:$B$4,2,0)</f>
        <v>500</v>
      </c>
      <c r="N535" s="60">
        <f t="shared" si="59"/>
        <v>608</v>
      </c>
      <c r="O535" s="1" t="str">
        <f t="shared" si="60"/>
        <v>24 2012</v>
      </c>
      <c r="P535" s="1">
        <f t="shared" si="61"/>
        <v>23</v>
      </c>
      <c r="Q535" s="1">
        <f t="shared" ca="1" si="62"/>
        <v>4061</v>
      </c>
      <c r="S535" s="1">
        <f t="shared" si="56"/>
        <v>4306</v>
      </c>
    </row>
    <row r="536" spans="1:19" x14ac:dyDescent="0.2">
      <c r="A536" s="57" t="s">
        <v>242</v>
      </c>
      <c r="B536" s="57" t="s">
        <v>225</v>
      </c>
      <c r="C536" s="57" t="s">
        <v>226</v>
      </c>
      <c r="D536" s="58">
        <v>317.08</v>
      </c>
      <c r="E536" s="59">
        <v>41073</v>
      </c>
      <c r="F536" s="58">
        <v>4306</v>
      </c>
      <c r="G536" s="58">
        <v>382</v>
      </c>
      <c r="H536" s="58">
        <v>504</v>
      </c>
      <c r="I536" s="58">
        <v>4182</v>
      </c>
      <c r="J536" s="58">
        <v>0</v>
      </c>
      <c r="K536" s="1">
        <f t="shared" si="57"/>
        <v>159808.31999999998</v>
      </c>
      <c r="L536" s="1" t="str">
        <f t="shared" si="58"/>
        <v/>
      </c>
      <c r="M536" s="1">
        <f>VLOOKUP(B536,'[1]Срок Годности'!$A$2:$B$4,2,0)</f>
        <v>500</v>
      </c>
      <c r="N536" s="60">
        <f t="shared" si="59"/>
        <v>382</v>
      </c>
      <c r="O536" s="1" t="str">
        <f t="shared" si="60"/>
        <v>24 2012</v>
      </c>
      <c r="P536" s="1">
        <f t="shared" si="61"/>
        <v>23</v>
      </c>
      <c r="Q536" s="1">
        <f t="shared" ca="1" si="62"/>
        <v>4060</v>
      </c>
      <c r="S536" s="1">
        <f t="shared" si="56"/>
        <v>4182</v>
      </c>
    </row>
    <row r="537" spans="1:19" x14ac:dyDescent="0.2">
      <c r="A537" s="57" t="s">
        <v>242</v>
      </c>
      <c r="B537" s="57" t="s">
        <v>225</v>
      </c>
      <c r="C537" s="57" t="s">
        <v>226</v>
      </c>
      <c r="D537" s="58">
        <v>317.08</v>
      </c>
      <c r="E537" s="59">
        <v>41074</v>
      </c>
      <c r="F537" s="58">
        <v>4182</v>
      </c>
      <c r="G537" s="58">
        <v>507</v>
      </c>
      <c r="H537" s="58">
        <v>559</v>
      </c>
      <c r="I537" s="58">
        <v>4113</v>
      </c>
      <c r="J537" s="58">
        <v>0</v>
      </c>
      <c r="K537" s="1">
        <f t="shared" si="57"/>
        <v>177247.72</v>
      </c>
      <c r="L537" s="1" t="str">
        <f t="shared" si="58"/>
        <v/>
      </c>
      <c r="M537" s="1">
        <f>VLOOKUP(B537,'[1]Срок Годности'!$A$2:$B$4,2,0)</f>
        <v>500</v>
      </c>
      <c r="N537" s="60">
        <f t="shared" si="59"/>
        <v>507</v>
      </c>
      <c r="O537" s="1" t="str">
        <f t="shared" si="60"/>
        <v>24 2012</v>
      </c>
      <c r="P537" s="1">
        <f t="shared" si="61"/>
        <v>23</v>
      </c>
      <c r="Q537" s="1">
        <f t="shared" ca="1" si="62"/>
        <v>4059</v>
      </c>
      <c r="S537" s="1">
        <f t="shared" si="56"/>
        <v>4113</v>
      </c>
    </row>
    <row r="538" spans="1:19" x14ac:dyDescent="0.2">
      <c r="A538" s="57" t="s">
        <v>242</v>
      </c>
      <c r="B538" s="57" t="s">
        <v>225</v>
      </c>
      <c r="C538" s="57" t="s">
        <v>226</v>
      </c>
      <c r="D538" s="58">
        <v>317.08</v>
      </c>
      <c r="E538" s="59">
        <v>41075</v>
      </c>
      <c r="F538" s="58">
        <v>4113</v>
      </c>
      <c r="G538" s="58">
        <v>513</v>
      </c>
      <c r="H538" s="58">
        <v>701</v>
      </c>
      <c r="I538" s="58">
        <v>3914</v>
      </c>
      <c r="J538" s="58">
        <v>0</v>
      </c>
      <c r="K538" s="1">
        <f t="shared" si="57"/>
        <v>222273.08</v>
      </c>
      <c r="L538" s="1" t="str">
        <f t="shared" si="58"/>
        <v/>
      </c>
      <c r="M538" s="1">
        <f>VLOOKUP(B538,'[1]Срок Годности'!$A$2:$B$4,2,0)</f>
        <v>500</v>
      </c>
      <c r="N538" s="60">
        <f t="shared" si="59"/>
        <v>513</v>
      </c>
      <c r="O538" s="1" t="str">
        <f t="shared" si="60"/>
        <v>24 2012</v>
      </c>
      <c r="P538" s="1">
        <f t="shared" si="61"/>
        <v>23</v>
      </c>
      <c r="Q538" s="1">
        <f t="shared" ca="1" si="62"/>
        <v>4058</v>
      </c>
      <c r="S538" s="1">
        <f t="shared" si="56"/>
        <v>3914</v>
      </c>
    </row>
    <row r="539" spans="1:19" x14ac:dyDescent="0.2">
      <c r="A539" s="57" t="s">
        <v>242</v>
      </c>
      <c r="B539" s="57" t="s">
        <v>225</v>
      </c>
      <c r="C539" s="57" t="s">
        <v>226</v>
      </c>
      <c r="D539" s="58">
        <v>317.08</v>
      </c>
      <c r="E539" s="59">
        <v>41076</v>
      </c>
      <c r="F539" s="58">
        <v>3914</v>
      </c>
      <c r="G539" s="58">
        <v>548</v>
      </c>
      <c r="H539" s="58">
        <v>708</v>
      </c>
      <c r="I539" s="58">
        <v>3738</v>
      </c>
      <c r="J539" s="58">
        <v>0</v>
      </c>
      <c r="K539" s="1">
        <f t="shared" si="57"/>
        <v>224492.63999999998</v>
      </c>
      <c r="L539" s="1" t="str">
        <f t="shared" si="58"/>
        <v/>
      </c>
      <c r="M539" s="1">
        <f>VLOOKUP(B539,'[1]Срок Годности'!$A$2:$B$4,2,0)</f>
        <v>500</v>
      </c>
      <c r="N539" s="60">
        <f t="shared" si="59"/>
        <v>548</v>
      </c>
      <c r="O539" s="1" t="str">
        <f t="shared" si="60"/>
        <v>24 2012</v>
      </c>
      <c r="P539" s="1">
        <f t="shared" si="61"/>
        <v>23</v>
      </c>
      <c r="Q539" s="1">
        <f t="shared" ca="1" si="62"/>
        <v>4057</v>
      </c>
      <c r="S539" s="1">
        <f t="shared" si="56"/>
        <v>3738</v>
      </c>
    </row>
    <row r="540" spans="1:19" x14ac:dyDescent="0.2">
      <c r="A540" s="57" t="s">
        <v>242</v>
      </c>
      <c r="B540" s="57" t="s">
        <v>225</v>
      </c>
      <c r="C540" s="57" t="s">
        <v>226</v>
      </c>
      <c r="D540" s="58">
        <v>317.08</v>
      </c>
      <c r="E540" s="59">
        <v>41077</v>
      </c>
      <c r="F540" s="58">
        <v>3738</v>
      </c>
      <c r="G540" s="58">
        <v>610</v>
      </c>
      <c r="H540" s="58">
        <v>810</v>
      </c>
      <c r="I540" s="58">
        <v>3533</v>
      </c>
      <c r="J540" s="58">
        <v>0</v>
      </c>
      <c r="K540" s="1">
        <f t="shared" si="57"/>
        <v>256834.8</v>
      </c>
      <c r="L540" s="1" t="str">
        <f t="shared" si="58"/>
        <v/>
      </c>
      <c r="M540" s="1">
        <f>VLOOKUP(B540,'[1]Срок Годности'!$A$2:$B$4,2,0)</f>
        <v>500</v>
      </c>
      <c r="N540" s="60">
        <f t="shared" si="59"/>
        <v>0</v>
      </c>
      <c r="O540" s="1" t="str">
        <f t="shared" si="60"/>
        <v>25 2012</v>
      </c>
      <c r="P540" s="1">
        <f t="shared" si="61"/>
        <v>23</v>
      </c>
      <c r="Q540" s="1">
        <f t="shared" ca="1" si="62"/>
        <v>4056</v>
      </c>
      <c r="S540" s="1">
        <f t="shared" si="56"/>
        <v>3533</v>
      </c>
    </row>
    <row r="541" spans="1:19" x14ac:dyDescent="0.2">
      <c r="A541" s="57" t="s">
        <v>242</v>
      </c>
      <c r="B541" s="57" t="s">
        <v>225</v>
      </c>
      <c r="C541" s="57" t="s">
        <v>226</v>
      </c>
      <c r="D541" s="58">
        <v>317.08</v>
      </c>
      <c r="E541" s="59">
        <v>41078</v>
      </c>
      <c r="F541" s="58">
        <v>3533</v>
      </c>
      <c r="G541" s="58">
        <v>817</v>
      </c>
      <c r="H541" s="58">
        <v>814</v>
      </c>
      <c r="I541" s="58">
        <v>3522</v>
      </c>
      <c r="J541" s="58">
        <v>0</v>
      </c>
      <c r="K541" s="1">
        <f t="shared" si="57"/>
        <v>258103.12</v>
      </c>
      <c r="L541" s="1" t="str">
        <f t="shared" si="58"/>
        <v/>
      </c>
      <c r="M541" s="1">
        <f>VLOOKUP(B541,'[1]Срок Годности'!$A$2:$B$4,2,0)</f>
        <v>500</v>
      </c>
      <c r="N541" s="60">
        <f t="shared" si="59"/>
        <v>817</v>
      </c>
      <c r="O541" s="1" t="str">
        <f t="shared" si="60"/>
        <v>25 2012</v>
      </c>
      <c r="P541" s="1">
        <f t="shared" si="61"/>
        <v>23</v>
      </c>
      <c r="Q541" s="1">
        <f t="shared" ca="1" si="62"/>
        <v>4055</v>
      </c>
      <c r="S541" s="1">
        <f t="shared" si="56"/>
        <v>3522</v>
      </c>
    </row>
    <row r="542" spans="1:19" x14ac:dyDescent="0.2">
      <c r="A542" s="57" t="s">
        <v>242</v>
      </c>
      <c r="B542" s="57" t="s">
        <v>225</v>
      </c>
      <c r="C542" s="57" t="s">
        <v>226</v>
      </c>
      <c r="D542" s="58">
        <v>317.08</v>
      </c>
      <c r="E542" s="59">
        <v>41079</v>
      </c>
      <c r="F542" s="58">
        <v>3522</v>
      </c>
      <c r="G542" s="58">
        <v>940</v>
      </c>
      <c r="H542" s="58">
        <v>816</v>
      </c>
      <c r="I542" s="58">
        <v>3621</v>
      </c>
      <c r="J542" s="58">
        <v>0</v>
      </c>
      <c r="K542" s="1">
        <f t="shared" si="57"/>
        <v>258737.28</v>
      </c>
      <c r="L542" s="1" t="str">
        <f t="shared" si="58"/>
        <v/>
      </c>
      <c r="M542" s="1">
        <f>VLOOKUP(B542,'[1]Срок Годности'!$A$2:$B$4,2,0)</f>
        <v>500</v>
      </c>
      <c r="N542" s="60">
        <f t="shared" si="59"/>
        <v>940</v>
      </c>
      <c r="O542" s="1" t="str">
        <f t="shared" si="60"/>
        <v>25 2012</v>
      </c>
      <c r="P542" s="1">
        <f t="shared" si="61"/>
        <v>23</v>
      </c>
      <c r="Q542" s="1">
        <f t="shared" ca="1" si="62"/>
        <v>4054</v>
      </c>
      <c r="S542" s="1">
        <f t="shared" si="56"/>
        <v>3621</v>
      </c>
    </row>
    <row r="543" spans="1:19" x14ac:dyDescent="0.2">
      <c r="A543" s="57" t="s">
        <v>242</v>
      </c>
      <c r="B543" s="57" t="s">
        <v>225</v>
      </c>
      <c r="C543" s="57" t="s">
        <v>226</v>
      </c>
      <c r="D543" s="58">
        <v>317.08</v>
      </c>
      <c r="E543" s="59">
        <v>41080</v>
      </c>
      <c r="F543" s="58">
        <v>3621</v>
      </c>
      <c r="G543" s="58">
        <v>1173</v>
      </c>
      <c r="H543" s="58">
        <v>916</v>
      </c>
      <c r="I543" s="58">
        <v>3877</v>
      </c>
      <c r="J543" s="58">
        <v>0</v>
      </c>
      <c r="K543" s="1">
        <f t="shared" si="57"/>
        <v>290445.27999999997</v>
      </c>
      <c r="L543" s="1" t="str">
        <f t="shared" si="58"/>
        <v/>
      </c>
      <c r="M543" s="1">
        <f>VLOOKUP(B543,'[1]Срок Годности'!$A$2:$B$4,2,0)</f>
        <v>500</v>
      </c>
      <c r="N543" s="60">
        <f t="shared" si="59"/>
        <v>1173</v>
      </c>
      <c r="O543" s="1" t="str">
        <f t="shared" si="60"/>
        <v>25 2012</v>
      </c>
      <c r="P543" s="1">
        <f t="shared" si="61"/>
        <v>23</v>
      </c>
      <c r="Q543" s="1">
        <f t="shared" ca="1" si="62"/>
        <v>4053</v>
      </c>
      <c r="S543" s="1">
        <f t="shared" si="56"/>
        <v>3877</v>
      </c>
    </row>
    <row r="544" spans="1:19" x14ac:dyDescent="0.2">
      <c r="A544" s="57" t="s">
        <v>242</v>
      </c>
      <c r="B544" s="57" t="s">
        <v>225</v>
      </c>
      <c r="C544" s="57" t="s">
        <v>226</v>
      </c>
      <c r="D544" s="58">
        <v>317.08</v>
      </c>
      <c r="E544" s="59">
        <v>41081</v>
      </c>
      <c r="F544" s="58">
        <v>3877</v>
      </c>
      <c r="G544" s="58">
        <v>883</v>
      </c>
      <c r="H544" s="58">
        <v>1039</v>
      </c>
      <c r="I544" s="58">
        <v>3704</v>
      </c>
      <c r="J544" s="58">
        <v>0</v>
      </c>
      <c r="K544" s="1">
        <f t="shared" si="57"/>
        <v>329446.12</v>
      </c>
      <c r="L544" s="1">
        <f t="shared" si="58"/>
        <v>1039</v>
      </c>
      <c r="M544" s="1">
        <f>VLOOKUP(B544,'[1]Срок Годности'!$A$2:$B$4,2,0)</f>
        <v>500</v>
      </c>
      <c r="N544" s="60">
        <f t="shared" si="59"/>
        <v>883</v>
      </c>
      <c r="O544" s="1" t="str">
        <f t="shared" si="60"/>
        <v>25 2012</v>
      </c>
      <c r="P544" s="1">
        <f t="shared" si="61"/>
        <v>23</v>
      </c>
      <c r="Q544" s="1">
        <f t="shared" ca="1" si="62"/>
        <v>4052</v>
      </c>
      <c r="S544" s="1">
        <f t="shared" si="56"/>
        <v>3704</v>
      </c>
    </row>
    <row r="545" spans="1:19" x14ac:dyDescent="0.2">
      <c r="A545" s="57" t="s">
        <v>242</v>
      </c>
      <c r="B545" s="57" t="s">
        <v>225</v>
      </c>
      <c r="C545" s="57" t="s">
        <v>226</v>
      </c>
      <c r="D545" s="58">
        <v>317.08</v>
      </c>
      <c r="E545" s="59">
        <v>41082</v>
      </c>
      <c r="F545" s="58">
        <v>3704</v>
      </c>
      <c r="G545" s="58">
        <v>871</v>
      </c>
      <c r="H545" s="58">
        <v>1086</v>
      </c>
      <c r="I545" s="58">
        <v>3473</v>
      </c>
      <c r="J545" s="58">
        <v>0</v>
      </c>
      <c r="K545" s="1">
        <f t="shared" si="57"/>
        <v>344348.88</v>
      </c>
      <c r="L545" s="1">
        <f t="shared" si="58"/>
        <v>1086</v>
      </c>
      <c r="M545" s="1">
        <f>VLOOKUP(B545,'[1]Срок Годности'!$A$2:$B$4,2,0)</f>
        <v>500</v>
      </c>
      <c r="N545" s="60">
        <f t="shared" si="59"/>
        <v>871</v>
      </c>
      <c r="O545" s="1" t="str">
        <f t="shared" si="60"/>
        <v>25 2012</v>
      </c>
      <c r="P545" s="1">
        <f t="shared" si="61"/>
        <v>23</v>
      </c>
      <c r="Q545" s="1">
        <f t="shared" ca="1" si="62"/>
        <v>4051</v>
      </c>
      <c r="S545" s="1">
        <f t="shared" si="56"/>
        <v>3473</v>
      </c>
    </row>
    <row r="546" spans="1:19" x14ac:dyDescent="0.2">
      <c r="A546" s="57" t="s">
        <v>242</v>
      </c>
      <c r="B546" s="57" t="s">
        <v>225</v>
      </c>
      <c r="C546" s="57" t="s">
        <v>226</v>
      </c>
      <c r="D546" s="58">
        <v>317.08</v>
      </c>
      <c r="E546" s="59">
        <v>41083</v>
      </c>
      <c r="F546" s="58">
        <v>3473</v>
      </c>
      <c r="G546" s="58">
        <v>862</v>
      </c>
      <c r="H546" s="58">
        <v>1065</v>
      </c>
      <c r="I546" s="58">
        <v>3266</v>
      </c>
      <c r="J546" s="58">
        <v>0</v>
      </c>
      <c r="K546" s="1">
        <f t="shared" si="57"/>
        <v>337690.2</v>
      </c>
      <c r="L546" s="1">
        <f t="shared" si="58"/>
        <v>1065</v>
      </c>
      <c r="M546" s="1">
        <f>VLOOKUP(B546,'[1]Срок Годности'!$A$2:$B$4,2,0)</f>
        <v>500</v>
      </c>
      <c r="N546" s="60">
        <f t="shared" si="59"/>
        <v>862</v>
      </c>
      <c r="O546" s="1" t="str">
        <f t="shared" si="60"/>
        <v>25 2012</v>
      </c>
      <c r="P546" s="1">
        <f t="shared" si="61"/>
        <v>23</v>
      </c>
      <c r="Q546" s="1">
        <f t="shared" ca="1" si="62"/>
        <v>4050</v>
      </c>
      <c r="S546" s="1">
        <f t="shared" si="56"/>
        <v>3266</v>
      </c>
    </row>
    <row r="547" spans="1:19" x14ac:dyDescent="0.2">
      <c r="A547" s="57" t="s">
        <v>242</v>
      </c>
      <c r="B547" s="57" t="s">
        <v>225</v>
      </c>
      <c r="C547" s="57" t="s">
        <v>226</v>
      </c>
      <c r="D547" s="58">
        <v>317.08</v>
      </c>
      <c r="E547" s="59">
        <v>41084</v>
      </c>
      <c r="F547" s="58">
        <v>3266</v>
      </c>
      <c r="G547" s="58">
        <v>1420</v>
      </c>
      <c r="H547" s="58">
        <v>1120</v>
      </c>
      <c r="I547" s="58">
        <v>3560</v>
      </c>
      <c r="J547" s="58">
        <v>0</v>
      </c>
      <c r="K547" s="1">
        <f t="shared" si="57"/>
        <v>355129.59999999998</v>
      </c>
      <c r="L547" s="1">
        <f t="shared" si="58"/>
        <v>1120</v>
      </c>
      <c r="M547" s="1">
        <f>VLOOKUP(B547,'[1]Срок Годности'!$A$2:$B$4,2,0)</f>
        <v>500</v>
      </c>
      <c r="N547" s="60">
        <f t="shared" si="59"/>
        <v>0</v>
      </c>
      <c r="O547" s="1" t="str">
        <f t="shared" si="60"/>
        <v>26 2012</v>
      </c>
      <c r="P547" s="1">
        <f t="shared" si="61"/>
        <v>23</v>
      </c>
      <c r="Q547" s="1">
        <f t="shared" ca="1" si="62"/>
        <v>4049</v>
      </c>
      <c r="S547" s="1">
        <f t="shared" si="56"/>
        <v>3560</v>
      </c>
    </row>
    <row r="548" spans="1:19" x14ac:dyDescent="0.2">
      <c r="A548" s="57" t="s">
        <v>242</v>
      </c>
      <c r="B548" s="57" t="s">
        <v>225</v>
      </c>
      <c r="C548" s="57" t="s">
        <v>226</v>
      </c>
      <c r="D548" s="58">
        <v>317.08</v>
      </c>
      <c r="E548" s="59">
        <v>41085</v>
      </c>
      <c r="F548" s="58">
        <v>3560</v>
      </c>
      <c r="G548" s="58">
        <v>1101</v>
      </c>
      <c r="H548" s="58">
        <v>1062</v>
      </c>
      <c r="I548" s="58">
        <v>3571</v>
      </c>
      <c r="J548" s="58">
        <v>0</v>
      </c>
      <c r="K548" s="1">
        <f t="shared" si="57"/>
        <v>336738.95999999996</v>
      </c>
      <c r="L548" s="1">
        <f t="shared" si="58"/>
        <v>1062</v>
      </c>
      <c r="M548" s="1">
        <f>VLOOKUP(B548,'[1]Срок Годности'!$A$2:$B$4,2,0)</f>
        <v>500</v>
      </c>
      <c r="N548" s="60">
        <f t="shared" si="59"/>
        <v>1101</v>
      </c>
      <c r="O548" s="1" t="str">
        <f t="shared" si="60"/>
        <v>26 2012</v>
      </c>
      <c r="P548" s="1">
        <f t="shared" si="61"/>
        <v>23</v>
      </c>
      <c r="Q548" s="1">
        <f t="shared" ca="1" si="62"/>
        <v>4048</v>
      </c>
      <c r="S548" s="1">
        <f t="shared" si="56"/>
        <v>3571</v>
      </c>
    </row>
    <row r="549" spans="1:19" x14ac:dyDescent="0.2">
      <c r="A549" s="57" t="s">
        <v>242</v>
      </c>
      <c r="B549" s="57" t="s">
        <v>225</v>
      </c>
      <c r="C549" s="57" t="s">
        <v>226</v>
      </c>
      <c r="D549" s="58">
        <v>317.08</v>
      </c>
      <c r="E549" s="59">
        <v>41086</v>
      </c>
      <c r="F549" s="58">
        <v>3571</v>
      </c>
      <c r="G549" s="58">
        <v>1000</v>
      </c>
      <c r="H549" s="58">
        <v>1010</v>
      </c>
      <c r="I549" s="58">
        <v>3538</v>
      </c>
      <c r="J549" s="58">
        <v>0</v>
      </c>
      <c r="K549" s="1">
        <f t="shared" si="57"/>
        <v>320250.8</v>
      </c>
      <c r="L549" s="1">
        <f t="shared" si="58"/>
        <v>1010</v>
      </c>
      <c r="M549" s="1">
        <f>VLOOKUP(B549,'[1]Срок Годности'!$A$2:$B$4,2,0)</f>
        <v>500</v>
      </c>
      <c r="N549" s="60">
        <f t="shared" si="59"/>
        <v>1000</v>
      </c>
      <c r="O549" s="1" t="str">
        <f t="shared" si="60"/>
        <v>26 2012</v>
      </c>
      <c r="P549" s="1">
        <f t="shared" si="61"/>
        <v>23</v>
      </c>
      <c r="Q549" s="1">
        <f t="shared" ca="1" si="62"/>
        <v>4047</v>
      </c>
      <c r="S549" s="1">
        <f t="shared" si="56"/>
        <v>3538</v>
      </c>
    </row>
    <row r="550" spans="1:19" x14ac:dyDescent="0.2">
      <c r="A550" s="57" t="s">
        <v>242</v>
      </c>
      <c r="B550" s="57" t="s">
        <v>225</v>
      </c>
      <c r="C550" s="57" t="s">
        <v>226</v>
      </c>
      <c r="D550" s="58">
        <v>317.08</v>
      </c>
      <c r="E550" s="59">
        <v>41087</v>
      </c>
      <c r="F550" s="58">
        <v>3538</v>
      </c>
      <c r="G550" s="58">
        <v>960</v>
      </c>
      <c r="H550" s="58">
        <v>934</v>
      </c>
      <c r="I550" s="58">
        <v>3550</v>
      </c>
      <c r="J550" s="58">
        <v>0</v>
      </c>
      <c r="K550" s="1">
        <f t="shared" si="57"/>
        <v>296152.71999999997</v>
      </c>
      <c r="L550" s="1" t="str">
        <f t="shared" si="58"/>
        <v/>
      </c>
      <c r="M550" s="1">
        <f>VLOOKUP(B550,'[1]Срок Годности'!$A$2:$B$4,2,0)</f>
        <v>500</v>
      </c>
      <c r="N550" s="60">
        <f t="shared" si="59"/>
        <v>960</v>
      </c>
      <c r="O550" s="1" t="str">
        <f t="shared" si="60"/>
        <v>26 2012</v>
      </c>
      <c r="P550" s="1">
        <f t="shared" si="61"/>
        <v>23</v>
      </c>
      <c r="Q550" s="1">
        <f t="shared" ca="1" si="62"/>
        <v>4046</v>
      </c>
      <c r="S550" s="1">
        <f t="shared" si="56"/>
        <v>3550</v>
      </c>
    </row>
    <row r="551" spans="1:19" x14ac:dyDescent="0.2">
      <c r="A551" s="57" t="s">
        <v>242</v>
      </c>
      <c r="B551" s="57" t="s">
        <v>225</v>
      </c>
      <c r="C551" s="57" t="s">
        <v>226</v>
      </c>
      <c r="D551" s="58">
        <v>317.08</v>
      </c>
      <c r="E551" s="59">
        <v>41088</v>
      </c>
      <c r="F551" s="58">
        <v>3550</v>
      </c>
      <c r="G551" s="58">
        <v>1306</v>
      </c>
      <c r="H551" s="58">
        <v>999</v>
      </c>
      <c r="I551" s="58">
        <v>3844</v>
      </c>
      <c r="J551" s="58">
        <v>0</v>
      </c>
      <c r="K551" s="1">
        <f t="shared" si="57"/>
        <v>316762.92</v>
      </c>
      <c r="L551" s="1" t="str">
        <f t="shared" si="58"/>
        <v/>
      </c>
      <c r="M551" s="1">
        <f>VLOOKUP(B551,'[1]Срок Годности'!$A$2:$B$4,2,0)</f>
        <v>500</v>
      </c>
      <c r="N551" s="60">
        <f t="shared" si="59"/>
        <v>1306</v>
      </c>
      <c r="O551" s="1" t="str">
        <f t="shared" si="60"/>
        <v>26 2012</v>
      </c>
      <c r="P551" s="1">
        <f t="shared" si="61"/>
        <v>23</v>
      </c>
      <c r="Q551" s="1">
        <f t="shared" ca="1" si="62"/>
        <v>4045</v>
      </c>
      <c r="S551" s="1">
        <f t="shared" si="56"/>
        <v>3844</v>
      </c>
    </row>
    <row r="552" spans="1:19" x14ac:dyDescent="0.2">
      <c r="A552" s="57" t="s">
        <v>242</v>
      </c>
      <c r="B552" s="57" t="s">
        <v>225</v>
      </c>
      <c r="C552" s="57" t="s">
        <v>226</v>
      </c>
      <c r="D552" s="58">
        <v>317.08</v>
      </c>
      <c r="E552" s="59">
        <v>41089</v>
      </c>
      <c r="F552" s="58">
        <v>3844</v>
      </c>
      <c r="G552" s="58">
        <v>1176</v>
      </c>
      <c r="H552" s="58">
        <v>1113</v>
      </c>
      <c r="I552" s="58">
        <v>3880</v>
      </c>
      <c r="J552" s="58">
        <v>0</v>
      </c>
      <c r="K552" s="1">
        <f t="shared" si="57"/>
        <v>352910.04</v>
      </c>
      <c r="L552" s="1">
        <f t="shared" si="58"/>
        <v>1113</v>
      </c>
      <c r="M552" s="1">
        <f>VLOOKUP(B552,'[1]Срок Годности'!$A$2:$B$4,2,0)</f>
        <v>500</v>
      </c>
      <c r="N552" s="60">
        <f t="shared" si="59"/>
        <v>1176</v>
      </c>
      <c r="O552" s="1" t="str">
        <f t="shared" si="60"/>
        <v>26 2012</v>
      </c>
      <c r="P552" s="1">
        <f t="shared" si="61"/>
        <v>23</v>
      </c>
      <c r="Q552" s="1">
        <f t="shared" ca="1" si="62"/>
        <v>4044</v>
      </c>
      <c r="S552" s="1">
        <f t="shared" si="56"/>
        <v>3880</v>
      </c>
    </row>
    <row r="553" spans="1:19" x14ac:dyDescent="0.2">
      <c r="A553" s="57" t="s">
        <v>242</v>
      </c>
      <c r="B553" s="57" t="s">
        <v>225</v>
      </c>
      <c r="C553" s="57" t="s">
        <v>226</v>
      </c>
      <c r="D553" s="58">
        <v>317.08</v>
      </c>
      <c r="E553" s="59">
        <v>41090</v>
      </c>
      <c r="F553" s="58">
        <v>3880</v>
      </c>
      <c r="G553" s="58">
        <v>742</v>
      </c>
      <c r="H553" s="58">
        <v>1345</v>
      </c>
      <c r="I553" s="58">
        <v>3263</v>
      </c>
      <c r="J553" s="58">
        <v>0</v>
      </c>
      <c r="K553" s="1">
        <f t="shared" si="57"/>
        <v>426472.6</v>
      </c>
      <c r="L553" s="1">
        <f t="shared" si="58"/>
        <v>1345</v>
      </c>
      <c r="M553" s="1">
        <f>VLOOKUP(B553,'[1]Срок Годности'!$A$2:$B$4,2,0)</f>
        <v>500</v>
      </c>
      <c r="N553" s="60">
        <f t="shared" si="59"/>
        <v>742</v>
      </c>
      <c r="O553" s="1" t="str">
        <f t="shared" si="60"/>
        <v>26 2012</v>
      </c>
      <c r="P553" s="1">
        <f t="shared" si="61"/>
        <v>23</v>
      </c>
      <c r="Q553" s="1">
        <f t="shared" ca="1" si="62"/>
        <v>4043</v>
      </c>
      <c r="S553" s="1">
        <f t="shared" si="56"/>
        <v>3263</v>
      </c>
    </row>
    <row r="554" spans="1:19" x14ac:dyDescent="0.2">
      <c r="A554" s="57" t="s">
        <v>242</v>
      </c>
      <c r="B554" s="57" t="s">
        <v>225</v>
      </c>
      <c r="C554" s="57" t="s">
        <v>226</v>
      </c>
      <c r="D554" s="58">
        <v>317.08</v>
      </c>
      <c r="E554" s="59">
        <v>41091</v>
      </c>
      <c r="F554" s="58">
        <v>3263</v>
      </c>
      <c r="G554" s="58">
        <v>1136</v>
      </c>
      <c r="H554" s="58">
        <v>1463</v>
      </c>
      <c r="I554" s="58">
        <v>2911</v>
      </c>
      <c r="J554" s="58">
        <v>0</v>
      </c>
      <c r="K554" s="1">
        <f t="shared" si="57"/>
        <v>463888.04</v>
      </c>
      <c r="L554" s="1">
        <f t="shared" si="58"/>
        <v>1463</v>
      </c>
      <c r="M554" s="1">
        <f>VLOOKUP(B554,'[1]Срок Годности'!$A$2:$B$4,2,0)</f>
        <v>500</v>
      </c>
      <c r="N554" s="60">
        <f t="shared" si="59"/>
        <v>0</v>
      </c>
      <c r="O554" s="1" t="str">
        <f t="shared" si="60"/>
        <v>27 2012</v>
      </c>
      <c r="P554" s="1">
        <f t="shared" si="61"/>
        <v>23</v>
      </c>
      <c r="Q554" s="1">
        <f t="shared" ca="1" si="62"/>
        <v>4042</v>
      </c>
      <c r="S554" s="1">
        <f t="shared" si="56"/>
        <v>2911</v>
      </c>
    </row>
    <row r="555" spans="1:19" x14ac:dyDescent="0.2">
      <c r="A555" s="57" t="s">
        <v>242</v>
      </c>
      <c r="B555" s="57" t="s">
        <v>225</v>
      </c>
      <c r="C555" s="57" t="s">
        <v>226</v>
      </c>
      <c r="D555" s="58">
        <v>317.08</v>
      </c>
      <c r="E555" s="59">
        <v>41092</v>
      </c>
      <c r="F555" s="58">
        <v>2911</v>
      </c>
      <c r="G555" s="58">
        <v>184</v>
      </c>
      <c r="H555" s="58">
        <v>1089</v>
      </c>
      <c r="I555" s="58">
        <v>2000</v>
      </c>
      <c r="J555" s="58">
        <v>0</v>
      </c>
      <c r="K555" s="1">
        <f t="shared" si="57"/>
        <v>345300.12</v>
      </c>
      <c r="L555" s="1">
        <f t="shared" si="58"/>
        <v>1089</v>
      </c>
      <c r="M555" s="1">
        <f>VLOOKUP(B555,'[1]Срок Годности'!$A$2:$B$4,2,0)</f>
        <v>500</v>
      </c>
      <c r="N555" s="60">
        <f t="shared" si="59"/>
        <v>184</v>
      </c>
      <c r="O555" s="1" t="str">
        <f t="shared" si="60"/>
        <v>27 2012</v>
      </c>
      <c r="P555" s="1">
        <f t="shared" si="61"/>
        <v>23</v>
      </c>
      <c r="Q555" s="1">
        <f t="shared" ca="1" si="62"/>
        <v>4041</v>
      </c>
      <c r="S555" s="1">
        <f t="shared" si="56"/>
        <v>2000</v>
      </c>
    </row>
    <row r="556" spans="1:19" x14ac:dyDescent="0.2">
      <c r="A556" s="57" t="s">
        <v>242</v>
      </c>
      <c r="B556" s="57" t="s">
        <v>225</v>
      </c>
      <c r="C556" s="57" t="s">
        <v>226</v>
      </c>
      <c r="D556" s="58">
        <v>317.08</v>
      </c>
      <c r="E556" s="59">
        <v>41093</v>
      </c>
      <c r="F556" s="58">
        <v>2000</v>
      </c>
      <c r="G556" s="58">
        <v>741</v>
      </c>
      <c r="H556" s="58">
        <v>893</v>
      </c>
      <c r="I556" s="58">
        <v>1838</v>
      </c>
      <c r="J556" s="58">
        <v>0</v>
      </c>
      <c r="K556" s="1">
        <f t="shared" si="57"/>
        <v>283152.44</v>
      </c>
      <c r="L556" s="1" t="str">
        <f t="shared" si="58"/>
        <v/>
      </c>
      <c r="M556" s="1">
        <f>VLOOKUP(B556,'[1]Срок Годности'!$A$2:$B$4,2,0)</f>
        <v>500</v>
      </c>
      <c r="N556" s="60">
        <f t="shared" si="59"/>
        <v>741</v>
      </c>
      <c r="O556" s="1" t="str">
        <f t="shared" si="60"/>
        <v>27 2012</v>
      </c>
      <c r="P556" s="1">
        <f t="shared" si="61"/>
        <v>23</v>
      </c>
      <c r="Q556" s="1">
        <f t="shared" ca="1" si="62"/>
        <v>4040</v>
      </c>
      <c r="S556" s="1">
        <f t="shared" si="56"/>
        <v>1838</v>
      </c>
    </row>
    <row r="557" spans="1:19" x14ac:dyDescent="0.2">
      <c r="A557" s="57" t="s">
        <v>242</v>
      </c>
      <c r="B557" s="57" t="s">
        <v>225</v>
      </c>
      <c r="C557" s="57" t="s">
        <v>226</v>
      </c>
      <c r="D557" s="58">
        <v>317.08</v>
      </c>
      <c r="E557" s="59">
        <v>41094</v>
      </c>
      <c r="F557" s="58">
        <v>1838</v>
      </c>
      <c r="G557" s="58">
        <v>19</v>
      </c>
      <c r="H557" s="58">
        <v>720</v>
      </c>
      <c r="I557" s="58">
        <v>1106</v>
      </c>
      <c r="J557" s="58">
        <v>0</v>
      </c>
      <c r="K557" s="1">
        <f t="shared" si="57"/>
        <v>228297.59999999998</v>
      </c>
      <c r="L557" s="1" t="str">
        <f t="shared" si="58"/>
        <v/>
      </c>
      <c r="M557" s="1">
        <f>VLOOKUP(B557,'[1]Срок Годности'!$A$2:$B$4,2,0)</f>
        <v>500</v>
      </c>
      <c r="N557" s="60">
        <f t="shared" si="59"/>
        <v>19</v>
      </c>
      <c r="O557" s="1" t="str">
        <f t="shared" si="60"/>
        <v>27 2012</v>
      </c>
      <c r="P557" s="1">
        <f t="shared" si="61"/>
        <v>23</v>
      </c>
      <c r="Q557" s="1">
        <f t="shared" ca="1" si="62"/>
        <v>4039</v>
      </c>
      <c r="S557" s="1">
        <f t="shared" si="56"/>
        <v>1106</v>
      </c>
    </row>
    <row r="558" spans="1:19" x14ac:dyDescent="0.2">
      <c r="A558" s="57" t="s">
        <v>242</v>
      </c>
      <c r="B558" s="57" t="s">
        <v>225</v>
      </c>
      <c r="C558" s="57" t="s">
        <v>226</v>
      </c>
      <c r="D558" s="58">
        <v>317.08</v>
      </c>
      <c r="E558" s="59">
        <v>41095</v>
      </c>
      <c r="F558" s="58">
        <v>1106</v>
      </c>
      <c r="G558" s="58">
        <v>485</v>
      </c>
      <c r="H558" s="58">
        <v>497</v>
      </c>
      <c r="I558" s="58">
        <v>1078</v>
      </c>
      <c r="J558" s="58">
        <v>0</v>
      </c>
      <c r="K558" s="1">
        <f t="shared" si="57"/>
        <v>157588.75999999998</v>
      </c>
      <c r="L558" s="1" t="str">
        <f t="shared" si="58"/>
        <v/>
      </c>
      <c r="M558" s="1">
        <f>VLOOKUP(B558,'[1]Срок Годности'!$A$2:$B$4,2,0)</f>
        <v>500</v>
      </c>
      <c r="N558" s="60">
        <f t="shared" si="59"/>
        <v>485</v>
      </c>
      <c r="O558" s="1" t="str">
        <f t="shared" si="60"/>
        <v>27 2012</v>
      </c>
      <c r="P558" s="1">
        <f t="shared" si="61"/>
        <v>23</v>
      </c>
      <c r="Q558" s="1">
        <f t="shared" ca="1" si="62"/>
        <v>4038</v>
      </c>
      <c r="S558" s="1">
        <f t="shared" si="56"/>
        <v>1078</v>
      </c>
    </row>
    <row r="559" spans="1:19" x14ac:dyDescent="0.2">
      <c r="A559" s="57" t="s">
        <v>242</v>
      </c>
      <c r="B559" s="57" t="s">
        <v>225</v>
      </c>
      <c r="C559" s="57" t="s">
        <v>226</v>
      </c>
      <c r="D559" s="58">
        <v>317.08</v>
      </c>
      <c r="E559" s="59">
        <v>41096</v>
      </c>
      <c r="F559" s="58">
        <v>1078</v>
      </c>
      <c r="G559" s="58">
        <v>2214</v>
      </c>
      <c r="H559" s="58">
        <v>720</v>
      </c>
      <c r="I559" s="58">
        <v>2554</v>
      </c>
      <c r="J559" s="58">
        <v>0</v>
      </c>
      <c r="K559" s="1">
        <f t="shared" si="57"/>
        <v>228297.59999999998</v>
      </c>
      <c r="L559" s="1" t="str">
        <f t="shared" si="58"/>
        <v/>
      </c>
      <c r="M559" s="1">
        <f>VLOOKUP(B559,'[1]Срок Годности'!$A$2:$B$4,2,0)</f>
        <v>500</v>
      </c>
      <c r="N559" s="60">
        <f t="shared" si="59"/>
        <v>2214</v>
      </c>
      <c r="O559" s="1" t="str">
        <f t="shared" si="60"/>
        <v>27 2012</v>
      </c>
      <c r="P559" s="1">
        <f t="shared" si="61"/>
        <v>23</v>
      </c>
      <c r="Q559" s="1">
        <f t="shared" ca="1" si="62"/>
        <v>4037</v>
      </c>
      <c r="S559" s="1">
        <f t="shared" si="56"/>
        <v>2554</v>
      </c>
    </row>
    <row r="560" spans="1:19" x14ac:dyDescent="0.2">
      <c r="A560" s="57" t="s">
        <v>242</v>
      </c>
      <c r="B560" s="57" t="s">
        <v>225</v>
      </c>
      <c r="C560" s="57" t="s">
        <v>226</v>
      </c>
      <c r="D560" s="58">
        <v>317.08</v>
      </c>
      <c r="E560" s="59">
        <v>41097</v>
      </c>
      <c r="F560" s="58">
        <v>2554</v>
      </c>
      <c r="G560" s="58">
        <v>585</v>
      </c>
      <c r="H560" s="58">
        <v>1020</v>
      </c>
      <c r="I560" s="58">
        <v>2083</v>
      </c>
      <c r="J560" s="58">
        <v>1</v>
      </c>
      <c r="K560" s="1">
        <f t="shared" si="57"/>
        <v>323421.59999999998</v>
      </c>
      <c r="L560" s="1">
        <f t="shared" si="58"/>
        <v>1020</v>
      </c>
      <c r="M560" s="1">
        <f>VLOOKUP(B560,'[1]Срок Годности'!$A$2:$B$4,2,0)</f>
        <v>500</v>
      </c>
      <c r="N560" s="60">
        <f t="shared" si="59"/>
        <v>585</v>
      </c>
      <c r="O560" s="1" t="str">
        <f t="shared" si="60"/>
        <v>27 2012</v>
      </c>
      <c r="P560" s="1">
        <f t="shared" si="61"/>
        <v>23</v>
      </c>
      <c r="Q560" s="1">
        <f t="shared" ca="1" si="62"/>
        <v>4036</v>
      </c>
      <c r="S560" s="1">
        <f t="shared" si="56"/>
        <v>2082</v>
      </c>
    </row>
    <row r="561" spans="1:19" x14ac:dyDescent="0.2">
      <c r="A561" s="57" t="s">
        <v>242</v>
      </c>
      <c r="B561" s="57" t="s">
        <v>225</v>
      </c>
      <c r="C561" s="57" t="s">
        <v>226</v>
      </c>
      <c r="D561" s="58">
        <v>317.08</v>
      </c>
      <c r="E561" s="59">
        <v>41098</v>
      </c>
      <c r="F561" s="58">
        <v>2083</v>
      </c>
      <c r="G561" s="58">
        <v>644</v>
      </c>
      <c r="H561" s="58">
        <v>1095</v>
      </c>
      <c r="I561" s="58">
        <v>1616</v>
      </c>
      <c r="J561" s="58">
        <v>0</v>
      </c>
      <c r="K561" s="1">
        <f t="shared" si="57"/>
        <v>347202.6</v>
      </c>
      <c r="L561" s="1">
        <f t="shared" si="58"/>
        <v>1095</v>
      </c>
      <c r="M561" s="1">
        <f>VLOOKUP(B561,'[1]Срок Годности'!$A$2:$B$4,2,0)</f>
        <v>500</v>
      </c>
      <c r="N561" s="60">
        <f t="shared" si="59"/>
        <v>0</v>
      </c>
      <c r="O561" s="1" t="str">
        <f t="shared" si="60"/>
        <v>28 2012</v>
      </c>
      <c r="P561" s="1">
        <f t="shared" si="61"/>
        <v>23</v>
      </c>
      <c r="Q561" s="1">
        <f t="shared" ca="1" si="62"/>
        <v>4035</v>
      </c>
      <c r="S561" s="1">
        <f t="shared" si="56"/>
        <v>1616</v>
      </c>
    </row>
    <row r="562" spans="1:19" x14ac:dyDescent="0.2">
      <c r="A562" s="57" t="s">
        <v>242</v>
      </c>
      <c r="B562" s="57" t="s">
        <v>225</v>
      </c>
      <c r="C562" s="57" t="s">
        <v>226</v>
      </c>
      <c r="D562" s="58">
        <v>317.08</v>
      </c>
      <c r="E562" s="59">
        <v>41099</v>
      </c>
      <c r="F562" s="58">
        <v>1616</v>
      </c>
      <c r="G562" s="58">
        <v>410</v>
      </c>
      <c r="H562" s="58">
        <v>619</v>
      </c>
      <c r="I562" s="58">
        <v>1382</v>
      </c>
      <c r="J562" s="58">
        <v>0</v>
      </c>
      <c r="K562" s="1">
        <f t="shared" si="57"/>
        <v>196272.52</v>
      </c>
      <c r="L562" s="1" t="str">
        <f t="shared" si="58"/>
        <v/>
      </c>
      <c r="M562" s="1">
        <f>VLOOKUP(B562,'[1]Срок Годности'!$A$2:$B$4,2,0)</f>
        <v>500</v>
      </c>
      <c r="N562" s="60">
        <f t="shared" si="59"/>
        <v>410</v>
      </c>
      <c r="O562" s="1" t="str">
        <f t="shared" si="60"/>
        <v>28 2012</v>
      </c>
      <c r="P562" s="1">
        <f t="shared" si="61"/>
        <v>23</v>
      </c>
      <c r="Q562" s="1">
        <f t="shared" ca="1" si="62"/>
        <v>4034</v>
      </c>
      <c r="S562" s="1">
        <f t="shared" si="56"/>
        <v>1382</v>
      </c>
    </row>
    <row r="563" spans="1:19" x14ac:dyDescent="0.2">
      <c r="A563" s="57" t="s">
        <v>242</v>
      </c>
      <c r="B563" s="57" t="s">
        <v>225</v>
      </c>
      <c r="C563" s="57" t="s">
        <v>226</v>
      </c>
      <c r="D563" s="58">
        <v>317.08</v>
      </c>
      <c r="E563" s="59">
        <v>41100</v>
      </c>
      <c r="F563" s="58">
        <v>1382</v>
      </c>
      <c r="G563" s="58">
        <v>269</v>
      </c>
      <c r="H563" s="58">
        <v>398</v>
      </c>
      <c r="I563" s="58">
        <v>1220</v>
      </c>
      <c r="J563" s="58">
        <v>0</v>
      </c>
      <c r="K563" s="1">
        <f t="shared" si="57"/>
        <v>126197.84</v>
      </c>
      <c r="L563" s="1" t="str">
        <f t="shared" si="58"/>
        <v/>
      </c>
      <c r="M563" s="1">
        <f>VLOOKUP(B563,'[1]Срок Годности'!$A$2:$B$4,2,0)</f>
        <v>500</v>
      </c>
      <c r="N563" s="60">
        <f t="shared" si="59"/>
        <v>269</v>
      </c>
      <c r="O563" s="1" t="str">
        <f t="shared" si="60"/>
        <v>28 2012</v>
      </c>
      <c r="P563" s="1">
        <f t="shared" si="61"/>
        <v>23</v>
      </c>
      <c r="Q563" s="1">
        <f t="shared" ca="1" si="62"/>
        <v>4033</v>
      </c>
      <c r="S563" s="1">
        <f t="shared" si="56"/>
        <v>1220</v>
      </c>
    </row>
    <row r="564" spans="1:19" x14ac:dyDescent="0.2">
      <c r="A564" s="57" t="s">
        <v>242</v>
      </c>
      <c r="B564" s="57" t="s">
        <v>225</v>
      </c>
      <c r="C564" s="57" t="s">
        <v>226</v>
      </c>
      <c r="D564" s="58">
        <v>317.08</v>
      </c>
      <c r="E564" s="59">
        <v>41101</v>
      </c>
      <c r="F564" s="58">
        <v>1220</v>
      </c>
      <c r="G564" s="58">
        <v>102</v>
      </c>
      <c r="H564" s="58">
        <v>361</v>
      </c>
      <c r="I564" s="58">
        <v>949</v>
      </c>
      <c r="J564" s="58">
        <v>0</v>
      </c>
      <c r="K564" s="1">
        <f t="shared" si="57"/>
        <v>114465.87999999999</v>
      </c>
      <c r="L564" s="1" t="str">
        <f t="shared" si="58"/>
        <v/>
      </c>
      <c r="M564" s="1">
        <f>VLOOKUP(B564,'[1]Срок Годности'!$A$2:$B$4,2,0)</f>
        <v>500</v>
      </c>
      <c r="N564" s="60">
        <f t="shared" si="59"/>
        <v>102</v>
      </c>
      <c r="O564" s="1" t="str">
        <f t="shared" si="60"/>
        <v>28 2012</v>
      </c>
      <c r="P564" s="1">
        <f t="shared" si="61"/>
        <v>23</v>
      </c>
      <c r="Q564" s="1">
        <f t="shared" ca="1" si="62"/>
        <v>4032</v>
      </c>
      <c r="S564" s="1">
        <f t="shared" si="56"/>
        <v>949</v>
      </c>
    </row>
    <row r="565" spans="1:19" x14ac:dyDescent="0.2">
      <c r="A565" s="57" t="s">
        <v>242</v>
      </c>
      <c r="B565" s="57" t="s">
        <v>225</v>
      </c>
      <c r="C565" s="57" t="s">
        <v>226</v>
      </c>
      <c r="D565" s="58">
        <v>317.08</v>
      </c>
      <c r="E565" s="59">
        <v>41102</v>
      </c>
      <c r="F565" s="58">
        <v>949</v>
      </c>
      <c r="G565" s="58">
        <v>29</v>
      </c>
      <c r="H565" s="58">
        <v>234</v>
      </c>
      <c r="I565" s="58">
        <v>718</v>
      </c>
      <c r="J565" s="58">
        <v>0</v>
      </c>
      <c r="K565" s="1">
        <f t="shared" si="57"/>
        <v>74196.72</v>
      </c>
      <c r="L565" s="1" t="str">
        <f t="shared" si="58"/>
        <v/>
      </c>
      <c r="M565" s="1">
        <f>VLOOKUP(B565,'[1]Срок Годности'!$A$2:$B$4,2,0)</f>
        <v>500</v>
      </c>
      <c r="N565" s="60">
        <f t="shared" si="59"/>
        <v>29</v>
      </c>
      <c r="O565" s="1" t="str">
        <f t="shared" si="60"/>
        <v>28 2012</v>
      </c>
      <c r="P565" s="1">
        <f t="shared" si="61"/>
        <v>23</v>
      </c>
      <c r="Q565" s="1">
        <f t="shared" ca="1" si="62"/>
        <v>4031</v>
      </c>
      <c r="S565" s="1">
        <f t="shared" si="56"/>
        <v>718</v>
      </c>
    </row>
    <row r="566" spans="1:19" x14ac:dyDescent="0.2">
      <c r="A566" s="57" t="s">
        <v>242</v>
      </c>
      <c r="B566" s="57" t="s">
        <v>225</v>
      </c>
      <c r="C566" s="57" t="s">
        <v>226</v>
      </c>
      <c r="D566" s="58">
        <v>317.08</v>
      </c>
      <c r="E566" s="59">
        <v>41103</v>
      </c>
      <c r="F566" s="58">
        <v>718</v>
      </c>
      <c r="G566" s="58">
        <v>545</v>
      </c>
      <c r="H566" s="58">
        <v>190</v>
      </c>
      <c r="I566" s="58">
        <v>1061</v>
      </c>
      <c r="J566" s="58">
        <v>0</v>
      </c>
      <c r="K566" s="1">
        <f t="shared" si="57"/>
        <v>60245.2</v>
      </c>
      <c r="L566" s="1" t="str">
        <f t="shared" si="58"/>
        <v/>
      </c>
      <c r="M566" s="1">
        <f>VLOOKUP(B566,'[1]Срок Годности'!$A$2:$B$4,2,0)</f>
        <v>500</v>
      </c>
      <c r="N566" s="60">
        <f t="shared" si="59"/>
        <v>545</v>
      </c>
      <c r="O566" s="1" t="str">
        <f t="shared" si="60"/>
        <v>28 2012</v>
      </c>
      <c r="P566" s="1">
        <f t="shared" si="61"/>
        <v>23</v>
      </c>
      <c r="Q566" s="1">
        <f t="shared" ca="1" si="62"/>
        <v>4030</v>
      </c>
      <c r="S566" s="1">
        <f t="shared" si="56"/>
        <v>1061</v>
      </c>
    </row>
    <row r="567" spans="1:19" x14ac:dyDescent="0.2">
      <c r="A567" s="57" t="s">
        <v>242</v>
      </c>
      <c r="B567" s="57" t="s">
        <v>225</v>
      </c>
      <c r="C567" s="57" t="s">
        <v>226</v>
      </c>
      <c r="D567" s="58">
        <v>317.08</v>
      </c>
      <c r="E567" s="59">
        <v>41104</v>
      </c>
      <c r="F567" s="58">
        <v>1061</v>
      </c>
      <c r="G567" s="58">
        <v>341</v>
      </c>
      <c r="H567" s="58">
        <v>275</v>
      </c>
      <c r="I567" s="58">
        <v>1117</v>
      </c>
      <c r="J567" s="58">
        <v>0</v>
      </c>
      <c r="K567" s="1">
        <f t="shared" si="57"/>
        <v>87197</v>
      </c>
      <c r="L567" s="1" t="str">
        <f t="shared" si="58"/>
        <v/>
      </c>
      <c r="M567" s="1">
        <f>VLOOKUP(B567,'[1]Срок Годности'!$A$2:$B$4,2,0)</f>
        <v>500</v>
      </c>
      <c r="N567" s="60">
        <f t="shared" si="59"/>
        <v>341</v>
      </c>
      <c r="O567" s="1" t="str">
        <f t="shared" si="60"/>
        <v>28 2012</v>
      </c>
      <c r="P567" s="1">
        <f t="shared" si="61"/>
        <v>23</v>
      </c>
      <c r="Q567" s="1">
        <f t="shared" ca="1" si="62"/>
        <v>4029</v>
      </c>
      <c r="S567" s="1">
        <f t="shared" si="56"/>
        <v>1117</v>
      </c>
    </row>
    <row r="568" spans="1:19" x14ac:dyDescent="0.2">
      <c r="A568" s="57" t="s">
        <v>242</v>
      </c>
      <c r="B568" s="57" t="s">
        <v>225</v>
      </c>
      <c r="C568" s="57" t="s">
        <v>226</v>
      </c>
      <c r="D568" s="58">
        <v>317.08</v>
      </c>
      <c r="E568" s="59">
        <v>41105</v>
      </c>
      <c r="F568" s="58">
        <v>1117</v>
      </c>
      <c r="G568" s="58">
        <v>1641</v>
      </c>
      <c r="H568" s="58">
        <v>498</v>
      </c>
      <c r="I568" s="58">
        <v>2248</v>
      </c>
      <c r="J568" s="58">
        <v>0</v>
      </c>
      <c r="K568" s="1">
        <f t="shared" si="57"/>
        <v>157905.84</v>
      </c>
      <c r="L568" s="1" t="str">
        <f t="shared" si="58"/>
        <v/>
      </c>
      <c r="M568" s="1">
        <f>VLOOKUP(B568,'[1]Срок Годности'!$A$2:$B$4,2,0)</f>
        <v>500</v>
      </c>
      <c r="N568" s="60">
        <f t="shared" si="59"/>
        <v>0</v>
      </c>
      <c r="O568" s="1" t="str">
        <f t="shared" si="60"/>
        <v>29 2012</v>
      </c>
      <c r="P568" s="1">
        <f t="shared" si="61"/>
        <v>23</v>
      </c>
      <c r="Q568" s="1">
        <f t="shared" ca="1" si="62"/>
        <v>4028</v>
      </c>
      <c r="S568" s="1">
        <f t="shared" si="56"/>
        <v>2248</v>
      </c>
    </row>
    <row r="569" spans="1:19" x14ac:dyDescent="0.2">
      <c r="A569" s="57" t="s">
        <v>242</v>
      </c>
      <c r="B569" s="57" t="s">
        <v>225</v>
      </c>
      <c r="C569" s="57" t="s">
        <v>226</v>
      </c>
      <c r="D569" s="58">
        <v>317.08</v>
      </c>
      <c r="E569" s="59">
        <v>41106</v>
      </c>
      <c r="F569" s="58">
        <v>2248</v>
      </c>
      <c r="G569" s="58">
        <v>3306</v>
      </c>
      <c r="H569" s="58">
        <v>1004</v>
      </c>
      <c r="I569" s="58">
        <v>4493</v>
      </c>
      <c r="J569" s="58">
        <v>0</v>
      </c>
      <c r="K569" s="1">
        <f t="shared" si="57"/>
        <v>318348.32</v>
      </c>
      <c r="L569" s="1">
        <f t="shared" si="58"/>
        <v>1004</v>
      </c>
      <c r="M569" s="1">
        <f>VLOOKUP(B569,'[1]Срок Годности'!$A$2:$B$4,2,0)</f>
        <v>500</v>
      </c>
      <c r="N569" s="60">
        <f t="shared" si="59"/>
        <v>3306</v>
      </c>
      <c r="O569" s="1" t="str">
        <f t="shared" si="60"/>
        <v>29 2012</v>
      </c>
      <c r="P569" s="1">
        <f t="shared" si="61"/>
        <v>23</v>
      </c>
      <c r="Q569" s="1">
        <f t="shared" ca="1" si="62"/>
        <v>4027</v>
      </c>
      <c r="S569" s="1">
        <f t="shared" si="56"/>
        <v>4493</v>
      </c>
    </row>
    <row r="570" spans="1:19" x14ac:dyDescent="0.2">
      <c r="A570" s="57" t="s">
        <v>242</v>
      </c>
      <c r="B570" s="57" t="s">
        <v>225</v>
      </c>
      <c r="C570" s="57" t="s">
        <v>226</v>
      </c>
      <c r="D570" s="58">
        <v>317.08</v>
      </c>
      <c r="E570" s="59">
        <v>41107</v>
      </c>
      <c r="F570" s="58">
        <v>4493</v>
      </c>
      <c r="G570" s="58">
        <v>1501</v>
      </c>
      <c r="H570" s="58">
        <v>922</v>
      </c>
      <c r="I570" s="58">
        <v>5055</v>
      </c>
      <c r="J570" s="58">
        <v>0</v>
      </c>
      <c r="K570" s="1">
        <f t="shared" si="57"/>
        <v>292347.76</v>
      </c>
      <c r="L570" s="1" t="str">
        <f t="shared" si="58"/>
        <v/>
      </c>
      <c r="M570" s="1">
        <f>VLOOKUP(B570,'[1]Срок Годности'!$A$2:$B$4,2,0)</f>
        <v>500</v>
      </c>
      <c r="N570" s="60">
        <f t="shared" si="59"/>
        <v>1501</v>
      </c>
      <c r="O570" s="1" t="str">
        <f t="shared" si="60"/>
        <v>29 2012</v>
      </c>
      <c r="P570" s="1">
        <f t="shared" si="61"/>
        <v>23</v>
      </c>
      <c r="Q570" s="1">
        <f t="shared" ca="1" si="62"/>
        <v>4026</v>
      </c>
      <c r="S570" s="1">
        <f t="shared" si="56"/>
        <v>5055</v>
      </c>
    </row>
    <row r="571" spans="1:19" x14ac:dyDescent="0.2">
      <c r="A571" s="57" t="s">
        <v>242</v>
      </c>
      <c r="B571" s="57" t="s">
        <v>244</v>
      </c>
      <c r="C571" s="57" t="s">
        <v>245</v>
      </c>
      <c r="D571" s="58">
        <v>33.659999999999997</v>
      </c>
      <c r="E571" s="59">
        <v>41061</v>
      </c>
      <c r="F571" s="58">
        <v>104376.99951199999</v>
      </c>
      <c r="G571" s="58">
        <v>10098</v>
      </c>
      <c r="H571" s="58">
        <v>14587</v>
      </c>
      <c r="I571" s="58">
        <v>99657.999511999995</v>
      </c>
      <c r="J571" s="58">
        <v>0</v>
      </c>
      <c r="K571" s="1">
        <f t="shared" si="57"/>
        <v>490998.41999999993</v>
      </c>
      <c r="L571" s="1">
        <f t="shared" si="58"/>
        <v>14587</v>
      </c>
      <c r="M571" s="1">
        <f>VLOOKUP(B571,'[1]Срок Годности'!$A$2:$B$4,2,0)</f>
        <v>1500</v>
      </c>
      <c r="N571" s="60">
        <f t="shared" si="59"/>
        <v>10098</v>
      </c>
      <c r="O571" s="1" t="str">
        <f t="shared" si="60"/>
        <v>22 2012</v>
      </c>
      <c r="P571" s="1">
        <f t="shared" si="61"/>
        <v>21</v>
      </c>
      <c r="Q571" s="1">
        <f t="shared" ca="1" si="62"/>
        <v>4072</v>
      </c>
      <c r="S571" s="1">
        <f t="shared" si="56"/>
        <v>99657.999511999995</v>
      </c>
    </row>
    <row r="572" spans="1:19" x14ac:dyDescent="0.2">
      <c r="A572" s="57" t="s">
        <v>242</v>
      </c>
      <c r="B572" s="57" t="s">
        <v>244</v>
      </c>
      <c r="C572" s="57" t="s">
        <v>245</v>
      </c>
      <c r="D572" s="58">
        <v>33.659999999999997</v>
      </c>
      <c r="E572" s="59">
        <v>41062</v>
      </c>
      <c r="F572" s="58">
        <v>99657.999511999995</v>
      </c>
      <c r="G572" s="58">
        <v>10098</v>
      </c>
      <c r="H572" s="58">
        <v>12051</v>
      </c>
      <c r="I572" s="58">
        <v>96923.999511999995</v>
      </c>
      <c r="J572" s="58">
        <v>0</v>
      </c>
      <c r="K572" s="1">
        <f t="shared" si="57"/>
        <v>405636.66</v>
      </c>
      <c r="L572" s="1">
        <f t="shared" si="58"/>
        <v>12051</v>
      </c>
      <c r="M572" s="1">
        <f>VLOOKUP(B572,'[1]Срок Годности'!$A$2:$B$4,2,0)</f>
        <v>1500</v>
      </c>
      <c r="N572" s="60">
        <f t="shared" si="59"/>
        <v>10098</v>
      </c>
      <c r="O572" s="1" t="str">
        <f t="shared" si="60"/>
        <v>22 2012</v>
      </c>
      <c r="P572" s="1">
        <f t="shared" si="61"/>
        <v>21</v>
      </c>
      <c r="Q572" s="1">
        <f t="shared" ca="1" si="62"/>
        <v>4071</v>
      </c>
      <c r="S572" s="1">
        <f t="shared" si="56"/>
        <v>96923.999511999995</v>
      </c>
    </row>
    <row r="573" spans="1:19" x14ac:dyDescent="0.2">
      <c r="A573" s="57" t="s">
        <v>242</v>
      </c>
      <c r="B573" s="57" t="s">
        <v>244</v>
      </c>
      <c r="C573" s="57" t="s">
        <v>245</v>
      </c>
      <c r="D573" s="58">
        <v>33.659999999999997</v>
      </c>
      <c r="E573" s="59">
        <v>41063</v>
      </c>
      <c r="F573" s="58">
        <v>96923.999511999995</v>
      </c>
      <c r="G573" s="58">
        <v>9865</v>
      </c>
      <c r="H573" s="58">
        <v>12511</v>
      </c>
      <c r="I573" s="58">
        <v>94443.999511999995</v>
      </c>
      <c r="J573" s="58">
        <v>0</v>
      </c>
      <c r="K573" s="1">
        <f t="shared" si="57"/>
        <v>421120.25999999995</v>
      </c>
      <c r="L573" s="1">
        <f t="shared" si="58"/>
        <v>12511</v>
      </c>
      <c r="M573" s="1">
        <f>VLOOKUP(B573,'[1]Срок Годности'!$A$2:$B$4,2,0)</f>
        <v>1500</v>
      </c>
      <c r="N573" s="60">
        <f t="shared" si="59"/>
        <v>0</v>
      </c>
      <c r="O573" s="1" t="str">
        <f t="shared" si="60"/>
        <v>23 2012</v>
      </c>
      <c r="P573" s="1">
        <f t="shared" si="61"/>
        <v>21</v>
      </c>
      <c r="Q573" s="1">
        <f t="shared" ca="1" si="62"/>
        <v>4070</v>
      </c>
      <c r="S573" s="1">
        <f t="shared" si="56"/>
        <v>94443.999511999995</v>
      </c>
    </row>
    <row r="574" spans="1:19" x14ac:dyDescent="0.2">
      <c r="A574" s="57" t="s">
        <v>242</v>
      </c>
      <c r="B574" s="57" t="s">
        <v>244</v>
      </c>
      <c r="C574" s="57" t="s">
        <v>245</v>
      </c>
      <c r="D574" s="58">
        <v>33.659999999999997</v>
      </c>
      <c r="E574" s="59">
        <v>41064</v>
      </c>
      <c r="F574" s="58">
        <v>94443.999511999995</v>
      </c>
      <c r="G574" s="58">
        <v>6751</v>
      </c>
      <c r="H574" s="58">
        <v>15971</v>
      </c>
      <c r="I574" s="58">
        <v>85129.999511999995</v>
      </c>
      <c r="J574" s="58">
        <v>0</v>
      </c>
      <c r="K574" s="1">
        <f t="shared" si="57"/>
        <v>537583.86</v>
      </c>
      <c r="L574" s="1">
        <f t="shared" si="58"/>
        <v>15971</v>
      </c>
      <c r="M574" s="1">
        <f>VLOOKUP(B574,'[1]Срок Годности'!$A$2:$B$4,2,0)</f>
        <v>1500</v>
      </c>
      <c r="N574" s="60">
        <f t="shared" si="59"/>
        <v>6751</v>
      </c>
      <c r="O574" s="1" t="str">
        <f t="shared" si="60"/>
        <v>23 2012</v>
      </c>
      <c r="P574" s="1">
        <f t="shared" si="61"/>
        <v>21</v>
      </c>
      <c r="Q574" s="1">
        <f t="shared" ca="1" si="62"/>
        <v>4069</v>
      </c>
      <c r="S574" s="1">
        <f t="shared" si="56"/>
        <v>85129.999511999995</v>
      </c>
    </row>
    <row r="575" spans="1:19" x14ac:dyDescent="0.2">
      <c r="A575" s="57" t="s">
        <v>242</v>
      </c>
      <c r="B575" s="57" t="s">
        <v>244</v>
      </c>
      <c r="C575" s="57" t="s">
        <v>245</v>
      </c>
      <c r="D575" s="58">
        <v>33.659999999999997</v>
      </c>
      <c r="E575" s="59">
        <v>41065</v>
      </c>
      <c r="F575" s="58">
        <v>85129.999511999995</v>
      </c>
      <c r="G575" s="58">
        <v>14502</v>
      </c>
      <c r="H575" s="58">
        <v>15743</v>
      </c>
      <c r="I575" s="58">
        <v>83297.999511999995</v>
      </c>
      <c r="J575" s="58">
        <v>0</v>
      </c>
      <c r="K575" s="1">
        <f t="shared" si="57"/>
        <v>529909.37999999989</v>
      </c>
      <c r="L575" s="1">
        <f t="shared" si="58"/>
        <v>15743</v>
      </c>
      <c r="M575" s="1">
        <f>VLOOKUP(B575,'[1]Срок Годности'!$A$2:$B$4,2,0)</f>
        <v>1500</v>
      </c>
      <c r="N575" s="60">
        <f t="shared" si="59"/>
        <v>14502</v>
      </c>
      <c r="O575" s="1" t="str">
        <f t="shared" si="60"/>
        <v>23 2012</v>
      </c>
      <c r="P575" s="1">
        <f t="shared" si="61"/>
        <v>21</v>
      </c>
      <c r="Q575" s="1">
        <f t="shared" ca="1" si="62"/>
        <v>4068</v>
      </c>
      <c r="S575" s="1">
        <f t="shared" si="56"/>
        <v>83297.999511999995</v>
      </c>
    </row>
    <row r="576" spans="1:19" x14ac:dyDescent="0.2">
      <c r="A576" s="57" t="s">
        <v>242</v>
      </c>
      <c r="B576" s="57" t="s">
        <v>244</v>
      </c>
      <c r="C576" s="57" t="s">
        <v>245</v>
      </c>
      <c r="D576" s="58">
        <v>33.659999999999997</v>
      </c>
      <c r="E576" s="59">
        <v>41066</v>
      </c>
      <c r="F576" s="58">
        <v>83297.999511999995</v>
      </c>
      <c r="G576" s="58">
        <v>18294</v>
      </c>
      <c r="H576" s="58">
        <v>15493</v>
      </c>
      <c r="I576" s="58">
        <v>85954.999511999995</v>
      </c>
      <c r="J576" s="58">
        <v>1</v>
      </c>
      <c r="K576" s="1">
        <f t="shared" si="57"/>
        <v>521494.37999999995</v>
      </c>
      <c r="L576" s="1">
        <f t="shared" si="58"/>
        <v>15493</v>
      </c>
      <c r="M576" s="1">
        <f>VLOOKUP(B576,'[1]Срок Годности'!$A$2:$B$4,2,0)</f>
        <v>1500</v>
      </c>
      <c r="N576" s="60">
        <f t="shared" si="59"/>
        <v>18294</v>
      </c>
      <c r="O576" s="1" t="str">
        <f t="shared" si="60"/>
        <v>23 2012</v>
      </c>
      <c r="P576" s="1">
        <f t="shared" si="61"/>
        <v>21</v>
      </c>
      <c r="Q576" s="1">
        <f t="shared" ca="1" si="62"/>
        <v>4067</v>
      </c>
      <c r="S576" s="1">
        <f t="shared" si="56"/>
        <v>85953.999511999995</v>
      </c>
    </row>
    <row r="577" spans="1:19" x14ac:dyDescent="0.2">
      <c r="A577" s="57" t="s">
        <v>242</v>
      </c>
      <c r="B577" s="57" t="s">
        <v>244</v>
      </c>
      <c r="C577" s="57" t="s">
        <v>245</v>
      </c>
      <c r="D577" s="58">
        <v>33.659999999999997</v>
      </c>
      <c r="E577" s="59">
        <v>41067</v>
      </c>
      <c r="F577" s="58">
        <v>85954.999511999995</v>
      </c>
      <c r="G577" s="58">
        <v>20872</v>
      </c>
      <c r="H577" s="58">
        <v>15813</v>
      </c>
      <c r="I577" s="58">
        <v>91119.999511999995</v>
      </c>
      <c r="J577" s="58">
        <v>0</v>
      </c>
      <c r="K577" s="1">
        <f t="shared" si="57"/>
        <v>532265.57999999996</v>
      </c>
      <c r="L577" s="1">
        <f t="shared" si="58"/>
        <v>15813</v>
      </c>
      <c r="M577" s="1">
        <f>VLOOKUP(B577,'[1]Срок Годности'!$A$2:$B$4,2,0)</f>
        <v>1500</v>
      </c>
      <c r="N577" s="60">
        <f t="shared" si="59"/>
        <v>20872</v>
      </c>
      <c r="O577" s="1" t="str">
        <f t="shared" si="60"/>
        <v>23 2012</v>
      </c>
      <c r="P577" s="1">
        <f t="shared" si="61"/>
        <v>21</v>
      </c>
      <c r="Q577" s="1">
        <f t="shared" ca="1" si="62"/>
        <v>4066</v>
      </c>
      <c r="S577" s="1">
        <f t="shared" si="56"/>
        <v>91119.999511999995</v>
      </c>
    </row>
    <row r="578" spans="1:19" x14ac:dyDescent="0.2">
      <c r="A578" s="57" t="s">
        <v>242</v>
      </c>
      <c r="B578" s="57" t="s">
        <v>244</v>
      </c>
      <c r="C578" s="57" t="s">
        <v>245</v>
      </c>
      <c r="D578" s="58">
        <v>33.659999999999997</v>
      </c>
      <c r="E578" s="59">
        <v>41068</v>
      </c>
      <c r="F578" s="58">
        <v>91119.999511999995</v>
      </c>
      <c r="G578" s="58">
        <v>16449</v>
      </c>
      <c r="H578" s="58">
        <v>15019</v>
      </c>
      <c r="I578" s="58">
        <v>92378.999511999995</v>
      </c>
      <c r="J578" s="58">
        <v>0</v>
      </c>
      <c r="K578" s="1">
        <f t="shared" si="57"/>
        <v>505539.53999999992</v>
      </c>
      <c r="L578" s="1">
        <f t="shared" si="58"/>
        <v>15019</v>
      </c>
      <c r="M578" s="1">
        <f>VLOOKUP(B578,'[1]Срок Годности'!$A$2:$B$4,2,0)</f>
        <v>1500</v>
      </c>
      <c r="N578" s="60">
        <f t="shared" si="59"/>
        <v>16449</v>
      </c>
      <c r="O578" s="1" t="str">
        <f t="shared" si="60"/>
        <v>23 2012</v>
      </c>
      <c r="P578" s="1">
        <f t="shared" si="61"/>
        <v>21</v>
      </c>
      <c r="Q578" s="1">
        <f t="shared" ca="1" si="62"/>
        <v>4065</v>
      </c>
      <c r="S578" s="1">
        <f t="shared" si="56"/>
        <v>92378.999511999995</v>
      </c>
    </row>
    <row r="579" spans="1:19" x14ac:dyDescent="0.2">
      <c r="A579" s="57" t="s">
        <v>242</v>
      </c>
      <c r="B579" s="57" t="s">
        <v>244</v>
      </c>
      <c r="C579" s="57" t="s">
        <v>245</v>
      </c>
      <c r="D579" s="58">
        <v>33.659999999999997</v>
      </c>
      <c r="E579" s="59">
        <v>41069</v>
      </c>
      <c r="F579" s="58">
        <v>92378.999511999995</v>
      </c>
      <c r="G579" s="58">
        <v>17228</v>
      </c>
      <c r="H579" s="58">
        <v>15508</v>
      </c>
      <c r="I579" s="58">
        <v>93954.999511999995</v>
      </c>
      <c r="J579" s="58">
        <v>0</v>
      </c>
      <c r="K579" s="1">
        <f t="shared" si="57"/>
        <v>521999.27999999997</v>
      </c>
      <c r="L579" s="1">
        <f t="shared" si="58"/>
        <v>15508</v>
      </c>
      <c r="M579" s="1">
        <f>VLOOKUP(B579,'[1]Срок Годности'!$A$2:$B$4,2,0)</f>
        <v>1500</v>
      </c>
      <c r="N579" s="60">
        <f t="shared" si="59"/>
        <v>17228</v>
      </c>
      <c r="O579" s="1" t="str">
        <f t="shared" si="60"/>
        <v>23 2012</v>
      </c>
      <c r="P579" s="1">
        <f t="shared" si="61"/>
        <v>21</v>
      </c>
      <c r="Q579" s="1">
        <f t="shared" ca="1" si="62"/>
        <v>4064</v>
      </c>
      <c r="S579" s="1">
        <f t="shared" si="56"/>
        <v>93954.999511999995</v>
      </c>
    </row>
    <row r="580" spans="1:19" x14ac:dyDescent="0.2">
      <c r="A580" s="57" t="s">
        <v>242</v>
      </c>
      <c r="B580" s="57" t="s">
        <v>244</v>
      </c>
      <c r="C580" s="57" t="s">
        <v>245</v>
      </c>
      <c r="D580" s="58">
        <v>33.659999999999997</v>
      </c>
      <c r="E580" s="59">
        <v>41070</v>
      </c>
      <c r="F580" s="58">
        <v>93954.999511999995</v>
      </c>
      <c r="G580" s="58">
        <v>17280</v>
      </c>
      <c r="H580" s="58">
        <v>10768</v>
      </c>
      <c r="I580" s="58">
        <v>100377.99951199999</v>
      </c>
      <c r="J580" s="58">
        <v>0</v>
      </c>
      <c r="K580" s="1">
        <f t="shared" si="57"/>
        <v>362450.87999999995</v>
      </c>
      <c r="L580" s="1">
        <f t="shared" si="58"/>
        <v>10768</v>
      </c>
      <c r="M580" s="1">
        <f>VLOOKUP(B580,'[1]Срок Годности'!$A$2:$B$4,2,0)</f>
        <v>1500</v>
      </c>
      <c r="N580" s="60">
        <f t="shared" si="59"/>
        <v>0</v>
      </c>
      <c r="O580" s="1" t="str">
        <f t="shared" si="60"/>
        <v>24 2012</v>
      </c>
      <c r="P580" s="1">
        <f t="shared" si="61"/>
        <v>21</v>
      </c>
      <c r="Q580" s="1">
        <f t="shared" ca="1" si="62"/>
        <v>4063</v>
      </c>
      <c r="S580" s="1">
        <f t="shared" si="56"/>
        <v>100377.99951199999</v>
      </c>
    </row>
    <row r="581" spans="1:19" x14ac:dyDescent="0.2">
      <c r="A581" s="57" t="s">
        <v>242</v>
      </c>
      <c r="B581" s="57" t="s">
        <v>244</v>
      </c>
      <c r="C581" s="57" t="s">
        <v>245</v>
      </c>
      <c r="D581" s="58">
        <v>33.659999999999997</v>
      </c>
      <c r="E581" s="59">
        <v>41071</v>
      </c>
      <c r="F581" s="58">
        <v>100377.99951199999</v>
      </c>
      <c r="G581" s="58">
        <v>14040</v>
      </c>
      <c r="H581" s="58">
        <v>9379</v>
      </c>
      <c r="I581" s="58">
        <v>104922.99951199999</v>
      </c>
      <c r="J581" s="58">
        <v>0</v>
      </c>
      <c r="K581" s="1">
        <f t="shared" si="57"/>
        <v>315697.13999999996</v>
      </c>
      <c r="L581" s="1">
        <f t="shared" si="58"/>
        <v>9379</v>
      </c>
      <c r="M581" s="1">
        <f>VLOOKUP(B581,'[1]Срок Годности'!$A$2:$B$4,2,0)</f>
        <v>1500</v>
      </c>
      <c r="N581" s="60">
        <f t="shared" si="59"/>
        <v>14040</v>
      </c>
      <c r="O581" s="1" t="str">
        <f t="shared" si="60"/>
        <v>24 2012</v>
      </c>
      <c r="P581" s="1">
        <f t="shared" si="61"/>
        <v>21</v>
      </c>
      <c r="Q581" s="1">
        <f t="shared" ca="1" si="62"/>
        <v>4062</v>
      </c>
      <c r="S581" s="1">
        <f t="shared" si="56"/>
        <v>104922.99951199999</v>
      </c>
    </row>
    <row r="582" spans="1:19" x14ac:dyDescent="0.2">
      <c r="A582" s="57" t="s">
        <v>242</v>
      </c>
      <c r="B582" s="57" t="s">
        <v>244</v>
      </c>
      <c r="C582" s="57" t="s">
        <v>245</v>
      </c>
      <c r="D582" s="58">
        <v>33.659999999999997</v>
      </c>
      <c r="E582" s="59">
        <v>41072</v>
      </c>
      <c r="F582" s="58">
        <v>104922.99951199999</v>
      </c>
      <c r="G582" s="58">
        <v>12030</v>
      </c>
      <c r="H582" s="58">
        <v>9356</v>
      </c>
      <c r="I582" s="58">
        <v>107477.99951199999</v>
      </c>
      <c r="J582" s="58">
        <v>0</v>
      </c>
      <c r="K582" s="1">
        <f t="shared" si="57"/>
        <v>314922.95999999996</v>
      </c>
      <c r="L582" s="1">
        <f t="shared" si="58"/>
        <v>9356</v>
      </c>
      <c r="M582" s="1">
        <f>VLOOKUP(B582,'[1]Срок Годности'!$A$2:$B$4,2,0)</f>
        <v>1500</v>
      </c>
      <c r="N582" s="60">
        <f t="shared" si="59"/>
        <v>12030</v>
      </c>
      <c r="O582" s="1" t="str">
        <f t="shared" si="60"/>
        <v>24 2012</v>
      </c>
      <c r="P582" s="1">
        <f t="shared" si="61"/>
        <v>21</v>
      </c>
      <c r="Q582" s="1">
        <f t="shared" ca="1" si="62"/>
        <v>4061</v>
      </c>
      <c r="S582" s="1">
        <f t="shared" si="56"/>
        <v>107477.99951199999</v>
      </c>
    </row>
    <row r="583" spans="1:19" x14ac:dyDescent="0.2">
      <c r="A583" s="57" t="s">
        <v>242</v>
      </c>
      <c r="B583" s="57" t="s">
        <v>244</v>
      </c>
      <c r="C583" s="57" t="s">
        <v>245</v>
      </c>
      <c r="D583" s="58">
        <v>33.659999999999997</v>
      </c>
      <c r="E583" s="59">
        <v>41073</v>
      </c>
      <c r="F583" s="58">
        <v>107477.99951199999</v>
      </c>
      <c r="G583" s="58">
        <v>9036</v>
      </c>
      <c r="H583" s="58">
        <v>11502</v>
      </c>
      <c r="I583" s="58">
        <v>104931.99951199999</v>
      </c>
      <c r="J583" s="58">
        <v>0</v>
      </c>
      <c r="K583" s="1">
        <f t="shared" si="57"/>
        <v>387157.31999999995</v>
      </c>
      <c r="L583" s="1">
        <f t="shared" si="58"/>
        <v>11502</v>
      </c>
      <c r="M583" s="1">
        <f>VLOOKUP(B583,'[1]Срок Годности'!$A$2:$B$4,2,0)</f>
        <v>1500</v>
      </c>
      <c r="N583" s="60">
        <f t="shared" si="59"/>
        <v>9036</v>
      </c>
      <c r="O583" s="1" t="str">
        <f t="shared" si="60"/>
        <v>24 2012</v>
      </c>
      <c r="P583" s="1">
        <f t="shared" si="61"/>
        <v>21</v>
      </c>
      <c r="Q583" s="1">
        <f t="shared" ca="1" si="62"/>
        <v>4060</v>
      </c>
      <c r="S583" s="1">
        <f t="shared" ref="S583:S646" si="63">I583-J583</f>
        <v>104931.99951199999</v>
      </c>
    </row>
    <row r="584" spans="1:19" x14ac:dyDescent="0.2">
      <c r="A584" s="57" t="s">
        <v>242</v>
      </c>
      <c r="B584" s="57" t="s">
        <v>244</v>
      </c>
      <c r="C584" s="57" t="s">
        <v>245</v>
      </c>
      <c r="D584" s="58">
        <v>33.659999999999997</v>
      </c>
      <c r="E584" s="59">
        <v>41074</v>
      </c>
      <c r="F584" s="58">
        <v>104931.99951199999</v>
      </c>
      <c r="G584" s="58">
        <v>9215</v>
      </c>
      <c r="H584" s="58">
        <v>11297</v>
      </c>
      <c r="I584" s="58">
        <v>102729.99951199999</v>
      </c>
      <c r="J584" s="58">
        <v>0</v>
      </c>
      <c r="K584" s="1">
        <f t="shared" ref="K584:K647" si="64">H584*D584</f>
        <v>380257.01999999996</v>
      </c>
      <c r="L584" s="1">
        <f t="shared" ref="L584:L647" si="65">IF(H584&gt;1000,H584,"")</f>
        <v>11297</v>
      </c>
      <c r="M584" s="1">
        <f>VLOOKUP(B584,'[1]Срок Годности'!$A$2:$B$4,2,0)</f>
        <v>1500</v>
      </c>
      <c r="N584" s="60">
        <f t="shared" ref="N584:N647" si="66">IF(WEEKDAY(E584) = 1, 0, G584)</f>
        <v>9215</v>
      </c>
      <c r="O584" s="1" t="str">
        <f t="shared" ref="O584:O647" si="67">WEEKNUM(E584) &amp; " " &amp; YEAR(E584)</f>
        <v>24 2012</v>
      </c>
      <c r="P584" s="1">
        <f t="shared" ref="P584:P647" si="68">LEN(C584)</f>
        <v>21</v>
      </c>
      <c r="Q584" s="1">
        <f t="shared" ref="Q584:Q647" ca="1" si="69">DATEDIF(E584,NOW(),"D")</f>
        <v>4059</v>
      </c>
      <c r="S584" s="1">
        <f t="shared" si="63"/>
        <v>102729.99951199999</v>
      </c>
    </row>
    <row r="585" spans="1:19" x14ac:dyDescent="0.2">
      <c r="A585" s="57" t="s">
        <v>242</v>
      </c>
      <c r="B585" s="57" t="s">
        <v>244</v>
      </c>
      <c r="C585" s="57" t="s">
        <v>245</v>
      </c>
      <c r="D585" s="58">
        <v>33.659999999999997</v>
      </c>
      <c r="E585" s="59">
        <v>41075</v>
      </c>
      <c r="F585" s="58">
        <v>102729.99951199999</v>
      </c>
      <c r="G585" s="58">
        <v>9729</v>
      </c>
      <c r="H585" s="58">
        <v>11928</v>
      </c>
      <c r="I585" s="58">
        <v>98835.999511999995</v>
      </c>
      <c r="J585" s="58">
        <v>0</v>
      </c>
      <c r="K585" s="1">
        <f t="shared" si="64"/>
        <v>401496.48</v>
      </c>
      <c r="L585" s="1">
        <f t="shared" si="65"/>
        <v>11928</v>
      </c>
      <c r="M585" s="1">
        <f>VLOOKUP(B585,'[1]Срок Годности'!$A$2:$B$4,2,0)</f>
        <v>1500</v>
      </c>
      <c r="N585" s="60">
        <f t="shared" si="66"/>
        <v>9729</v>
      </c>
      <c r="O585" s="1" t="str">
        <f t="shared" si="67"/>
        <v>24 2012</v>
      </c>
      <c r="P585" s="1">
        <f t="shared" si="68"/>
        <v>21</v>
      </c>
      <c r="Q585" s="1">
        <f t="shared" ca="1" si="69"/>
        <v>4058</v>
      </c>
      <c r="S585" s="1">
        <f t="shared" si="63"/>
        <v>98835.999511999995</v>
      </c>
    </row>
    <row r="586" spans="1:19" x14ac:dyDescent="0.2">
      <c r="A586" s="57" t="s">
        <v>242</v>
      </c>
      <c r="B586" s="57" t="s">
        <v>244</v>
      </c>
      <c r="C586" s="57" t="s">
        <v>245</v>
      </c>
      <c r="D586" s="58">
        <v>33.659999999999997</v>
      </c>
      <c r="E586" s="59">
        <v>41076</v>
      </c>
      <c r="F586" s="58">
        <v>98835.999511999995</v>
      </c>
      <c r="G586" s="58">
        <v>9488</v>
      </c>
      <c r="H586" s="58">
        <v>13122</v>
      </c>
      <c r="I586" s="58">
        <v>95102.999511999995</v>
      </c>
      <c r="J586" s="58">
        <v>0</v>
      </c>
      <c r="K586" s="1">
        <f t="shared" si="64"/>
        <v>441686.51999999996</v>
      </c>
      <c r="L586" s="1">
        <f t="shared" si="65"/>
        <v>13122</v>
      </c>
      <c r="M586" s="1">
        <f>VLOOKUP(B586,'[1]Срок Годности'!$A$2:$B$4,2,0)</f>
        <v>1500</v>
      </c>
      <c r="N586" s="60">
        <f t="shared" si="66"/>
        <v>9488</v>
      </c>
      <c r="O586" s="1" t="str">
        <f t="shared" si="67"/>
        <v>24 2012</v>
      </c>
      <c r="P586" s="1">
        <f t="shared" si="68"/>
        <v>21</v>
      </c>
      <c r="Q586" s="1">
        <f t="shared" ca="1" si="69"/>
        <v>4057</v>
      </c>
      <c r="S586" s="1">
        <f t="shared" si="63"/>
        <v>95102.999511999995</v>
      </c>
    </row>
    <row r="587" spans="1:19" x14ac:dyDescent="0.2">
      <c r="A587" s="57" t="s">
        <v>242</v>
      </c>
      <c r="B587" s="57" t="s">
        <v>244</v>
      </c>
      <c r="C587" s="57" t="s">
        <v>245</v>
      </c>
      <c r="D587" s="58">
        <v>33.659999999999997</v>
      </c>
      <c r="E587" s="59">
        <v>41077</v>
      </c>
      <c r="F587" s="58">
        <v>95102.999511999995</v>
      </c>
      <c r="G587" s="58">
        <v>12337</v>
      </c>
      <c r="H587" s="58">
        <v>17980</v>
      </c>
      <c r="I587" s="58">
        <v>89374.999511999995</v>
      </c>
      <c r="J587" s="58">
        <v>0</v>
      </c>
      <c r="K587" s="1">
        <f t="shared" si="64"/>
        <v>605206.79999999993</v>
      </c>
      <c r="L587" s="1">
        <f t="shared" si="65"/>
        <v>17980</v>
      </c>
      <c r="M587" s="1">
        <f>VLOOKUP(B587,'[1]Срок Годности'!$A$2:$B$4,2,0)</f>
        <v>1500</v>
      </c>
      <c r="N587" s="60">
        <f t="shared" si="66"/>
        <v>0</v>
      </c>
      <c r="O587" s="1" t="str">
        <f t="shared" si="67"/>
        <v>25 2012</v>
      </c>
      <c r="P587" s="1">
        <f t="shared" si="68"/>
        <v>21</v>
      </c>
      <c r="Q587" s="1">
        <f t="shared" ca="1" si="69"/>
        <v>4056</v>
      </c>
      <c r="S587" s="1">
        <f t="shared" si="63"/>
        <v>89374.999511999995</v>
      </c>
    </row>
    <row r="588" spans="1:19" x14ac:dyDescent="0.2">
      <c r="A588" s="57" t="s">
        <v>242</v>
      </c>
      <c r="B588" s="57" t="s">
        <v>244</v>
      </c>
      <c r="C588" s="57" t="s">
        <v>245</v>
      </c>
      <c r="D588" s="58">
        <v>33.659999999999997</v>
      </c>
      <c r="E588" s="59">
        <v>41078</v>
      </c>
      <c r="F588" s="58">
        <v>89374.999511999995</v>
      </c>
      <c r="G588" s="58">
        <v>14820</v>
      </c>
      <c r="H588" s="58">
        <v>21280</v>
      </c>
      <c r="I588" s="58">
        <v>82986.999511999995</v>
      </c>
      <c r="J588" s="58">
        <v>0</v>
      </c>
      <c r="K588" s="1">
        <f t="shared" si="64"/>
        <v>716284.79999999993</v>
      </c>
      <c r="L588" s="1">
        <f t="shared" si="65"/>
        <v>21280</v>
      </c>
      <c r="M588" s="1">
        <f>VLOOKUP(B588,'[1]Срок Годности'!$A$2:$B$4,2,0)</f>
        <v>1500</v>
      </c>
      <c r="N588" s="60">
        <f t="shared" si="66"/>
        <v>14820</v>
      </c>
      <c r="O588" s="1" t="str">
        <f t="shared" si="67"/>
        <v>25 2012</v>
      </c>
      <c r="P588" s="1">
        <f t="shared" si="68"/>
        <v>21</v>
      </c>
      <c r="Q588" s="1">
        <f t="shared" ca="1" si="69"/>
        <v>4055</v>
      </c>
      <c r="S588" s="1">
        <f t="shared" si="63"/>
        <v>82986.999511999995</v>
      </c>
    </row>
    <row r="589" spans="1:19" x14ac:dyDescent="0.2">
      <c r="A589" s="57" t="s">
        <v>242</v>
      </c>
      <c r="B589" s="57" t="s">
        <v>244</v>
      </c>
      <c r="C589" s="57" t="s">
        <v>245</v>
      </c>
      <c r="D589" s="58">
        <v>33.659999999999997</v>
      </c>
      <c r="E589" s="59">
        <v>41079</v>
      </c>
      <c r="F589" s="58">
        <v>82986.999511999995</v>
      </c>
      <c r="G589" s="58">
        <v>19139</v>
      </c>
      <c r="H589" s="58">
        <v>23144</v>
      </c>
      <c r="I589" s="58">
        <v>78668.999511999995</v>
      </c>
      <c r="J589" s="58">
        <v>0</v>
      </c>
      <c r="K589" s="1">
        <f t="shared" si="64"/>
        <v>779027.03999999992</v>
      </c>
      <c r="L589" s="1">
        <f t="shared" si="65"/>
        <v>23144</v>
      </c>
      <c r="M589" s="1">
        <f>VLOOKUP(B589,'[1]Срок Годности'!$A$2:$B$4,2,0)</f>
        <v>1500</v>
      </c>
      <c r="N589" s="60">
        <f t="shared" si="66"/>
        <v>19139</v>
      </c>
      <c r="O589" s="1" t="str">
        <f t="shared" si="67"/>
        <v>25 2012</v>
      </c>
      <c r="P589" s="1">
        <f t="shared" si="68"/>
        <v>21</v>
      </c>
      <c r="Q589" s="1">
        <f t="shared" ca="1" si="69"/>
        <v>4054</v>
      </c>
      <c r="S589" s="1">
        <f t="shared" si="63"/>
        <v>78668.999511999995</v>
      </c>
    </row>
    <row r="590" spans="1:19" x14ac:dyDescent="0.2">
      <c r="A590" s="57" t="s">
        <v>242</v>
      </c>
      <c r="B590" s="57" t="s">
        <v>244</v>
      </c>
      <c r="C590" s="57" t="s">
        <v>245</v>
      </c>
      <c r="D590" s="58">
        <v>33.659999999999997</v>
      </c>
      <c r="E590" s="59">
        <v>41080</v>
      </c>
      <c r="F590" s="58">
        <v>78668.999511999995</v>
      </c>
      <c r="G590" s="58">
        <v>28447</v>
      </c>
      <c r="H590" s="58">
        <v>24195</v>
      </c>
      <c r="I590" s="58">
        <v>82779.999511999995</v>
      </c>
      <c r="J590" s="58">
        <v>0</v>
      </c>
      <c r="K590" s="1">
        <f t="shared" si="64"/>
        <v>814403.7</v>
      </c>
      <c r="L590" s="1">
        <f t="shared" si="65"/>
        <v>24195</v>
      </c>
      <c r="M590" s="1">
        <f>VLOOKUP(B590,'[1]Срок Годности'!$A$2:$B$4,2,0)</f>
        <v>1500</v>
      </c>
      <c r="N590" s="60">
        <f t="shared" si="66"/>
        <v>28447</v>
      </c>
      <c r="O590" s="1" t="str">
        <f t="shared" si="67"/>
        <v>25 2012</v>
      </c>
      <c r="P590" s="1">
        <f t="shared" si="68"/>
        <v>21</v>
      </c>
      <c r="Q590" s="1">
        <f t="shared" ca="1" si="69"/>
        <v>4053</v>
      </c>
      <c r="S590" s="1">
        <f t="shared" si="63"/>
        <v>82779.999511999995</v>
      </c>
    </row>
    <row r="591" spans="1:19" x14ac:dyDescent="0.2">
      <c r="A591" s="57" t="s">
        <v>242</v>
      </c>
      <c r="B591" s="57" t="s">
        <v>244</v>
      </c>
      <c r="C591" s="57" t="s">
        <v>245</v>
      </c>
      <c r="D591" s="58">
        <v>33.659999999999997</v>
      </c>
      <c r="E591" s="59">
        <v>41081</v>
      </c>
      <c r="F591" s="58">
        <v>82779.999511999995</v>
      </c>
      <c r="G591" s="58">
        <v>21041</v>
      </c>
      <c r="H591" s="58">
        <v>25990</v>
      </c>
      <c r="I591" s="58">
        <v>76705.999511999995</v>
      </c>
      <c r="J591" s="58">
        <v>0</v>
      </c>
      <c r="K591" s="1">
        <f t="shared" si="64"/>
        <v>874823.39999999991</v>
      </c>
      <c r="L591" s="1">
        <f t="shared" si="65"/>
        <v>25990</v>
      </c>
      <c r="M591" s="1">
        <f>VLOOKUP(B591,'[1]Срок Годности'!$A$2:$B$4,2,0)</f>
        <v>1500</v>
      </c>
      <c r="N591" s="60">
        <f t="shared" si="66"/>
        <v>21041</v>
      </c>
      <c r="O591" s="1" t="str">
        <f t="shared" si="67"/>
        <v>25 2012</v>
      </c>
      <c r="P591" s="1">
        <f t="shared" si="68"/>
        <v>21</v>
      </c>
      <c r="Q591" s="1">
        <f t="shared" ca="1" si="69"/>
        <v>4052</v>
      </c>
      <c r="S591" s="1">
        <f t="shared" si="63"/>
        <v>76705.999511999995</v>
      </c>
    </row>
    <row r="592" spans="1:19" x14ac:dyDescent="0.2">
      <c r="A592" s="57" t="s">
        <v>242</v>
      </c>
      <c r="B592" s="57" t="s">
        <v>244</v>
      </c>
      <c r="C592" s="57" t="s">
        <v>245</v>
      </c>
      <c r="D592" s="58">
        <v>33.659999999999997</v>
      </c>
      <c r="E592" s="59">
        <v>41082</v>
      </c>
      <c r="F592" s="58">
        <v>76705.999511999995</v>
      </c>
      <c r="G592" s="58">
        <v>33112</v>
      </c>
      <c r="H592" s="58">
        <v>23307</v>
      </c>
      <c r="I592" s="58">
        <v>86391.999511999995</v>
      </c>
      <c r="J592" s="58">
        <v>0</v>
      </c>
      <c r="K592" s="1">
        <f t="shared" si="64"/>
        <v>784513.61999999988</v>
      </c>
      <c r="L592" s="1">
        <f t="shared" si="65"/>
        <v>23307</v>
      </c>
      <c r="M592" s="1">
        <f>VLOOKUP(B592,'[1]Срок Годности'!$A$2:$B$4,2,0)</f>
        <v>1500</v>
      </c>
      <c r="N592" s="60">
        <f t="shared" si="66"/>
        <v>33112</v>
      </c>
      <c r="O592" s="1" t="str">
        <f t="shared" si="67"/>
        <v>25 2012</v>
      </c>
      <c r="P592" s="1">
        <f t="shared" si="68"/>
        <v>21</v>
      </c>
      <c r="Q592" s="1">
        <f t="shared" ca="1" si="69"/>
        <v>4051</v>
      </c>
      <c r="S592" s="1">
        <f t="shared" si="63"/>
        <v>86391.999511999995</v>
      </c>
    </row>
    <row r="593" spans="1:19" x14ac:dyDescent="0.2">
      <c r="A593" s="57" t="s">
        <v>242</v>
      </c>
      <c r="B593" s="57" t="s">
        <v>244</v>
      </c>
      <c r="C593" s="57" t="s">
        <v>245</v>
      </c>
      <c r="D593" s="58">
        <v>33.659999999999997</v>
      </c>
      <c r="E593" s="59">
        <v>41083</v>
      </c>
      <c r="F593" s="58">
        <v>86391.999511999995</v>
      </c>
      <c r="G593" s="58">
        <v>18638</v>
      </c>
      <c r="H593" s="58">
        <v>22272</v>
      </c>
      <c r="I593" s="58">
        <v>82042.999511999995</v>
      </c>
      <c r="J593" s="58">
        <v>0</v>
      </c>
      <c r="K593" s="1">
        <f t="shared" si="64"/>
        <v>749675.5199999999</v>
      </c>
      <c r="L593" s="1">
        <f t="shared" si="65"/>
        <v>22272</v>
      </c>
      <c r="M593" s="1">
        <f>VLOOKUP(B593,'[1]Срок Годности'!$A$2:$B$4,2,0)</f>
        <v>1500</v>
      </c>
      <c r="N593" s="60">
        <f t="shared" si="66"/>
        <v>18638</v>
      </c>
      <c r="O593" s="1" t="str">
        <f t="shared" si="67"/>
        <v>25 2012</v>
      </c>
      <c r="P593" s="1">
        <f t="shared" si="68"/>
        <v>21</v>
      </c>
      <c r="Q593" s="1">
        <f t="shared" ca="1" si="69"/>
        <v>4050</v>
      </c>
      <c r="S593" s="1">
        <f t="shared" si="63"/>
        <v>82042.999511999995</v>
      </c>
    </row>
    <row r="594" spans="1:19" x14ac:dyDescent="0.2">
      <c r="A594" s="57" t="s">
        <v>242</v>
      </c>
      <c r="B594" s="57" t="s">
        <v>244</v>
      </c>
      <c r="C594" s="57" t="s">
        <v>245</v>
      </c>
      <c r="D594" s="58">
        <v>33.659999999999997</v>
      </c>
      <c r="E594" s="59">
        <v>41084</v>
      </c>
      <c r="F594" s="58">
        <v>82042.999511999995</v>
      </c>
      <c r="G594" s="58">
        <v>34130</v>
      </c>
      <c r="H594" s="58">
        <v>25094</v>
      </c>
      <c r="I594" s="58">
        <v>91109.999511999995</v>
      </c>
      <c r="J594" s="58">
        <v>0</v>
      </c>
      <c r="K594" s="1">
        <f t="shared" si="64"/>
        <v>844664.03999999992</v>
      </c>
      <c r="L594" s="1">
        <f t="shared" si="65"/>
        <v>25094</v>
      </c>
      <c r="M594" s="1">
        <f>VLOOKUP(B594,'[1]Срок Годности'!$A$2:$B$4,2,0)</f>
        <v>1500</v>
      </c>
      <c r="N594" s="60">
        <f t="shared" si="66"/>
        <v>0</v>
      </c>
      <c r="O594" s="1" t="str">
        <f t="shared" si="67"/>
        <v>26 2012</v>
      </c>
      <c r="P594" s="1">
        <f t="shared" si="68"/>
        <v>21</v>
      </c>
      <c r="Q594" s="1">
        <f t="shared" ca="1" si="69"/>
        <v>4049</v>
      </c>
      <c r="S594" s="1">
        <f t="shared" si="63"/>
        <v>91109.999511999995</v>
      </c>
    </row>
    <row r="595" spans="1:19" x14ac:dyDescent="0.2">
      <c r="A595" s="57" t="s">
        <v>242</v>
      </c>
      <c r="B595" s="57" t="s">
        <v>244</v>
      </c>
      <c r="C595" s="57" t="s">
        <v>245</v>
      </c>
      <c r="D595" s="58">
        <v>33.659999999999997</v>
      </c>
      <c r="E595" s="59">
        <v>41085</v>
      </c>
      <c r="F595" s="58">
        <v>91109.999511999995</v>
      </c>
      <c r="G595" s="58">
        <v>19488</v>
      </c>
      <c r="H595" s="58">
        <v>22599</v>
      </c>
      <c r="I595" s="58">
        <v>87681.999511999995</v>
      </c>
      <c r="J595" s="58">
        <v>0</v>
      </c>
      <c r="K595" s="1">
        <f t="shared" si="64"/>
        <v>760682.34</v>
      </c>
      <c r="L595" s="1">
        <f t="shared" si="65"/>
        <v>22599</v>
      </c>
      <c r="M595" s="1">
        <f>VLOOKUP(B595,'[1]Срок Годности'!$A$2:$B$4,2,0)</f>
        <v>1500</v>
      </c>
      <c r="N595" s="60">
        <f t="shared" si="66"/>
        <v>19488</v>
      </c>
      <c r="O595" s="1" t="str">
        <f t="shared" si="67"/>
        <v>26 2012</v>
      </c>
      <c r="P595" s="1">
        <f t="shared" si="68"/>
        <v>21</v>
      </c>
      <c r="Q595" s="1">
        <f t="shared" ca="1" si="69"/>
        <v>4048</v>
      </c>
      <c r="S595" s="1">
        <f t="shared" si="63"/>
        <v>87681.999511999995</v>
      </c>
    </row>
    <row r="596" spans="1:19" x14ac:dyDescent="0.2">
      <c r="A596" s="57" t="s">
        <v>242</v>
      </c>
      <c r="B596" s="57" t="s">
        <v>244</v>
      </c>
      <c r="C596" s="57" t="s">
        <v>245</v>
      </c>
      <c r="D596" s="58">
        <v>33.659999999999997</v>
      </c>
      <c r="E596" s="59">
        <v>41086</v>
      </c>
      <c r="F596" s="58">
        <v>87681.999511999995</v>
      </c>
      <c r="G596" s="58">
        <v>35107</v>
      </c>
      <c r="H596" s="58">
        <v>18676</v>
      </c>
      <c r="I596" s="58">
        <v>102790.99951199999</v>
      </c>
      <c r="J596" s="58">
        <v>0</v>
      </c>
      <c r="K596" s="1">
        <f t="shared" si="64"/>
        <v>628634.15999999992</v>
      </c>
      <c r="L596" s="1">
        <f t="shared" si="65"/>
        <v>18676</v>
      </c>
      <c r="M596" s="1">
        <f>VLOOKUP(B596,'[1]Срок Годности'!$A$2:$B$4,2,0)</f>
        <v>1500</v>
      </c>
      <c r="N596" s="60">
        <f t="shared" si="66"/>
        <v>35107</v>
      </c>
      <c r="O596" s="1" t="str">
        <f t="shared" si="67"/>
        <v>26 2012</v>
      </c>
      <c r="P596" s="1">
        <f t="shared" si="68"/>
        <v>21</v>
      </c>
      <c r="Q596" s="1">
        <f t="shared" ca="1" si="69"/>
        <v>4047</v>
      </c>
      <c r="S596" s="1">
        <f t="shared" si="63"/>
        <v>102790.99951199999</v>
      </c>
    </row>
    <row r="597" spans="1:19" x14ac:dyDescent="0.2">
      <c r="A597" s="57" t="s">
        <v>242</v>
      </c>
      <c r="B597" s="57" t="s">
        <v>244</v>
      </c>
      <c r="C597" s="57" t="s">
        <v>245</v>
      </c>
      <c r="D597" s="58">
        <v>33.659999999999997</v>
      </c>
      <c r="E597" s="59">
        <v>41087</v>
      </c>
      <c r="F597" s="58">
        <v>102790.99951199999</v>
      </c>
      <c r="G597" s="58">
        <v>38134</v>
      </c>
      <c r="H597" s="58">
        <v>20264</v>
      </c>
      <c r="I597" s="58">
        <v>121384.99951199999</v>
      </c>
      <c r="J597" s="58">
        <v>0</v>
      </c>
      <c r="K597" s="1">
        <f t="shared" si="64"/>
        <v>682086.23999999987</v>
      </c>
      <c r="L597" s="1">
        <f t="shared" si="65"/>
        <v>20264</v>
      </c>
      <c r="M597" s="1">
        <f>VLOOKUP(B597,'[1]Срок Годности'!$A$2:$B$4,2,0)</f>
        <v>1500</v>
      </c>
      <c r="N597" s="60">
        <f t="shared" si="66"/>
        <v>38134</v>
      </c>
      <c r="O597" s="1" t="str">
        <f t="shared" si="67"/>
        <v>26 2012</v>
      </c>
      <c r="P597" s="1">
        <f t="shared" si="68"/>
        <v>21</v>
      </c>
      <c r="Q597" s="1">
        <f t="shared" ca="1" si="69"/>
        <v>4046</v>
      </c>
      <c r="S597" s="1">
        <f t="shared" si="63"/>
        <v>121384.99951199999</v>
      </c>
    </row>
    <row r="598" spans="1:19" x14ac:dyDescent="0.2">
      <c r="A598" s="57" t="s">
        <v>242</v>
      </c>
      <c r="B598" s="57" t="s">
        <v>244</v>
      </c>
      <c r="C598" s="57" t="s">
        <v>245</v>
      </c>
      <c r="D598" s="58">
        <v>33.659999999999997</v>
      </c>
      <c r="E598" s="59">
        <v>41088</v>
      </c>
      <c r="F598" s="58">
        <v>121384.99951199999</v>
      </c>
      <c r="G598" s="58">
        <v>15513</v>
      </c>
      <c r="H598" s="58">
        <v>21879</v>
      </c>
      <c r="I598" s="58">
        <v>115135.99951199999</v>
      </c>
      <c r="J598" s="58">
        <v>0</v>
      </c>
      <c r="K598" s="1">
        <f t="shared" si="64"/>
        <v>736447.1399999999</v>
      </c>
      <c r="L598" s="1">
        <f t="shared" si="65"/>
        <v>21879</v>
      </c>
      <c r="M598" s="1">
        <f>VLOOKUP(B598,'[1]Срок Годности'!$A$2:$B$4,2,0)</f>
        <v>1500</v>
      </c>
      <c r="N598" s="60">
        <f t="shared" si="66"/>
        <v>15513</v>
      </c>
      <c r="O598" s="1" t="str">
        <f t="shared" si="67"/>
        <v>26 2012</v>
      </c>
      <c r="P598" s="1">
        <f t="shared" si="68"/>
        <v>21</v>
      </c>
      <c r="Q598" s="1">
        <f t="shared" ca="1" si="69"/>
        <v>4045</v>
      </c>
      <c r="S598" s="1">
        <f t="shared" si="63"/>
        <v>115135.99951199999</v>
      </c>
    </row>
    <row r="599" spans="1:19" x14ac:dyDescent="0.2">
      <c r="A599" s="57" t="s">
        <v>242</v>
      </c>
      <c r="B599" s="57" t="s">
        <v>244</v>
      </c>
      <c r="C599" s="57" t="s">
        <v>245</v>
      </c>
      <c r="D599" s="58">
        <v>33.659999999999997</v>
      </c>
      <c r="E599" s="59">
        <v>41089</v>
      </c>
      <c r="F599" s="58">
        <v>115135.99951199999</v>
      </c>
      <c r="G599" s="58">
        <v>10990</v>
      </c>
      <c r="H599" s="58">
        <v>25235</v>
      </c>
      <c r="I599" s="58">
        <v>100702.99951199999</v>
      </c>
      <c r="J599" s="58">
        <v>0</v>
      </c>
      <c r="K599" s="1">
        <f t="shared" si="64"/>
        <v>849410.09999999986</v>
      </c>
      <c r="L599" s="1">
        <f t="shared" si="65"/>
        <v>25235</v>
      </c>
      <c r="M599" s="1">
        <f>VLOOKUP(B599,'[1]Срок Годности'!$A$2:$B$4,2,0)</f>
        <v>1500</v>
      </c>
      <c r="N599" s="60">
        <f t="shared" si="66"/>
        <v>10990</v>
      </c>
      <c r="O599" s="1" t="str">
        <f t="shared" si="67"/>
        <v>26 2012</v>
      </c>
      <c r="P599" s="1">
        <f t="shared" si="68"/>
        <v>21</v>
      </c>
      <c r="Q599" s="1">
        <f t="shared" ca="1" si="69"/>
        <v>4044</v>
      </c>
      <c r="S599" s="1">
        <f t="shared" si="63"/>
        <v>100702.99951199999</v>
      </c>
    </row>
    <row r="600" spans="1:19" x14ac:dyDescent="0.2">
      <c r="A600" s="57" t="s">
        <v>242</v>
      </c>
      <c r="B600" s="57" t="s">
        <v>244</v>
      </c>
      <c r="C600" s="57" t="s">
        <v>245</v>
      </c>
      <c r="D600" s="58">
        <v>33.659999999999997</v>
      </c>
      <c r="E600" s="59">
        <v>41090</v>
      </c>
      <c r="F600" s="58">
        <v>100702.99951199999</v>
      </c>
      <c r="G600" s="58">
        <v>23934</v>
      </c>
      <c r="H600" s="58">
        <v>30747</v>
      </c>
      <c r="I600" s="58">
        <v>93798.999511999995</v>
      </c>
      <c r="J600" s="58">
        <v>1</v>
      </c>
      <c r="K600" s="1">
        <f t="shared" si="64"/>
        <v>1034944.0199999999</v>
      </c>
      <c r="L600" s="1">
        <f t="shared" si="65"/>
        <v>30747</v>
      </c>
      <c r="M600" s="1">
        <f>VLOOKUP(B600,'[1]Срок Годности'!$A$2:$B$4,2,0)</f>
        <v>1500</v>
      </c>
      <c r="N600" s="60">
        <f t="shared" si="66"/>
        <v>23934</v>
      </c>
      <c r="O600" s="1" t="str">
        <f t="shared" si="67"/>
        <v>26 2012</v>
      </c>
      <c r="P600" s="1">
        <f t="shared" si="68"/>
        <v>21</v>
      </c>
      <c r="Q600" s="1">
        <f t="shared" ca="1" si="69"/>
        <v>4043</v>
      </c>
      <c r="S600" s="1">
        <f t="shared" si="63"/>
        <v>93797.999511999995</v>
      </c>
    </row>
    <row r="601" spans="1:19" x14ac:dyDescent="0.2">
      <c r="A601" s="57" t="s">
        <v>242</v>
      </c>
      <c r="B601" s="57" t="s">
        <v>244</v>
      </c>
      <c r="C601" s="57" t="s">
        <v>245</v>
      </c>
      <c r="D601" s="58">
        <v>33.659999999999997</v>
      </c>
      <c r="E601" s="59">
        <v>41091</v>
      </c>
      <c r="F601" s="58">
        <v>93798.999511999995</v>
      </c>
      <c r="G601" s="58">
        <v>25688</v>
      </c>
      <c r="H601" s="58">
        <v>34046</v>
      </c>
      <c r="I601" s="58">
        <v>85294.999511999995</v>
      </c>
      <c r="J601" s="58">
        <v>0</v>
      </c>
      <c r="K601" s="1">
        <f t="shared" si="64"/>
        <v>1145988.3599999999</v>
      </c>
      <c r="L601" s="1">
        <f t="shared" si="65"/>
        <v>34046</v>
      </c>
      <c r="M601" s="1">
        <f>VLOOKUP(B601,'[1]Срок Годности'!$A$2:$B$4,2,0)</f>
        <v>1500</v>
      </c>
      <c r="N601" s="60">
        <f t="shared" si="66"/>
        <v>0</v>
      </c>
      <c r="O601" s="1" t="str">
        <f t="shared" si="67"/>
        <v>27 2012</v>
      </c>
      <c r="P601" s="1">
        <f t="shared" si="68"/>
        <v>21</v>
      </c>
      <c r="Q601" s="1">
        <f t="shared" ca="1" si="69"/>
        <v>4042</v>
      </c>
      <c r="S601" s="1">
        <f t="shared" si="63"/>
        <v>85294.999511999995</v>
      </c>
    </row>
    <row r="602" spans="1:19" x14ac:dyDescent="0.2">
      <c r="A602" s="57" t="s">
        <v>242</v>
      </c>
      <c r="B602" s="57" t="s">
        <v>244</v>
      </c>
      <c r="C602" s="57" t="s">
        <v>245</v>
      </c>
      <c r="D602" s="58">
        <v>33.659999999999997</v>
      </c>
      <c r="E602" s="59">
        <v>41092</v>
      </c>
      <c r="F602" s="58">
        <v>85294.999511999995</v>
      </c>
      <c r="G602" s="58">
        <v>7670</v>
      </c>
      <c r="H602" s="58">
        <v>32370</v>
      </c>
      <c r="I602" s="58">
        <v>60483.999512000002</v>
      </c>
      <c r="J602" s="58">
        <v>0</v>
      </c>
      <c r="K602" s="1">
        <f t="shared" si="64"/>
        <v>1089574.2</v>
      </c>
      <c r="L602" s="1">
        <f t="shared" si="65"/>
        <v>32370</v>
      </c>
      <c r="M602" s="1">
        <f>VLOOKUP(B602,'[1]Срок Годности'!$A$2:$B$4,2,0)</f>
        <v>1500</v>
      </c>
      <c r="N602" s="60">
        <f t="shared" si="66"/>
        <v>7670</v>
      </c>
      <c r="O602" s="1" t="str">
        <f t="shared" si="67"/>
        <v>27 2012</v>
      </c>
      <c r="P602" s="1">
        <f t="shared" si="68"/>
        <v>21</v>
      </c>
      <c r="Q602" s="1">
        <f t="shared" ca="1" si="69"/>
        <v>4041</v>
      </c>
      <c r="S602" s="1">
        <f t="shared" si="63"/>
        <v>60483.999512000002</v>
      </c>
    </row>
    <row r="603" spans="1:19" x14ac:dyDescent="0.2">
      <c r="A603" s="57" t="s">
        <v>242</v>
      </c>
      <c r="B603" s="57" t="s">
        <v>244</v>
      </c>
      <c r="C603" s="57" t="s">
        <v>245</v>
      </c>
      <c r="D603" s="58">
        <v>33.659999999999997</v>
      </c>
      <c r="E603" s="59">
        <v>41093</v>
      </c>
      <c r="F603" s="58">
        <v>60483.999512000002</v>
      </c>
      <c r="G603" s="58">
        <v>7436</v>
      </c>
      <c r="H603" s="58">
        <v>24651</v>
      </c>
      <c r="I603" s="58">
        <v>43332.999512000002</v>
      </c>
      <c r="J603" s="58">
        <v>0</v>
      </c>
      <c r="K603" s="1">
        <f t="shared" si="64"/>
        <v>829752.65999999992</v>
      </c>
      <c r="L603" s="1">
        <f t="shared" si="65"/>
        <v>24651</v>
      </c>
      <c r="M603" s="1">
        <f>VLOOKUP(B603,'[1]Срок Годности'!$A$2:$B$4,2,0)</f>
        <v>1500</v>
      </c>
      <c r="N603" s="60">
        <f t="shared" si="66"/>
        <v>7436</v>
      </c>
      <c r="O603" s="1" t="str">
        <f t="shared" si="67"/>
        <v>27 2012</v>
      </c>
      <c r="P603" s="1">
        <f t="shared" si="68"/>
        <v>21</v>
      </c>
      <c r="Q603" s="1">
        <f t="shared" ca="1" si="69"/>
        <v>4040</v>
      </c>
      <c r="S603" s="1">
        <f t="shared" si="63"/>
        <v>43332.999512000002</v>
      </c>
    </row>
    <row r="604" spans="1:19" x14ac:dyDescent="0.2">
      <c r="A604" s="57" t="s">
        <v>242</v>
      </c>
      <c r="B604" s="57" t="s">
        <v>244</v>
      </c>
      <c r="C604" s="57" t="s">
        <v>245</v>
      </c>
      <c r="D604" s="58">
        <v>33.659999999999997</v>
      </c>
      <c r="E604" s="59">
        <v>41094</v>
      </c>
      <c r="F604" s="58">
        <v>43332.999512000002</v>
      </c>
      <c r="G604" s="58">
        <v>19676</v>
      </c>
      <c r="H604" s="58">
        <v>21961</v>
      </c>
      <c r="I604" s="58">
        <v>41097.999512000002</v>
      </c>
      <c r="J604" s="58">
        <v>0</v>
      </c>
      <c r="K604" s="1">
        <f t="shared" si="64"/>
        <v>739207.25999999989</v>
      </c>
      <c r="L604" s="1">
        <f t="shared" si="65"/>
        <v>21961</v>
      </c>
      <c r="M604" s="1">
        <f>VLOOKUP(B604,'[1]Срок Годности'!$A$2:$B$4,2,0)</f>
        <v>1500</v>
      </c>
      <c r="N604" s="60">
        <f t="shared" si="66"/>
        <v>19676</v>
      </c>
      <c r="O604" s="1" t="str">
        <f t="shared" si="67"/>
        <v>27 2012</v>
      </c>
      <c r="P604" s="1">
        <f t="shared" si="68"/>
        <v>21</v>
      </c>
      <c r="Q604" s="1">
        <f t="shared" ca="1" si="69"/>
        <v>4039</v>
      </c>
      <c r="S604" s="1">
        <f t="shared" si="63"/>
        <v>41097.999512000002</v>
      </c>
    </row>
    <row r="605" spans="1:19" x14ac:dyDescent="0.2">
      <c r="A605" s="57" t="s">
        <v>242</v>
      </c>
      <c r="B605" s="57" t="s">
        <v>244</v>
      </c>
      <c r="C605" s="57" t="s">
        <v>245</v>
      </c>
      <c r="D605" s="58">
        <v>33.659999999999997</v>
      </c>
      <c r="E605" s="59">
        <v>41095</v>
      </c>
      <c r="F605" s="58">
        <v>41097.999512000002</v>
      </c>
      <c r="G605" s="58">
        <v>10429</v>
      </c>
      <c r="H605" s="58">
        <v>21554</v>
      </c>
      <c r="I605" s="58">
        <v>29982.999511999999</v>
      </c>
      <c r="J605" s="58">
        <v>0</v>
      </c>
      <c r="K605" s="1">
        <f t="shared" si="64"/>
        <v>725507.6399999999</v>
      </c>
      <c r="L605" s="1">
        <f t="shared" si="65"/>
        <v>21554</v>
      </c>
      <c r="M605" s="1">
        <f>VLOOKUP(B605,'[1]Срок Годности'!$A$2:$B$4,2,0)</f>
        <v>1500</v>
      </c>
      <c r="N605" s="60">
        <f t="shared" si="66"/>
        <v>10429</v>
      </c>
      <c r="O605" s="1" t="str">
        <f t="shared" si="67"/>
        <v>27 2012</v>
      </c>
      <c r="P605" s="1">
        <f t="shared" si="68"/>
        <v>21</v>
      </c>
      <c r="Q605" s="1">
        <f t="shared" ca="1" si="69"/>
        <v>4038</v>
      </c>
      <c r="S605" s="1">
        <f t="shared" si="63"/>
        <v>29982.999511999999</v>
      </c>
    </row>
    <row r="606" spans="1:19" x14ac:dyDescent="0.2">
      <c r="A606" s="57" t="s">
        <v>242</v>
      </c>
      <c r="B606" s="57" t="s">
        <v>244</v>
      </c>
      <c r="C606" s="57" t="s">
        <v>245</v>
      </c>
      <c r="D606" s="58">
        <v>33.659999999999997</v>
      </c>
      <c r="E606" s="59">
        <v>41096</v>
      </c>
      <c r="F606" s="58">
        <v>29982.999511999999</v>
      </c>
      <c r="G606" s="58">
        <v>29477</v>
      </c>
      <c r="H606" s="58">
        <v>15530</v>
      </c>
      <c r="I606" s="58">
        <v>43982.999512000002</v>
      </c>
      <c r="J606" s="58">
        <v>1</v>
      </c>
      <c r="K606" s="1">
        <f t="shared" si="64"/>
        <v>522739.79999999993</v>
      </c>
      <c r="L606" s="1">
        <f t="shared" si="65"/>
        <v>15530</v>
      </c>
      <c r="M606" s="1">
        <f>VLOOKUP(B606,'[1]Срок Годности'!$A$2:$B$4,2,0)</f>
        <v>1500</v>
      </c>
      <c r="N606" s="60">
        <f t="shared" si="66"/>
        <v>29477</v>
      </c>
      <c r="O606" s="1" t="str">
        <f t="shared" si="67"/>
        <v>27 2012</v>
      </c>
      <c r="P606" s="1">
        <f t="shared" si="68"/>
        <v>21</v>
      </c>
      <c r="Q606" s="1">
        <f t="shared" ca="1" si="69"/>
        <v>4037</v>
      </c>
      <c r="S606" s="1">
        <f t="shared" si="63"/>
        <v>43981.999512000002</v>
      </c>
    </row>
    <row r="607" spans="1:19" x14ac:dyDescent="0.2">
      <c r="A607" s="57" t="s">
        <v>242</v>
      </c>
      <c r="B607" s="57" t="s">
        <v>244</v>
      </c>
      <c r="C607" s="57" t="s">
        <v>245</v>
      </c>
      <c r="D607" s="58">
        <v>33.659999999999997</v>
      </c>
      <c r="E607" s="59">
        <v>41097</v>
      </c>
      <c r="F607" s="58">
        <v>43982.999512000002</v>
      </c>
      <c r="G607" s="58">
        <v>43484</v>
      </c>
      <c r="H607" s="58">
        <v>19658</v>
      </c>
      <c r="I607" s="58">
        <v>67567.999511999995</v>
      </c>
      <c r="J607" s="58">
        <v>0</v>
      </c>
      <c r="K607" s="1">
        <f t="shared" si="64"/>
        <v>661688.27999999991</v>
      </c>
      <c r="L607" s="1">
        <f t="shared" si="65"/>
        <v>19658</v>
      </c>
      <c r="M607" s="1">
        <f>VLOOKUP(B607,'[1]Срок Годности'!$A$2:$B$4,2,0)</f>
        <v>1500</v>
      </c>
      <c r="N607" s="60">
        <f t="shared" si="66"/>
        <v>43484</v>
      </c>
      <c r="O607" s="1" t="str">
        <f t="shared" si="67"/>
        <v>27 2012</v>
      </c>
      <c r="P607" s="1">
        <f t="shared" si="68"/>
        <v>21</v>
      </c>
      <c r="Q607" s="1">
        <f t="shared" ca="1" si="69"/>
        <v>4036</v>
      </c>
      <c r="S607" s="1">
        <f t="shared" si="63"/>
        <v>67567.999511999995</v>
      </c>
    </row>
    <row r="608" spans="1:19" x14ac:dyDescent="0.2">
      <c r="A608" s="57" t="s">
        <v>242</v>
      </c>
      <c r="B608" s="57" t="s">
        <v>244</v>
      </c>
      <c r="C608" s="57" t="s">
        <v>245</v>
      </c>
      <c r="D608" s="58">
        <v>33.659999999999997</v>
      </c>
      <c r="E608" s="59">
        <v>41098</v>
      </c>
      <c r="F608" s="58">
        <v>67567.999511999995</v>
      </c>
      <c r="G608" s="58">
        <v>90162</v>
      </c>
      <c r="H608" s="58">
        <v>31836</v>
      </c>
      <c r="I608" s="58">
        <v>125583.99951199999</v>
      </c>
      <c r="J608" s="58">
        <v>0</v>
      </c>
      <c r="K608" s="1">
        <f t="shared" si="64"/>
        <v>1071599.7599999998</v>
      </c>
      <c r="L608" s="1">
        <f t="shared" si="65"/>
        <v>31836</v>
      </c>
      <c r="M608" s="1">
        <f>VLOOKUP(B608,'[1]Срок Годности'!$A$2:$B$4,2,0)</f>
        <v>1500</v>
      </c>
      <c r="N608" s="60">
        <f t="shared" si="66"/>
        <v>0</v>
      </c>
      <c r="O608" s="1" t="str">
        <f t="shared" si="67"/>
        <v>28 2012</v>
      </c>
      <c r="P608" s="1">
        <f t="shared" si="68"/>
        <v>21</v>
      </c>
      <c r="Q608" s="1">
        <f t="shared" ca="1" si="69"/>
        <v>4035</v>
      </c>
      <c r="S608" s="1">
        <f t="shared" si="63"/>
        <v>125583.99951199999</v>
      </c>
    </row>
    <row r="609" spans="1:19" x14ac:dyDescent="0.2">
      <c r="A609" s="57" t="s">
        <v>242</v>
      </c>
      <c r="B609" s="57" t="s">
        <v>244</v>
      </c>
      <c r="C609" s="57" t="s">
        <v>245</v>
      </c>
      <c r="D609" s="58">
        <v>33.659999999999997</v>
      </c>
      <c r="E609" s="59">
        <v>41099</v>
      </c>
      <c r="F609" s="58">
        <v>125583.99951199999</v>
      </c>
      <c r="G609" s="58">
        <v>60550</v>
      </c>
      <c r="H609" s="58">
        <v>35308</v>
      </c>
      <c r="I609" s="58">
        <v>150430.99951200001</v>
      </c>
      <c r="J609" s="58">
        <v>0</v>
      </c>
      <c r="K609" s="1">
        <f t="shared" si="64"/>
        <v>1188467.2799999998</v>
      </c>
      <c r="L609" s="1">
        <f t="shared" si="65"/>
        <v>35308</v>
      </c>
      <c r="M609" s="1">
        <f>VLOOKUP(B609,'[1]Срок Годности'!$A$2:$B$4,2,0)</f>
        <v>1500</v>
      </c>
      <c r="N609" s="60">
        <f t="shared" si="66"/>
        <v>60550</v>
      </c>
      <c r="O609" s="1" t="str">
        <f t="shared" si="67"/>
        <v>28 2012</v>
      </c>
      <c r="P609" s="1">
        <f t="shared" si="68"/>
        <v>21</v>
      </c>
      <c r="Q609" s="1">
        <f t="shared" ca="1" si="69"/>
        <v>4034</v>
      </c>
      <c r="S609" s="1">
        <f t="shared" si="63"/>
        <v>150430.99951200001</v>
      </c>
    </row>
    <row r="610" spans="1:19" x14ac:dyDescent="0.2">
      <c r="A610" s="57" t="s">
        <v>242</v>
      </c>
      <c r="B610" s="57" t="s">
        <v>244</v>
      </c>
      <c r="C610" s="57" t="s">
        <v>245</v>
      </c>
      <c r="D610" s="58">
        <v>33.659999999999997</v>
      </c>
      <c r="E610" s="59">
        <v>41100</v>
      </c>
      <c r="F610" s="58">
        <v>150430.99951200001</v>
      </c>
      <c r="G610" s="58">
        <v>36778</v>
      </c>
      <c r="H610" s="58">
        <v>37423</v>
      </c>
      <c r="I610" s="58">
        <v>149502.99951200001</v>
      </c>
      <c r="J610" s="58">
        <v>0</v>
      </c>
      <c r="K610" s="1">
        <f t="shared" si="64"/>
        <v>1259658.18</v>
      </c>
      <c r="L610" s="1">
        <f t="shared" si="65"/>
        <v>37423</v>
      </c>
      <c r="M610" s="1">
        <f>VLOOKUP(B610,'[1]Срок Годности'!$A$2:$B$4,2,0)</f>
        <v>1500</v>
      </c>
      <c r="N610" s="60">
        <f t="shared" si="66"/>
        <v>36778</v>
      </c>
      <c r="O610" s="1" t="str">
        <f t="shared" si="67"/>
        <v>28 2012</v>
      </c>
      <c r="P610" s="1">
        <f t="shared" si="68"/>
        <v>21</v>
      </c>
      <c r="Q610" s="1">
        <f t="shared" ca="1" si="69"/>
        <v>4033</v>
      </c>
      <c r="S610" s="1">
        <f t="shared" si="63"/>
        <v>149502.99951200001</v>
      </c>
    </row>
    <row r="611" spans="1:19" x14ac:dyDescent="0.2">
      <c r="A611" s="57" t="s">
        <v>242</v>
      </c>
      <c r="B611" s="57" t="s">
        <v>244</v>
      </c>
      <c r="C611" s="57" t="s">
        <v>245</v>
      </c>
      <c r="D611" s="58">
        <v>33.659999999999997</v>
      </c>
      <c r="E611" s="59">
        <v>41101</v>
      </c>
      <c r="F611" s="58">
        <v>149502.99951200001</v>
      </c>
      <c r="G611" s="58">
        <v>51387</v>
      </c>
      <c r="H611" s="58">
        <v>40665</v>
      </c>
      <c r="I611" s="58">
        <v>159805.99951200001</v>
      </c>
      <c r="J611" s="58">
        <v>1</v>
      </c>
      <c r="K611" s="1">
        <f t="shared" si="64"/>
        <v>1368783.9</v>
      </c>
      <c r="L611" s="1">
        <f t="shared" si="65"/>
        <v>40665</v>
      </c>
      <c r="M611" s="1">
        <f>VLOOKUP(B611,'[1]Срок Годности'!$A$2:$B$4,2,0)</f>
        <v>1500</v>
      </c>
      <c r="N611" s="60">
        <f t="shared" si="66"/>
        <v>51387</v>
      </c>
      <c r="O611" s="1" t="str">
        <f t="shared" si="67"/>
        <v>28 2012</v>
      </c>
      <c r="P611" s="1">
        <f t="shared" si="68"/>
        <v>21</v>
      </c>
      <c r="Q611" s="1">
        <f t="shared" ca="1" si="69"/>
        <v>4032</v>
      </c>
      <c r="S611" s="1">
        <f t="shared" si="63"/>
        <v>159804.99951200001</v>
      </c>
    </row>
    <row r="612" spans="1:19" x14ac:dyDescent="0.2">
      <c r="A612" s="57" t="s">
        <v>242</v>
      </c>
      <c r="B612" s="57" t="s">
        <v>244</v>
      </c>
      <c r="C612" s="57" t="s">
        <v>245</v>
      </c>
      <c r="D612" s="58">
        <v>33.659999999999997</v>
      </c>
      <c r="E612" s="59">
        <v>41102</v>
      </c>
      <c r="F612" s="58">
        <v>159805.99951200001</v>
      </c>
      <c r="G612" s="58">
        <v>52924</v>
      </c>
      <c r="H612" s="58">
        <v>40539</v>
      </c>
      <c r="I612" s="58">
        <v>171679.99951200001</v>
      </c>
      <c r="J612" s="58">
        <v>4</v>
      </c>
      <c r="K612" s="1">
        <f t="shared" si="64"/>
        <v>1364542.7399999998</v>
      </c>
      <c r="L612" s="1">
        <f t="shared" si="65"/>
        <v>40539</v>
      </c>
      <c r="M612" s="1">
        <f>VLOOKUP(B612,'[1]Срок Годности'!$A$2:$B$4,2,0)</f>
        <v>1500</v>
      </c>
      <c r="N612" s="60">
        <f t="shared" si="66"/>
        <v>52924</v>
      </c>
      <c r="O612" s="1" t="str">
        <f t="shared" si="67"/>
        <v>28 2012</v>
      </c>
      <c r="P612" s="1">
        <f t="shared" si="68"/>
        <v>21</v>
      </c>
      <c r="Q612" s="1">
        <f t="shared" ca="1" si="69"/>
        <v>4031</v>
      </c>
      <c r="S612" s="1">
        <f t="shared" si="63"/>
        <v>171675.99951200001</v>
      </c>
    </row>
    <row r="613" spans="1:19" x14ac:dyDescent="0.2">
      <c r="A613" s="57" t="s">
        <v>242</v>
      </c>
      <c r="B613" s="57" t="s">
        <v>244</v>
      </c>
      <c r="C613" s="57" t="s">
        <v>245</v>
      </c>
      <c r="D613" s="58">
        <v>33.659999999999997</v>
      </c>
      <c r="E613" s="59">
        <v>41103</v>
      </c>
      <c r="F613" s="58">
        <v>171679.99951200001</v>
      </c>
      <c r="G613" s="58">
        <v>57603</v>
      </c>
      <c r="H613" s="58">
        <v>36772</v>
      </c>
      <c r="I613" s="58">
        <v>192383.99951200001</v>
      </c>
      <c r="J613" s="58">
        <v>0</v>
      </c>
      <c r="K613" s="1">
        <f t="shared" si="64"/>
        <v>1237745.5199999998</v>
      </c>
      <c r="L613" s="1">
        <f t="shared" si="65"/>
        <v>36772</v>
      </c>
      <c r="M613" s="1">
        <f>VLOOKUP(B613,'[1]Срок Годности'!$A$2:$B$4,2,0)</f>
        <v>1500</v>
      </c>
      <c r="N613" s="60">
        <f t="shared" si="66"/>
        <v>57603</v>
      </c>
      <c r="O613" s="1" t="str">
        <f t="shared" si="67"/>
        <v>28 2012</v>
      </c>
      <c r="P613" s="1">
        <f t="shared" si="68"/>
        <v>21</v>
      </c>
      <c r="Q613" s="1">
        <f t="shared" ca="1" si="69"/>
        <v>4030</v>
      </c>
      <c r="S613" s="1">
        <f t="shared" si="63"/>
        <v>192383.99951200001</v>
      </c>
    </row>
    <row r="614" spans="1:19" x14ac:dyDescent="0.2">
      <c r="A614" s="57" t="s">
        <v>242</v>
      </c>
      <c r="B614" s="57" t="s">
        <v>244</v>
      </c>
      <c r="C614" s="57" t="s">
        <v>245</v>
      </c>
      <c r="D614" s="58">
        <v>33.659999999999997</v>
      </c>
      <c r="E614" s="59">
        <v>41104</v>
      </c>
      <c r="F614" s="58">
        <v>192383.99951200001</v>
      </c>
      <c r="G614" s="58">
        <v>55160</v>
      </c>
      <c r="H614" s="58">
        <v>31886</v>
      </c>
      <c r="I614" s="58">
        <v>215577.99951200001</v>
      </c>
      <c r="J614" s="58">
        <v>1</v>
      </c>
      <c r="K614" s="1">
        <f t="shared" si="64"/>
        <v>1073282.7599999998</v>
      </c>
      <c r="L614" s="1">
        <f t="shared" si="65"/>
        <v>31886</v>
      </c>
      <c r="M614" s="1">
        <f>VLOOKUP(B614,'[1]Срок Годности'!$A$2:$B$4,2,0)</f>
        <v>1500</v>
      </c>
      <c r="N614" s="60">
        <f t="shared" si="66"/>
        <v>55160</v>
      </c>
      <c r="O614" s="1" t="str">
        <f t="shared" si="67"/>
        <v>28 2012</v>
      </c>
      <c r="P614" s="1">
        <f t="shared" si="68"/>
        <v>21</v>
      </c>
      <c r="Q614" s="1">
        <f t="shared" ca="1" si="69"/>
        <v>4029</v>
      </c>
      <c r="S614" s="1">
        <f t="shared" si="63"/>
        <v>215576.99951200001</v>
      </c>
    </row>
    <row r="615" spans="1:19" x14ac:dyDescent="0.2">
      <c r="A615" s="57" t="s">
        <v>242</v>
      </c>
      <c r="B615" s="57" t="s">
        <v>244</v>
      </c>
      <c r="C615" s="57" t="s">
        <v>245</v>
      </c>
      <c r="D615" s="58">
        <v>33.659999999999997</v>
      </c>
      <c r="E615" s="59">
        <v>41105</v>
      </c>
      <c r="F615" s="58">
        <v>215577.99951200001</v>
      </c>
      <c r="G615" s="58">
        <v>34717</v>
      </c>
      <c r="H615" s="58">
        <v>28218</v>
      </c>
      <c r="I615" s="58">
        <v>221860.99951200001</v>
      </c>
      <c r="J615" s="58">
        <v>1</v>
      </c>
      <c r="K615" s="1">
        <f t="shared" si="64"/>
        <v>949817.87999999989</v>
      </c>
      <c r="L615" s="1">
        <f t="shared" si="65"/>
        <v>28218</v>
      </c>
      <c r="M615" s="1">
        <f>VLOOKUP(B615,'[1]Срок Годности'!$A$2:$B$4,2,0)</f>
        <v>1500</v>
      </c>
      <c r="N615" s="60">
        <f t="shared" si="66"/>
        <v>0</v>
      </c>
      <c r="O615" s="1" t="str">
        <f t="shared" si="67"/>
        <v>29 2012</v>
      </c>
      <c r="P615" s="1">
        <f t="shared" si="68"/>
        <v>21</v>
      </c>
      <c r="Q615" s="1">
        <f t="shared" ca="1" si="69"/>
        <v>4028</v>
      </c>
      <c r="S615" s="1">
        <f t="shared" si="63"/>
        <v>221859.99951200001</v>
      </c>
    </row>
    <row r="616" spans="1:19" x14ac:dyDescent="0.2">
      <c r="A616" s="57" t="s">
        <v>242</v>
      </c>
      <c r="B616" s="57" t="s">
        <v>244</v>
      </c>
      <c r="C616" s="57" t="s">
        <v>245</v>
      </c>
      <c r="D616" s="58">
        <v>33.659999999999997</v>
      </c>
      <c r="E616" s="59">
        <v>41106</v>
      </c>
      <c r="F616" s="58">
        <v>221860.99951200001</v>
      </c>
      <c r="G616" s="58">
        <v>41780</v>
      </c>
      <c r="H616" s="58">
        <v>26241</v>
      </c>
      <c r="I616" s="58">
        <v>236993.99951200001</v>
      </c>
      <c r="J616" s="58">
        <v>0</v>
      </c>
      <c r="K616" s="1">
        <f t="shared" si="64"/>
        <v>883272.05999999994</v>
      </c>
      <c r="L616" s="1">
        <f t="shared" si="65"/>
        <v>26241</v>
      </c>
      <c r="M616" s="1">
        <f>VLOOKUP(B616,'[1]Срок Годности'!$A$2:$B$4,2,0)</f>
        <v>1500</v>
      </c>
      <c r="N616" s="60">
        <f t="shared" si="66"/>
        <v>41780</v>
      </c>
      <c r="O616" s="1" t="str">
        <f t="shared" si="67"/>
        <v>29 2012</v>
      </c>
      <c r="P616" s="1">
        <f t="shared" si="68"/>
        <v>21</v>
      </c>
      <c r="Q616" s="1">
        <f t="shared" ca="1" si="69"/>
        <v>4027</v>
      </c>
      <c r="S616" s="1">
        <f t="shared" si="63"/>
        <v>236993.99951200001</v>
      </c>
    </row>
    <row r="617" spans="1:19" x14ac:dyDescent="0.2">
      <c r="A617" s="57" t="s">
        <v>242</v>
      </c>
      <c r="B617" s="57" t="s">
        <v>244</v>
      </c>
      <c r="C617" s="57" t="s">
        <v>245</v>
      </c>
      <c r="D617" s="58">
        <v>33.659999999999997</v>
      </c>
      <c r="E617" s="59">
        <v>41107</v>
      </c>
      <c r="F617" s="58">
        <v>236993.99951200001</v>
      </c>
      <c r="G617" s="58">
        <v>11842</v>
      </c>
      <c r="H617" s="58">
        <v>17540</v>
      </c>
      <c r="I617" s="58">
        <v>230995.99951200001</v>
      </c>
      <c r="J617" s="58">
        <v>1</v>
      </c>
      <c r="K617" s="1">
        <f t="shared" si="64"/>
        <v>590396.39999999991</v>
      </c>
      <c r="L617" s="1">
        <f t="shared" si="65"/>
        <v>17540</v>
      </c>
      <c r="M617" s="1">
        <f>VLOOKUP(B617,'[1]Срок Годности'!$A$2:$B$4,2,0)</f>
        <v>1500</v>
      </c>
      <c r="N617" s="60">
        <f t="shared" si="66"/>
        <v>11842</v>
      </c>
      <c r="O617" s="1" t="str">
        <f t="shared" si="67"/>
        <v>29 2012</v>
      </c>
      <c r="P617" s="1">
        <f t="shared" si="68"/>
        <v>21</v>
      </c>
      <c r="Q617" s="1">
        <f t="shared" ca="1" si="69"/>
        <v>4026</v>
      </c>
      <c r="S617" s="1">
        <f t="shared" si="63"/>
        <v>230994.99951200001</v>
      </c>
    </row>
    <row r="618" spans="1:19" x14ac:dyDescent="0.2">
      <c r="A618" s="57" t="s">
        <v>242</v>
      </c>
      <c r="B618" s="57" t="s">
        <v>237</v>
      </c>
      <c r="C618" s="57" t="s">
        <v>238</v>
      </c>
      <c r="D618" s="58">
        <v>165.05</v>
      </c>
      <c r="E618" s="59">
        <v>41061</v>
      </c>
      <c r="F618" s="58">
        <v>8118</v>
      </c>
      <c r="G618" s="58">
        <v>738</v>
      </c>
      <c r="H618" s="58">
        <v>1002</v>
      </c>
      <c r="I618" s="58">
        <v>7844</v>
      </c>
      <c r="J618" s="58">
        <v>0</v>
      </c>
      <c r="K618" s="1">
        <f t="shared" si="64"/>
        <v>165380.1</v>
      </c>
      <c r="L618" s="1">
        <f t="shared" si="65"/>
        <v>1002</v>
      </c>
      <c r="M618" s="1">
        <f>VLOOKUP(B618,'[1]Срок Годности'!$A$2:$B$4,2,0)</f>
        <v>1000</v>
      </c>
      <c r="N618" s="60">
        <f t="shared" si="66"/>
        <v>738</v>
      </c>
      <c r="O618" s="1" t="str">
        <f t="shared" si="67"/>
        <v>22 2012</v>
      </c>
      <c r="P618" s="1">
        <f t="shared" si="68"/>
        <v>22</v>
      </c>
      <c r="Q618" s="1">
        <f t="shared" ca="1" si="69"/>
        <v>4072</v>
      </c>
      <c r="S618" s="1">
        <f t="shared" si="63"/>
        <v>7844</v>
      </c>
    </row>
    <row r="619" spans="1:19" x14ac:dyDescent="0.2">
      <c r="A619" s="57" t="s">
        <v>242</v>
      </c>
      <c r="B619" s="57" t="s">
        <v>237</v>
      </c>
      <c r="C619" s="57" t="s">
        <v>238</v>
      </c>
      <c r="D619" s="58">
        <v>165.05</v>
      </c>
      <c r="E619" s="59">
        <v>41062</v>
      </c>
      <c r="F619" s="58">
        <v>7844</v>
      </c>
      <c r="G619" s="58">
        <v>814</v>
      </c>
      <c r="H619" s="58">
        <v>900</v>
      </c>
      <c r="I619" s="58">
        <v>7729</v>
      </c>
      <c r="J619" s="58">
        <v>0</v>
      </c>
      <c r="K619" s="1">
        <f t="shared" si="64"/>
        <v>148545</v>
      </c>
      <c r="L619" s="1" t="str">
        <f t="shared" si="65"/>
        <v/>
      </c>
      <c r="M619" s="1">
        <f>VLOOKUP(B619,'[1]Срок Годности'!$A$2:$B$4,2,0)</f>
        <v>1000</v>
      </c>
      <c r="N619" s="60">
        <f t="shared" si="66"/>
        <v>814</v>
      </c>
      <c r="O619" s="1" t="str">
        <f t="shared" si="67"/>
        <v>22 2012</v>
      </c>
      <c r="P619" s="1">
        <f t="shared" si="68"/>
        <v>22</v>
      </c>
      <c r="Q619" s="1">
        <f t="shared" ca="1" si="69"/>
        <v>4071</v>
      </c>
      <c r="S619" s="1">
        <f t="shared" si="63"/>
        <v>7729</v>
      </c>
    </row>
    <row r="620" spans="1:19" x14ac:dyDescent="0.2">
      <c r="A620" s="57" t="s">
        <v>242</v>
      </c>
      <c r="B620" s="57" t="s">
        <v>237</v>
      </c>
      <c r="C620" s="57" t="s">
        <v>238</v>
      </c>
      <c r="D620" s="58">
        <v>165.05</v>
      </c>
      <c r="E620" s="59">
        <v>41063</v>
      </c>
      <c r="F620" s="58">
        <v>7729</v>
      </c>
      <c r="G620" s="58">
        <v>877</v>
      </c>
      <c r="H620" s="58">
        <v>1013</v>
      </c>
      <c r="I620" s="58">
        <v>7574</v>
      </c>
      <c r="J620" s="58">
        <v>0</v>
      </c>
      <c r="K620" s="1">
        <f t="shared" si="64"/>
        <v>167195.65000000002</v>
      </c>
      <c r="L620" s="1">
        <f t="shared" si="65"/>
        <v>1013</v>
      </c>
      <c r="M620" s="1">
        <f>VLOOKUP(B620,'[1]Срок Годности'!$A$2:$B$4,2,0)</f>
        <v>1000</v>
      </c>
      <c r="N620" s="60">
        <f t="shared" si="66"/>
        <v>0</v>
      </c>
      <c r="O620" s="1" t="str">
        <f t="shared" si="67"/>
        <v>23 2012</v>
      </c>
      <c r="P620" s="1">
        <f t="shared" si="68"/>
        <v>22</v>
      </c>
      <c r="Q620" s="1">
        <f t="shared" ca="1" si="69"/>
        <v>4070</v>
      </c>
      <c r="S620" s="1">
        <f t="shared" si="63"/>
        <v>7574</v>
      </c>
    </row>
    <row r="621" spans="1:19" x14ac:dyDescent="0.2">
      <c r="A621" s="57" t="s">
        <v>242</v>
      </c>
      <c r="B621" s="57" t="s">
        <v>237</v>
      </c>
      <c r="C621" s="57" t="s">
        <v>238</v>
      </c>
      <c r="D621" s="58">
        <v>165.05</v>
      </c>
      <c r="E621" s="59">
        <v>41064</v>
      </c>
      <c r="F621" s="58">
        <v>7574</v>
      </c>
      <c r="G621" s="58">
        <v>402</v>
      </c>
      <c r="H621" s="58">
        <v>1205</v>
      </c>
      <c r="I621" s="58">
        <v>6737</v>
      </c>
      <c r="J621" s="58">
        <v>0</v>
      </c>
      <c r="K621" s="1">
        <f t="shared" si="64"/>
        <v>198885.25</v>
      </c>
      <c r="L621" s="1">
        <f t="shared" si="65"/>
        <v>1205</v>
      </c>
      <c r="M621" s="1">
        <f>VLOOKUP(B621,'[1]Срок Годности'!$A$2:$B$4,2,0)</f>
        <v>1000</v>
      </c>
      <c r="N621" s="60">
        <f t="shared" si="66"/>
        <v>402</v>
      </c>
      <c r="O621" s="1" t="str">
        <f t="shared" si="67"/>
        <v>23 2012</v>
      </c>
      <c r="P621" s="1">
        <f t="shared" si="68"/>
        <v>22</v>
      </c>
      <c r="Q621" s="1">
        <f t="shared" ca="1" si="69"/>
        <v>4069</v>
      </c>
      <c r="S621" s="1">
        <f t="shared" si="63"/>
        <v>6737</v>
      </c>
    </row>
    <row r="622" spans="1:19" x14ac:dyDescent="0.2">
      <c r="A622" s="57" t="s">
        <v>242</v>
      </c>
      <c r="B622" s="57" t="s">
        <v>237</v>
      </c>
      <c r="C622" s="57" t="s">
        <v>238</v>
      </c>
      <c r="D622" s="58">
        <v>165.05</v>
      </c>
      <c r="E622" s="59">
        <v>41065</v>
      </c>
      <c r="F622" s="58">
        <v>6737</v>
      </c>
      <c r="G622" s="58">
        <v>1137</v>
      </c>
      <c r="H622" s="58">
        <v>1177</v>
      </c>
      <c r="I622" s="58">
        <v>6643</v>
      </c>
      <c r="J622" s="58">
        <v>0</v>
      </c>
      <c r="K622" s="1">
        <f t="shared" si="64"/>
        <v>194263.85</v>
      </c>
      <c r="L622" s="1">
        <f t="shared" si="65"/>
        <v>1177</v>
      </c>
      <c r="M622" s="1">
        <f>VLOOKUP(B622,'[1]Срок Годности'!$A$2:$B$4,2,0)</f>
        <v>1000</v>
      </c>
      <c r="N622" s="60">
        <f t="shared" si="66"/>
        <v>1137</v>
      </c>
      <c r="O622" s="1" t="str">
        <f t="shared" si="67"/>
        <v>23 2012</v>
      </c>
      <c r="P622" s="1">
        <f t="shared" si="68"/>
        <v>22</v>
      </c>
      <c r="Q622" s="1">
        <f t="shared" ca="1" si="69"/>
        <v>4068</v>
      </c>
      <c r="S622" s="1">
        <f t="shared" si="63"/>
        <v>6643</v>
      </c>
    </row>
    <row r="623" spans="1:19" x14ac:dyDescent="0.2">
      <c r="A623" s="57" t="s">
        <v>242</v>
      </c>
      <c r="B623" s="57" t="s">
        <v>237</v>
      </c>
      <c r="C623" s="57" t="s">
        <v>238</v>
      </c>
      <c r="D623" s="58">
        <v>165.05</v>
      </c>
      <c r="E623" s="59">
        <v>41066</v>
      </c>
      <c r="F623" s="58">
        <v>6643</v>
      </c>
      <c r="G623" s="58">
        <v>1347</v>
      </c>
      <c r="H623" s="58">
        <v>1379</v>
      </c>
      <c r="I623" s="58">
        <v>6584</v>
      </c>
      <c r="J623" s="58">
        <v>0</v>
      </c>
      <c r="K623" s="1">
        <f t="shared" si="64"/>
        <v>227603.95</v>
      </c>
      <c r="L623" s="1">
        <f t="shared" si="65"/>
        <v>1379</v>
      </c>
      <c r="M623" s="1">
        <f>VLOOKUP(B623,'[1]Срок Годности'!$A$2:$B$4,2,0)</f>
        <v>1000</v>
      </c>
      <c r="N623" s="60">
        <f t="shared" si="66"/>
        <v>1347</v>
      </c>
      <c r="O623" s="1" t="str">
        <f t="shared" si="67"/>
        <v>23 2012</v>
      </c>
      <c r="P623" s="1">
        <f t="shared" si="68"/>
        <v>22</v>
      </c>
      <c r="Q623" s="1">
        <f t="shared" ca="1" si="69"/>
        <v>4067</v>
      </c>
      <c r="S623" s="1">
        <f t="shared" si="63"/>
        <v>6584</v>
      </c>
    </row>
    <row r="624" spans="1:19" x14ac:dyDescent="0.2">
      <c r="A624" s="57" t="s">
        <v>242</v>
      </c>
      <c r="B624" s="57" t="s">
        <v>237</v>
      </c>
      <c r="C624" s="57" t="s">
        <v>238</v>
      </c>
      <c r="D624" s="58">
        <v>165.05</v>
      </c>
      <c r="E624" s="59">
        <v>41067</v>
      </c>
      <c r="F624" s="58">
        <v>6584</v>
      </c>
      <c r="G624" s="58">
        <v>1348</v>
      </c>
      <c r="H624" s="58">
        <v>1433</v>
      </c>
      <c r="I624" s="58">
        <v>6473</v>
      </c>
      <c r="J624" s="58">
        <v>0</v>
      </c>
      <c r="K624" s="1">
        <f t="shared" si="64"/>
        <v>236516.65000000002</v>
      </c>
      <c r="L624" s="1">
        <f t="shared" si="65"/>
        <v>1433</v>
      </c>
      <c r="M624" s="1">
        <f>VLOOKUP(B624,'[1]Срок Годности'!$A$2:$B$4,2,0)</f>
        <v>1000</v>
      </c>
      <c r="N624" s="60">
        <f t="shared" si="66"/>
        <v>1348</v>
      </c>
      <c r="O624" s="1" t="str">
        <f t="shared" si="67"/>
        <v>23 2012</v>
      </c>
      <c r="P624" s="1">
        <f t="shared" si="68"/>
        <v>22</v>
      </c>
      <c r="Q624" s="1">
        <f t="shared" ca="1" si="69"/>
        <v>4066</v>
      </c>
      <c r="S624" s="1">
        <f t="shared" si="63"/>
        <v>6473</v>
      </c>
    </row>
    <row r="625" spans="1:19" x14ac:dyDescent="0.2">
      <c r="A625" s="57" t="s">
        <v>242</v>
      </c>
      <c r="B625" s="57" t="s">
        <v>237</v>
      </c>
      <c r="C625" s="57" t="s">
        <v>238</v>
      </c>
      <c r="D625" s="58">
        <v>165.05</v>
      </c>
      <c r="E625" s="59">
        <v>41068</v>
      </c>
      <c r="F625" s="58">
        <v>6473</v>
      </c>
      <c r="G625" s="58">
        <v>1163</v>
      </c>
      <c r="H625" s="58">
        <v>1731</v>
      </c>
      <c r="I625" s="58">
        <v>5872</v>
      </c>
      <c r="J625" s="58">
        <v>0</v>
      </c>
      <c r="K625" s="1">
        <f t="shared" si="64"/>
        <v>285701.55000000005</v>
      </c>
      <c r="L625" s="1">
        <f t="shared" si="65"/>
        <v>1731</v>
      </c>
      <c r="M625" s="1">
        <f>VLOOKUP(B625,'[1]Срок Годности'!$A$2:$B$4,2,0)</f>
        <v>1000</v>
      </c>
      <c r="N625" s="60">
        <f t="shared" si="66"/>
        <v>1163</v>
      </c>
      <c r="O625" s="1" t="str">
        <f t="shared" si="67"/>
        <v>23 2012</v>
      </c>
      <c r="P625" s="1">
        <f t="shared" si="68"/>
        <v>22</v>
      </c>
      <c r="Q625" s="1">
        <f t="shared" ca="1" si="69"/>
        <v>4065</v>
      </c>
      <c r="S625" s="1">
        <f t="shared" si="63"/>
        <v>5872</v>
      </c>
    </row>
    <row r="626" spans="1:19" x14ac:dyDescent="0.2">
      <c r="A626" s="57" t="s">
        <v>242</v>
      </c>
      <c r="B626" s="57" t="s">
        <v>237</v>
      </c>
      <c r="C626" s="57" t="s">
        <v>238</v>
      </c>
      <c r="D626" s="58">
        <v>165.05</v>
      </c>
      <c r="E626" s="59">
        <v>41069</v>
      </c>
      <c r="F626" s="58">
        <v>5872</v>
      </c>
      <c r="G626" s="58">
        <v>1980</v>
      </c>
      <c r="H626" s="58">
        <v>1861</v>
      </c>
      <c r="I626" s="58">
        <v>5939</v>
      </c>
      <c r="J626" s="58">
        <v>0</v>
      </c>
      <c r="K626" s="1">
        <f t="shared" si="64"/>
        <v>307158.05000000005</v>
      </c>
      <c r="L626" s="1">
        <f t="shared" si="65"/>
        <v>1861</v>
      </c>
      <c r="M626" s="1">
        <f>VLOOKUP(B626,'[1]Срок Годности'!$A$2:$B$4,2,0)</f>
        <v>1000</v>
      </c>
      <c r="N626" s="60">
        <f t="shared" si="66"/>
        <v>1980</v>
      </c>
      <c r="O626" s="1" t="str">
        <f t="shared" si="67"/>
        <v>23 2012</v>
      </c>
      <c r="P626" s="1">
        <f t="shared" si="68"/>
        <v>22</v>
      </c>
      <c r="Q626" s="1">
        <f t="shared" ca="1" si="69"/>
        <v>4064</v>
      </c>
      <c r="S626" s="1">
        <f t="shared" si="63"/>
        <v>5939</v>
      </c>
    </row>
    <row r="627" spans="1:19" x14ac:dyDescent="0.2">
      <c r="A627" s="57" t="s">
        <v>242</v>
      </c>
      <c r="B627" s="57" t="s">
        <v>237</v>
      </c>
      <c r="C627" s="57" t="s">
        <v>238</v>
      </c>
      <c r="D627" s="58">
        <v>165.05</v>
      </c>
      <c r="E627" s="59">
        <v>41070</v>
      </c>
      <c r="F627" s="58">
        <v>5939</v>
      </c>
      <c r="G627" s="58">
        <v>1399</v>
      </c>
      <c r="H627" s="58">
        <v>1190</v>
      </c>
      <c r="I627" s="58">
        <v>6027</v>
      </c>
      <c r="J627" s="58">
        <v>0</v>
      </c>
      <c r="K627" s="1">
        <f t="shared" si="64"/>
        <v>196409.5</v>
      </c>
      <c r="L627" s="1">
        <f t="shared" si="65"/>
        <v>1190</v>
      </c>
      <c r="M627" s="1">
        <f>VLOOKUP(B627,'[1]Срок Годности'!$A$2:$B$4,2,0)</f>
        <v>1000</v>
      </c>
      <c r="N627" s="60">
        <f t="shared" si="66"/>
        <v>0</v>
      </c>
      <c r="O627" s="1" t="str">
        <f t="shared" si="67"/>
        <v>24 2012</v>
      </c>
      <c r="P627" s="1">
        <f t="shared" si="68"/>
        <v>22</v>
      </c>
      <c r="Q627" s="1">
        <f t="shared" ca="1" si="69"/>
        <v>4063</v>
      </c>
      <c r="S627" s="1">
        <f t="shared" si="63"/>
        <v>6027</v>
      </c>
    </row>
    <row r="628" spans="1:19" x14ac:dyDescent="0.2">
      <c r="A628" s="57" t="s">
        <v>242</v>
      </c>
      <c r="B628" s="57" t="s">
        <v>237</v>
      </c>
      <c r="C628" s="57" t="s">
        <v>238</v>
      </c>
      <c r="D628" s="58">
        <v>165.05</v>
      </c>
      <c r="E628" s="59">
        <v>41071</v>
      </c>
      <c r="F628" s="58">
        <v>6027</v>
      </c>
      <c r="G628" s="58">
        <v>1817</v>
      </c>
      <c r="H628" s="58">
        <v>942</v>
      </c>
      <c r="I628" s="58">
        <v>6827</v>
      </c>
      <c r="J628" s="58">
        <v>0</v>
      </c>
      <c r="K628" s="1">
        <f t="shared" si="64"/>
        <v>155477.1</v>
      </c>
      <c r="L628" s="1" t="str">
        <f t="shared" si="65"/>
        <v/>
      </c>
      <c r="M628" s="1">
        <f>VLOOKUP(B628,'[1]Срок Годности'!$A$2:$B$4,2,0)</f>
        <v>1000</v>
      </c>
      <c r="N628" s="60">
        <f t="shared" si="66"/>
        <v>1817</v>
      </c>
      <c r="O628" s="1" t="str">
        <f t="shared" si="67"/>
        <v>24 2012</v>
      </c>
      <c r="P628" s="1">
        <f t="shared" si="68"/>
        <v>22</v>
      </c>
      <c r="Q628" s="1">
        <f t="shared" ca="1" si="69"/>
        <v>4062</v>
      </c>
      <c r="S628" s="1">
        <f t="shared" si="63"/>
        <v>6827</v>
      </c>
    </row>
    <row r="629" spans="1:19" x14ac:dyDescent="0.2">
      <c r="A629" s="57" t="s">
        <v>242</v>
      </c>
      <c r="B629" s="57" t="s">
        <v>237</v>
      </c>
      <c r="C629" s="57" t="s">
        <v>238</v>
      </c>
      <c r="D629" s="58">
        <v>165.05</v>
      </c>
      <c r="E629" s="59">
        <v>41072</v>
      </c>
      <c r="F629" s="58">
        <v>6827</v>
      </c>
      <c r="G629" s="58">
        <v>1368</v>
      </c>
      <c r="H629" s="58">
        <v>927</v>
      </c>
      <c r="I629" s="58">
        <v>7079</v>
      </c>
      <c r="J629" s="58">
        <v>0</v>
      </c>
      <c r="K629" s="1">
        <f t="shared" si="64"/>
        <v>153001.35</v>
      </c>
      <c r="L629" s="1" t="str">
        <f t="shared" si="65"/>
        <v/>
      </c>
      <c r="M629" s="1">
        <f>VLOOKUP(B629,'[1]Срок Годности'!$A$2:$B$4,2,0)</f>
        <v>1000</v>
      </c>
      <c r="N629" s="60">
        <f t="shared" si="66"/>
        <v>1368</v>
      </c>
      <c r="O629" s="1" t="str">
        <f t="shared" si="67"/>
        <v>24 2012</v>
      </c>
      <c r="P629" s="1">
        <f t="shared" si="68"/>
        <v>22</v>
      </c>
      <c r="Q629" s="1">
        <f t="shared" ca="1" si="69"/>
        <v>4061</v>
      </c>
      <c r="S629" s="1">
        <f t="shared" si="63"/>
        <v>7079</v>
      </c>
    </row>
    <row r="630" spans="1:19" x14ac:dyDescent="0.2">
      <c r="A630" s="57" t="s">
        <v>242</v>
      </c>
      <c r="B630" s="57" t="s">
        <v>237</v>
      </c>
      <c r="C630" s="57" t="s">
        <v>238</v>
      </c>
      <c r="D630" s="58">
        <v>165.05</v>
      </c>
      <c r="E630" s="59">
        <v>41073</v>
      </c>
      <c r="F630" s="58">
        <v>7079</v>
      </c>
      <c r="G630" s="58">
        <v>1177</v>
      </c>
      <c r="H630" s="58">
        <v>958</v>
      </c>
      <c r="I630" s="58">
        <v>7249</v>
      </c>
      <c r="J630" s="58">
        <v>0</v>
      </c>
      <c r="K630" s="1">
        <f t="shared" si="64"/>
        <v>158117.90000000002</v>
      </c>
      <c r="L630" s="1" t="str">
        <f t="shared" si="65"/>
        <v/>
      </c>
      <c r="M630" s="1">
        <f>VLOOKUP(B630,'[1]Срок Годности'!$A$2:$B$4,2,0)</f>
        <v>1000</v>
      </c>
      <c r="N630" s="60">
        <f t="shared" si="66"/>
        <v>1177</v>
      </c>
      <c r="O630" s="1" t="str">
        <f t="shared" si="67"/>
        <v>24 2012</v>
      </c>
      <c r="P630" s="1">
        <f t="shared" si="68"/>
        <v>22</v>
      </c>
      <c r="Q630" s="1">
        <f t="shared" ca="1" si="69"/>
        <v>4060</v>
      </c>
      <c r="S630" s="1">
        <f t="shared" si="63"/>
        <v>7249</v>
      </c>
    </row>
    <row r="631" spans="1:19" x14ac:dyDescent="0.2">
      <c r="A631" s="57" t="s">
        <v>242</v>
      </c>
      <c r="B631" s="57" t="s">
        <v>237</v>
      </c>
      <c r="C631" s="57" t="s">
        <v>238</v>
      </c>
      <c r="D631" s="58">
        <v>165.05</v>
      </c>
      <c r="E631" s="59">
        <v>41074</v>
      </c>
      <c r="F631" s="58">
        <v>7249</v>
      </c>
      <c r="G631" s="58">
        <v>1040</v>
      </c>
      <c r="H631" s="58">
        <v>1053</v>
      </c>
      <c r="I631" s="58">
        <v>7182</v>
      </c>
      <c r="J631" s="58">
        <v>0</v>
      </c>
      <c r="K631" s="1">
        <f t="shared" si="64"/>
        <v>173797.65000000002</v>
      </c>
      <c r="L631" s="1">
        <f t="shared" si="65"/>
        <v>1053</v>
      </c>
      <c r="M631" s="1">
        <f>VLOOKUP(B631,'[1]Срок Годности'!$A$2:$B$4,2,0)</f>
        <v>1000</v>
      </c>
      <c r="N631" s="60">
        <f t="shared" si="66"/>
        <v>1040</v>
      </c>
      <c r="O631" s="1" t="str">
        <f t="shared" si="67"/>
        <v>24 2012</v>
      </c>
      <c r="P631" s="1">
        <f t="shared" si="68"/>
        <v>22</v>
      </c>
      <c r="Q631" s="1">
        <f t="shared" ca="1" si="69"/>
        <v>4059</v>
      </c>
      <c r="S631" s="1">
        <f t="shared" si="63"/>
        <v>7182</v>
      </c>
    </row>
    <row r="632" spans="1:19" x14ac:dyDescent="0.2">
      <c r="A632" s="57" t="s">
        <v>242</v>
      </c>
      <c r="B632" s="57" t="s">
        <v>237</v>
      </c>
      <c r="C632" s="57" t="s">
        <v>238</v>
      </c>
      <c r="D632" s="58">
        <v>165.05</v>
      </c>
      <c r="E632" s="59">
        <v>41075</v>
      </c>
      <c r="F632" s="58">
        <v>7182</v>
      </c>
      <c r="G632" s="58">
        <v>1016</v>
      </c>
      <c r="H632" s="58">
        <v>1247</v>
      </c>
      <c r="I632" s="58">
        <v>6904</v>
      </c>
      <c r="J632" s="58">
        <v>0</v>
      </c>
      <c r="K632" s="1">
        <f t="shared" si="64"/>
        <v>205817.35</v>
      </c>
      <c r="L632" s="1">
        <f t="shared" si="65"/>
        <v>1247</v>
      </c>
      <c r="M632" s="1">
        <f>VLOOKUP(B632,'[1]Срок Годности'!$A$2:$B$4,2,0)</f>
        <v>1000</v>
      </c>
      <c r="N632" s="60">
        <f t="shared" si="66"/>
        <v>1016</v>
      </c>
      <c r="O632" s="1" t="str">
        <f t="shared" si="67"/>
        <v>24 2012</v>
      </c>
      <c r="P632" s="1">
        <f t="shared" si="68"/>
        <v>22</v>
      </c>
      <c r="Q632" s="1">
        <f t="shared" ca="1" si="69"/>
        <v>4058</v>
      </c>
      <c r="S632" s="1">
        <f t="shared" si="63"/>
        <v>6904</v>
      </c>
    </row>
    <row r="633" spans="1:19" x14ac:dyDescent="0.2">
      <c r="A633" s="57" t="s">
        <v>242</v>
      </c>
      <c r="B633" s="57" t="s">
        <v>237</v>
      </c>
      <c r="C633" s="57" t="s">
        <v>238</v>
      </c>
      <c r="D633" s="58">
        <v>165.05</v>
      </c>
      <c r="E633" s="59">
        <v>41076</v>
      </c>
      <c r="F633" s="58">
        <v>6904</v>
      </c>
      <c r="G633" s="58">
        <v>165</v>
      </c>
      <c r="H633" s="58">
        <v>1365</v>
      </c>
      <c r="I633" s="58">
        <v>5641</v>
      </c>
      <c r="J633" s="58">
        <v>0</v>
      </c>
      <c r="K633" s="1">
        <f t="shared" si="64"/>
        <v>225293.25000000003</v>
      </c>
      <c r="L633" s="1">
        <f t="shared" si="65"/>
        <v>1365</v>
      </c>
      <c r="M633" s="1">
        <f>VLOOKUP(B633,'[1]Срок Годности'!$A$2:$B$4,2,0)</f>
        <v>1000</v>
      </c>
      <c r="N633" s="60">
        <f t="shared" si="66"/>
        <v>165</v>
      </c>
      <c r="O633" s="1" t="str">
        <f t="shared" si="67"/>
        <v>24 2012</v>
      </c>
      <c r="P633" s="1">
        <f t="shared" si="68"/>
        <v>22</v>
      </c>
      <c r="Q633" s="1">
        <f t="shared" ca="1" si="69"/>
        <v>4057</v>
      </c>
      <c r="S633" s="1">
        <f t="shared" si="63"/>
        <v>5641</v>
      </c>
    </row>
    <row r="634" spans="1:19" x14ac:dyDescent="0.2">
      <c r="A634" s="57" t="s">
        <v>242</v>
      </c>
      <c r="B634" s="57" t="s">
        <v>237</v>
      </c>
      <c r="C634" s="57" t="s">
        <v>238</v>
      </c>
      <c r="D634" s="58">
        <v>165.05</v>
      </c>
      <c r="E634" s="59">
        <v>41077</v>
      </c>
      <c r="F634" s="58">
        <v>5641</v>
      </c>
      <c r="G634" s="58">
        <v>1407</v>
      </c>
      <c r="H634" s="58">
        <v>1207</v>
      </c>
      <c r="I634" s="58">
        <v>5806</v>
      </c>
      <c r="J634" s="58">
        <v>0</v>
      </c>
      <c r="K634" s="1">
        <f t="shared" si="64"/>
        <v>199215.35</v>
      </c>
      <c r="L634" s="1">
        <f t="shared" si="65"/>
        <v>1207</v>
      </c>
      <c r="M634" s="1">
        <f>VLOOKUP(B634,'[1]Срок Годности'!$A$2:$B$4,2,0)</f>
        <v>1000</v>
      </c>
      <c r="N634" s="60">
        <f t="shared" si="66"/>
        <v>0</v>
      </c>
      <c r="O634" s="1" t="str">
        <f t="shared" si="67"/>
        <v>25 2012</v>
      </c>
      <c r="P634" s="1">
        <f t="shared" si="68"/>
        <v>22</v>
      </c>
      <c r="Q634" s="1">
        <f t="shared" ca="1" si="69"/>
        <v>4056</v>
      </c>
      <c r="S634" s="1">
        <f t="shared" si="63"/>
        <v>5806</v>
      </c>
    </row>
    <row r="635" spans="1:19" x14ac:dyDescent="0.2">
      <c r="A635" s="57" t="s">
        <v>242</v>
      </c>
      <c r="B635" s="57" t="s">
        <v>237</v>
      </c>
      <c r="C635" s="57" t="s">
        <v>238</v>
      </c>
      <c r="D635" s="58">
        <v>165.05</v>
      </c>
      <c r="E635" s="59">
        <v>41078</v>
      </c>
      <c r="F635" s="58">
        <v>5806</v>
      </c>
      <c r="G635" s="58">
        <v>1620</v>
      </c>
      <c r="H635" s="58">
        <v>1198</v>
      </c>
      <c r="I635" s="58">
        <v>6222</v>
      </c>
      <c r="J635" s="58">
        <v>0</v>
      </c>
      <c r="K635" s="1">
        <f t="shared" si="64"/>
        <v>197729.90000000002</v>
      </c>
      <c r="L635" s="1">
        <f t="shared" si="65"/>
        <v>1198</v>
      </c>
      <c r="M635" s="1">
        <f>VLOOKUP(B635,'[1]Срок Годности'!$A$2:$B$4,2,0)</f>
        <v>1000</v>
      </c>
      <c r="N635" s="60">
        <f t="shared" si="66"/>
        <v>1620</v>
      </c>
      <c r="O635" s="1" t="str">
        <f t="shared" si="67"/>
        <v>25 2012</v>
      </c>
      <c r="P635" s="1">
        <f t="shared" si="68"/>
        <v>22</v>
      </c>
      <c r="Q635" s="1">
        <f t="shared" ca="1" si="69"/>
        <v>4055</v>
      </c>
      <c r="S635" s="1">
        <f t="shared" si="63"/>
        <v>6222</v>
      </c>
    </row>
    <row r="636" spans="1:19" x14ac:dyDescent="0.2">
      <c r="A636" s="57" t="s">
        <v>242</v>
      </c>
      <c r="B636" s="57" t="s">
        <v>237</v>
      </c>
      <c r="C636" s="57" t="s">
        <v>238</v>
      </c>
      <c r="D636" s="58">
        <v>165.05</v>
      </c>
      <c r="E636" s="59">
        <v>41079</v>
      </c>
      <c r="F636" s="58">
        <v>6222</v>
      </c>
      <c r="G636" s="58">
        <v>1772</v>
      </c>
      <c r="H636" s="58">
        <v>1282</v>
      </c>
      <c r="I636" s="58">
        <v>6637</v>
      </c>
      <c r="J636" s="58">
        <v>0</v>
      </c>
      <c r="K636" s="1">
        <f t="shared" si="64"/>
        <v>211594.1</v>
      </c>
      <c r="L636" s="1">
        <f t="shared" si="65"/>
        <v>1282</v>
      </c>
      <c r="M636" s="1">
        <f>VLOOKUP(B636,'[1]Срок Годности'!$A$2:$B$4,2,0)</f>
        <v>1000</v>
      </c>
      <c r="N636" s="60">
        <f t="shared" si="66"/>
        <v>1772</v>
      </c>
      <c r="O636" s="1" t="str">
        <f t="shared" si="67"/>
        <v>25 2012</v>
      </c>
      <c r="P636" s="1">
        <f t="shared" si="68"/>
        <v>22</v>
      </c>
      <c r="Q636" s="1">
        <f t="shared" ca="1" si="69"/>
        <v>4054</v>
      </c>
      <c r="S636" s="1">
        <f t="shared" si="63"/>
        <v>6637</v>
      </c>
    </row>
    <row r="637" spans="1:19" x14ac:dyDescent="0.2">
      <c r="A637" s="57" t="s">
        <v>242</v>
      </c>
      <c r="B637" s="57" t="s">
        <v>237</v>
      </c>
      <c r="C637" s="57" t="s">
        <v>238</v>
      </c>
      <c r="D637" s="58">
        <v>165.05</v>
      </c>
      <c r="E637" s="59">
        <v>41080</v>
      </c>
      <c r="F637" s="58">
        <v>6637</v>
      </c>
      <c r="G637" s="58">
        <v>1310</v>
      </c>
      <c r="H637" s="58">
        <v>1525</v>
      </c>
      <c r="I637" s="58">
        <v>6370</v>
      </c>
      <c r="J637" s="58">
        <v>0</v>
      </c>
      <c r="K637" s="1">
        <f t="shared" si="64"/>
        <v>251701.25000000003</v>
      </c>
      <c r="L637" s="1">
        <f t="shared" si="65"/>
        <v>1525</v>
      </c>
      <c r="M637" s="1">
        <f>VLOOKUP(B637,'[1]Срок Годности'!$A$2:$B$4,2,0)</f>
        <v>1000</v>
      </c>
      <c r="N637" s="60">
        <f t="shared" si="66"/>
        <v>1310</v>
      </c>
      <c r="O637" s="1" t="str">
        <f t="shared" si="67"/>
        <v>25 2012</v>
      </c>
      <c r="P637" s="1">
        <f t="shared" si="68"/>
        <v>22</v>
      </c>
      <c r="Q637" s="1">
        <f t="shared" ca="1" si="69"/>
        <v>4053</v>
      </c>
      <c r="S637" s="1">
        <f t="shared" si="63"/>
        <v>6370</v>
      </c>
    </row>
    <row r="638" spans="1:19" x14ac:dyDescent="0.2">
      <c r="A638" s="57" t="s">
        <v>242</v>
      </c>
      <c r="B638" s="57" t="s">
        <v>237</v>
      </c>
      <c r="C638" s="57" t="s">
        <v>238</v>
      </c>
      <c r="D638" s="58">
        <v>165.05</v>
      </c>
      <c r="E638" s="59">
        <v>41081</v>
      </c>
      <c r="F638" s="58">
        <v>6370</v>
      </c>
      <c r="G638" s="58">
        <v>1450</v>
      </c>
      <c r="H638" s="58">
        <v>1413</v>
      </c>
      <c r="I638" s="58">
        <v>6366</v>
      </c>
      <c r="J638" s="58">
        <v>0</v>
      </c>
      <c r="K638" s="1">
        <f t="shared" si="64"/>
        <v>233215.65000000002</v>
      </c>
      <c r="L638" s="1">
        <f t="shared" si="65"/>
        <v>1413</v>
      </c>
      <c r="M638" s="1">
        <f>VLOOKUP(B638,'[1]Срок Годности'!$A$2:$B$4,2,0)</f>
        <v>1000</v>
      </c>
      <c r="N638" s="60">
        <f t="shared" si="66"/>
        <v>1450</v>
      </c>
      <c r="O638" s="1" t="str">
        <f t="shared" si="67"/>
        <v>25 2012</v>
      </c>
      <c r="P638" s="1">
        <f t="shared" si="68"/>
        <v>22</v>
      </c>
      <c r="Q638" s="1">
        <f t="shared" ca="1" si="69"/>
        <v>4052</v>
      </c>
      <c r="S638" s="1">
        <f t="shared" si="63"/>
        <v>6366</v>
      </c>
    </row>
    <row r="639" spans="1:19" x14ac:dyDescent="0.2">
      <c r="A639" s="57" t="s">
        <v>242</v>
      </c>
      <c r="B639" s="57" t="s">
        <v>237</v>
      </c>
      <c r="C639" s="57" t="s">
        <v>238</v>
      </c>
      <c r="D639" s="58">
        <v>165.05</v>
      </c>
      <c r="E639" s="59">
        <v>41082</v>
      </c>
      <c r="F639" s="58">
        <v>6366</v>
      </c>
      <c r="G639" s="58">
        <v>1565</v>
      </c>
      <c r="H639" s="58">
        <v>1530</v>
      </c>
      <c r="I639" s="58">
        <v>6374</v>
      </c>
      <c r="J639" s="58">
        <v>0</v>
      </c>
      <c r="K639" s="1">
        <f t="shared" si="64"/>
        <v>252526.50000000003</v>
      </c>
      <c r="L639" s="1">
        <f t="shared" si="65"/>
        <v>1530</v>
      </c>
      <c r="M639" s="1">
        <f>VLOOKUP(B639,'[1]Срок Годности'!$A$2:$B$4,2,0)</f>
        <v>1000</v>
      </c>
      <c r="N639" s="60">
        <f t="shared" si="66"/>
        <v>1565</v>
      </c>
      <c r="O639" s="1" t="str">
        <f t="shared" si="67"/>
        <v>25 2012</v>
      </c>
      <c r="P639" s="1">
        <f t="shared" si="68"/>
        <v>22</v>
      </c>
      <c r="Q639" s="1">
        <f t="shared" ca="1" si="69"/>
        <v>4051</v>
      </c>
      <c r="S639" s="1">
        <f t="shared" si="63"/>
        <v>6374</v>
      </c>
    </row>
    <row r="640" spans="1:19" x14ac:dyDescent="0.2">
      <c r="A640" s="57" t="s">
        <v>242</v>
      </c>
      <c r="B640" s="57" t="s">
        <v>237</v>
      </c>
      <c r="C640" s="57" t="s">
        <v>238</v>
      </c>
      <c r="D640" s="58">
        <v>165.05</v>
      </c>
      <c r="E640" s="59">
        <v>41083</v>
      </c>
      <c r="F640" s="58">
        <v>6374</v>
      </c>
      <c r="G640" s="58">
        <v>908</v>
      </c>
      <c r="H640" s="58">
        <v>1450</v>
      </c>
      <c r="I640" s="58">
        <v>5800</v>
      </c>
      <c r="J640" s="58">
        <v>0</v>
      </c>
      <c r="K640" s="1">
        <f t="shared" si="64"/>
        <v>239322.50000000003</v>
      </c>
      <c r="L640" s="1">
        <f t="shared" si="65"/>
        <v>1450</v>
      </c>
      <c r="M640" s="1">
        <f>VLOOKUP(B640,'[1]Срок Годности'!$A$2:$B$4,2,0)</f>
        <v>1000</v>
      </c>
      <c r="N640" s="60">
        <f t="shared" si="66"/>
        <v>908</v>
      </c>
      <c r="O640" s="1" t="str">
        <f t="shared" si="67"/>
        <v>25 2012</v>
      </c>
      <c r="P640" s="1">
        <f t="shared" si="68"/>
        <v>22</v>
      </c>
      <c r="Q640" s="1">
        <f t="shared" ca="1" si="69"/>
        <v>4050</v>
      </c>
      <c r="S640" s="1">
        <f t="shared" si="63"/>
        <v>5800</v>
      </c>
    </row>
    <row r="641" spans="1:19" x14ac:dyDescent="0.2">
      <c r="A641" s="57" t="s">
        <v>242</v>
      </c>
      <c r="B641" s="57" t="s">
        <v>237</v>
      </c>
      <c r="C641" s="57" t="s">
        <v>238</v>
      </c>
      <c r="D641" s="58">
        <v>165.05</v>
      </c>
      <c r="E641" s="59">
        <v>41084</v>
      </c>
      <c r="F641" s="58">
        <v>5800</v>
      </c>
      <c r="G641" s="58">
        <v>1433</v>
      </c>
      <c r="H641" s="58">
        <v>1561</v>
      </c>
      <c r="I641" s="58">
        <v>5666</v>
      </c>
      <c r="J641" s="58">
        <v>0</v>
      </c>
      <c r="K641" s="1">
        <f t="shared" si="64"/>
        <v>257643.05000000002</v>
      </c>
      <c r="L641" s="1">
        <f t="shared" si="65"/>
        <v>1561</v>
      </c>
      <c r="M641" s="1">
        <f>VLOOKUP(B641,'[1]Срок Годности'!$A$2:$B$4,2,0)</f>
        <v>1000</v>
      </c>
      <c r="N641" s="60">
        <f t="shared" si="66"/>
        <v>0</v>
      </c>
      <c r="O641" s="1" t="str">
        <f t="shared" si="67"/>
        <v>26 2012</v>
      </c>
      <c r="P641" s="1">
        <f t="shared" si="68"/>
        <v>22</v>
      </c>
      <c r="Q641" s="1">
        <f t="shared" ca="1" si="69"/>
        <v>4049</v>
      </c>
      <c r="S641" s="1">
        <f t="shared" si="63"/>
        <v>5666</v>
      </c>
    </row>
    <row r="642" spans="1:19" x14ac:dyDescent="0.2">
      <c r="A642" s="57" t="s">
        <v>242</v>
      </c>
      <c r="B642" s="57" t="s">
        <v>237</v>
      </c>
      <c r="C642" s="57" t="s">
        <v>238</v>
      </c>
      <c r="D642" s="58">
        <v>165.05</v>
      </c>
      <c r="E642" s="59">
        <v>41085</v>
      </c>
      <c r="F642" s="58">
        <v>5666</v>
      </c>
      <c r="G642" s="58">
        <v>1913</v>
      </c>
      <c r="H642" s="58">
        <v>1572</v>
      </c>
      <c r="I642" s="58">
        <v>5969</v>
      </c>
      <c r="J642" s="58">
        <v>0</v>
      </c>
      <c r="K642" s="1">
        <f t="shared" si="64"/>
        <v>259458.6</v>
      </c>
      <c r="L642" s="1">
        <f t="shared" si="65"/>
        <v>1572</v>
      </c>
      <c r="M642" s="1">
        <f>VLOOKUP(B642,'[1]Срок Годности'!$A$2:$B$4,2,0)</f>
        <v>1000</v>
      </c>
      <c r="N642" s="60">
        <f t="shared" si="66"/>
        <v>1913</v>
      </c>
      <c r="O642" s="1" t="str">
        <f t="shared" si="67"/>
        <v>26 2012</v>
      </c>
      <c r="P642" s="1">
        <f t="shared" si="68"/>
        <v>22</v>
      </c>
      <c r="Q642" s="1">
        <f t="shared" ca="1" si="69"/>
        <v>4048</v>
      </c>
      <c r="S642" s="1">
        <f t="shared" si="63"/>
        <v>5969</v>
      </c>
    </row>
    <row r="643" spans="1:19" x14ac:dyDescent="0.2">
      <c r="A643" s="57" t="s">
        <v>242</v>
      </c>
      <c r="B643" s="57" t="s">
        <v>237</v>
      </c>
      <c r="C643" s="57" t="s">
        <v>238</v>
      </c>
      <c r="D643" s="58">
        <v>165.05</v>
      </c>
      <c r="E643" s="59">
        <v>41086</v>
      </c>
      <c r="F643" s="58">
        <v>5969</v>
      </c>
      <c r="G643" s="58">
        <v>1133</v>
      </c>
      <c r="H643" s="58">
        <v>1393</v>
      </c>
      <c r="I643" s="58">
        <v>5685</v>
      </c>
      <c r="J643" s="58">
        <v>0</v>
      </c>
      <c r="K643" s="1">
        <f t="shared" si="64"/>
        <v>229914.65000000002</v>
      </c>
      <c r="L643" s="1">
        <f t="shared" si="65"/>
        <v>1393</v>
      </c>
      <c r="M643" s="1">
        <f>VLOOKUP(B643,'[1]Срок Годности'!$A$2:$B$4,2,0)</f>
        <v>1000</v>
      </c>
      <c r="N643" s="60">
        <f t="shared" si="66"/>
        <v>1133</v>
      </c>
      <c r="O643" s="1" t="str">
        <f t="shared" si="67"/>
        <v>26 2012</v>
      </c>
      <c r="P643" s="1">
        <f t="shared" si="68"/>
        <v>22</v>
      </c>
      <c r="Q643" s="1">
        <f t="shared" ca="1" si="69"/>
        <v>4047</v>
      </c>
      <c r="S643" s="1">
        <f t="shared" si="63"/>
        <v>5685</v>
      </c>
    </row>
    <row r="644" spans="1:19" x14ac:dyDescent="0.2">
      <c r="A644" s="57" t="s">
        <v>242</v>
      </c>
      <c r="B644" s="57" t="s">
        <v>237</v>
      </c>
      <c r="C644" s="57" t="s">
        <v>238</v>
      </c>
      <c r="D644" s="58">
        <v>165.05</v>
      </c>
      <c r="E644" s="59">
        <v>41087</v>
      </c>
      <c r="F644" s="58">
        <v>5685</v>
      </c>
      <c r="G644" s="58">
        <v>1754</v>
      </c>
      <c r="H644" s="58">
        <v>1374</v>
      </c>
      <c r="I644" s="58">
        <v>5978</v>
      </c>
      <c r="J644" s="58">
        <v>1</v>
      </c>
      <c r="K644" s="1">
        <f t="shared" si="64"/>
        <v>226778.7</v>
      </c>
      <c r="L644" s="1">
        <f t="shared" si="65"/>
        <v>1374</v>
      </c>
      <c r="M644" s="1">
        <f>VLOOKUP(B644,'[1]Срок Годности'!$A$2:$B$4,2,0)</f>
        <v>1000</v>
      </c>
      <c r="N644" s="60">
        <f t="shared" si="66"/>
        <v>1754</v>
      </c>
      <c r="O644" s="1" t="str">
        <f t="shared" si="67"/>
        <v>26 2012</v>
      </c>
      <c r="P644" s="1">
        <f t="shared" si="68"/>
        <v>22</v>
      </c>
      <c r="Q644" s="1">
        <f t="shared" ca="1" si="69"/>
        <v>4046</v>
      </c>
      <c r="S644" s="1">
        <f t="shared" si="63"/>
        <v>5977</v>
      </c>
    </row>
    <row r="645" spans="1:19" x14ac:dyDescent="0.2">
      <c r="A645" s="57" t="s">
        <v>242</v>
      </c>
      <c r="B645" s="57" t="s">
        <v>237</v>
      </c>
      <c r="C645" s="57" t="s">
        <v>238</v>
      </c>
      <c r="D645" s="58">
        <v>165.05</v>
      </c>
      <c r="E645" s="59">
        <v>41088</v>
      </c>
      <c r="F645" s="58">
        <v>5978</v>
      </c>
      <c r="G645" s="58">
        <v>1132</v>
      </c>
      <c r="H645" s="58">
        <v>1403</v>
      </c>
      <c r="I645" s="58">
        <v>5684</v>
      </c>
      <c r="J645" s="58">
        <v>0</v>
      </c>
      <c r="K645" s="1">
        <f t="shared" si="64"/>
        <v>231565.15000000002</v>
      </c>
      <c r="L645" s="1">
        <f t="shared" si="65"/>
        <v>1403</v>
      </c>
      <c r="M645" s="1">
        <f>VLOOKUP(B645,'[1]Срок Годности'!$A$2:$B$4,2,0)</f>
        <v>1000</v>
      </c>
      <c r="N645" s="60">
        <f t="shared" si="66"/>
        <v>1132</v>
      </c>
      <c r="O645" s="1" t="str">
        <f t="shared" si="67"/>
        <v>26 2012</v>
      </c>
      <c r="P645" s="1">
        <f t="shared" si="68"/>
        <v>22</v>
      </c>
      <c r="Q645" s="1">
        <f t="shared" ca="1" si="69"/>
        <v>4045</v>
      </c>
      <c r="S645" s="1">
        <f t="shared" si="63"/>
        <v>5684</v>
      </c>
    </row>
    <row r="646" spans="1:19" x14ac:dyDescent="0.2">
      <c r="A646" s="57" t="s">
        <v>242</v>
      </c>
      <c r="B646" s="57" t="s">
        <v>237</v>
      </c>
      <c r="C646" s="57" t="s">
        <v>238</v>
      </c>
      <c r="D646" s="58">
        <v>165.05</v>
      </c>
      <c r="E646" s="59">
        <v>41089</v>
      </c>
      <c r="F646" s="58">
        <v>5684</v>
      </c>
      <c r="G646" s="58">
        <v>1364</v>
      </c>
      <c r="H646" s="58">
        <v>1549</v>
      </c>
      <c r="I646" s="58">
        <v>5479</v>
      </c>
      <c r="J646" s="58">
        <v>0</v>
      </c>
      <c r="K646" s="1">
        <f t="shared" si="64"/>
        <v>255662.45</v>
      </c>
      <c r="L646" s="1">
        <f t="shared" si="65"/>
        <v>1549</v>
      </c>
      <c r="M646" s="1">
        <f>VLOOKUP(B646,'[1]Срок Годности'!$A$2:$B$4,2,0)</f>
        <v>1000</v>
      </c>
      <c r="N646" s="60">
        <f t="shared" si="66"/>
        <v>1364</v>
      </c>
      <c r="O646" s="1" t="str">
        <f t="shared" si="67"/>
        <v>26 2012</v>
      </c>
      <c r="P646" s="1">
        <f t="shared" si="68"/>
        <v>22</v>
      </c>
      <c r="Q646" s="1">
        <f t="shared" ca="1" si="69"/>
        <v>4044</v>
      </c>
      <c r="S646" s="1">
        <f t="shared" si="63"/>
        <v>5479</v>
      </c>
    </row>
    <row r="647" spans="1:19" x14ac:dyDescent="0.2">
      <c r="A647" s="57" t="s">
        <v>242</v>
      </c>
      <c r="B647" s="57" t="s">
        <v>237</v>
      </c>
      <c r="C647" s="57" t="s">
        <v>238</v>
      </c>
      <c r="D647" s="58">
        <v>165.05</v>
      </c>
      <c r="E647" s="59">
        <v>41090</v>
      </c>
      <c r="F647" s="58">
        <v>5479</v>
      </c>
      <c r="G647" s="58">
        <v>1211</v>
      </c>
      <c r="H647" s="58">
        <v>1833</v>
      </c>
      <c r="I647" s="58">
        <v>4831</v>
      </c>
      <c r="J647" s="58">
        <v>0</v>
      </c>
      <c r="K647" s="1">
        <f t="shared" si="64"/>
        <v>302536.65000000002</v>
      </c>
      <c r="L647" s="1">
        <f t="shared" si="65"/>
        <v>1833</v>
      </c>
      <c r="M647" s="1">
        <f>VLOOKUP(B647,'[1]Срок Годности'!$A$2:$B$4,2,0)</f>
        <v>1000</v>
      </c>
      <c r="N647" s="60">
        <f t="shared" si="66"/>
        <v>1211</v>
      </c>
      <c r="O647" s="1" t="str">
        <f t="shared" si="67"/>
        <v>26 2012</v>
      </c>
      <c r="P647" s="1">
        <f t="shared" si="68"/>
        <v>22</v>
      </c>
      <c r="Q647" s="1">
        <f t="shared" ca="1" si="69"/>
        <v>4043</v>
      </c>
      <c r="S647" s="1">
        <f t="shared" ref="S647:S710" si="70">I647-J647</f>
        <v>4831</v>
      </c>
    </row>
    <row r="648" spans="1:19" x14ac:dyDescent="0.2">
      <c r="A648" s="57" t="s">
        <v>242</v>
      </c>
      <c r="B648" s="57" t="s">
        <v>237</v>
      </c>
      <c r="C648" s="57" t="s">
        <v>238</v>
      </c>
      <c r="D648" s="58">
        <v>165.05</v>
      </c>
      <c r="E648" s="59">
        <v>41091</v>
      </c>
      <c r="F648" s="58">
        <v>4831</v>
      </c>
      <c r="G648" s="58">
        <v>1974</v>
      </c>
      <c r="H648" s="58">
        <v>2170</v>
      </c>
      <c r="I648" s="58">
        <v>4613</v>
      </c>
      <c r="J648" s="58">
        <v>0</v>
      </c>
      <c r="K648" s="1">
        <f t="shared" ref="K648:K711" si="71">H648*D648</f>
        <v>358158.5</v>
      </c>
      <c r="L648" s="1">
        <f t="shared" ref="L648:L711" si="72">IF(H648&gt;1000,H648,"")</f>
        <v>2170</v>
      </c>
      <c r="M648" s="1">
        <f>VLOOKUP(B648,'[1]Срок Годности'!$A$2:$B$4,2,0)</f>
        <v>1000</v>
      </c>
      <c r="N648" s="60">
        <f t="shared" ref="N648:N711" si="73">IF(WEEKDAY(E648) = 1, 0, G648)</f>
        <v>0</v>
      </c>
      <c r="O648" s="1" t="str">
        <f t="shared" ref="O648:O711" si="74">WEEKNUM(E648) &amp; " " &amp; YEAR(E648)</f>
        <v>27 2012</v>
      </c>
      <c r="P648" s="1">
        <f t="shared" ref="P648:P711" si="75">LEN(C648)</f>
        <v>22</v>
      </c>
      <c r="Q648" s="1">
        <f t="shared" ref="Q648:Q711" ca="1" si="76">DATEDIF(E648,NOW(),"D")</f>
        <v>4042</v>
      </c>
      <c r="S648" s="1">
        <f t="shared" si="70"/>
        <v>4613</v>
      </c>
    </row>
    <row r="649" spans="1:19" x14ac:dyDescent="0.2">
      <c r="A649" s="57" t="s">
        <v>242</v>
      </c>
      <c r="B649" s="57" t="s">
        <v>237</v>
      </c>
      <c r="C649" s="57" t="s">
        <v>238</v>
      </c>
      <c r="D649" s="58">
        <v>165.05</v>
      </c>
      <c r="E649" s="59">
        <v>41092</v>
      </c>
      <c r="F649" s="58">
        <v>4613</v>
      </c>
      <c r="G649" s="58">
        <v>1453</v>
      </c>
      <c r="H649" s="58">
        <v>1954</v>
      </c>
      <c r="I649" s="58">
        <v>4057</v>
      </c>
      <c r="J649" s="58">
        <v>0</v>
      </c>
      <c r="K649" s="1">
        <f t="shared" si="71"/>
        <v>322507.7</v>
      </c>
      <c r="L649" s="1">
        <f t="shared" si="72"/>
        <v>1954</v>
      </c>
      <c r="M649" s="1">
        <f>VLOOKUP(B649,'[1]Срок Годности'!$A$2:$B$4,2,0)</f>
        <v>1000</v>
      </c>
      <c r="N649" s="60">
        <f t="shared" si="73"/>
        <v>1453</v>
      </c>
      <c r="O649" s="1" t="str">
        <f t="shared" si="74"/>
        <v>27 2012</v>
      </c>
      <c r="P649" s="1">
        <f t="shared" si="75"/>
        <v>22</v>
      </c>
      <c r="Q649" s="1">
        <f t="shared" ca="1" si="76"/>
        <v>4041</v>
      </c>
      <c r="S649" s="1">
        <f t="shared" si="70"/>
        <v>4057</v>
      </c>
    </row>
    <row r="650" spans="1:19" x14ac:dyDescent="0.2">
      <c r="A650" s="57" t="s">
        <v>242</v>
      </c>
      <c r="B650" s="57" t="s">
        <v>237</v>
      </c>
      <c r="C650" s="57" t="s">
        <v>238</v>
      </c>
      <c r="D650" s="58">
        <v>165.05</v>
      </c>
      <c r="E650" s="59">
        <v>41093</v>
      </c>
      <c r="F650" s="58">
        <v>4057</v>
      </c>
      <c r="G650" s="58">
        <v>1553</v>
      </c>
      <c r="H650" s="58">
        <v>1369</v>
      </c>
      <c r="I650" s="58">
        <v>4198</v>
      </c>
      <c r="J650" s="58">
        <v>0</v>
      </c>
      <c r="K650" s="1">
        <f t="shared" si="71"/>
        <v>225953.45</v>
      </c>
      <c r="L650" s="1">
        <f t="shared" si="72"/>
        <v>1369</v>
      </c>
      <c r="M650" s="1">
        <f>VLOOKUP(B650,'[1]Срок Годности'!$A$2:$B$4,2,0)</f>
        <v>1000</v>
      </c>
      <c r="N650" s="60">
        <f t="shared" si="73"/>
        <v>1553</v>
      </c>
      <c r="O650" s="1" t="str">
        <f t="shared" si="74"/>
        <v>27 2012</v>
      </c>
      <c r="P650" s="1">
        <f t="shared" si="75"/>
        <v>22</v>
      </c>
      <c r="Q650" s="1">
        <f t="shared" ca="1" si="76"/>
        <v>4040</v>
      </c>
      <c r="S650" s="1">
        <f t="shared" si="70"/>
        <v>4198</v>
      </c>
    </row>
    <row r="651" spans="1:19" x14ac:dyDescent="0.2">
      <c r="A651" s="57" t="s">
        <v>242</v>
      </c>
      <c r="B651" s="57" t="s">
        <v>237</v>
      </c>
      <c r="C651" s="57" t="s">
        <v>238</v>
      </c>
      <c r="D651" s="58">
        <v>165.05</v>
      </c>
      <c r="E651" s="59">
        <v>41094</v>
      </c>
      <c r="F651" s="58">
        <v>4198</v>
      </c>
      <c r="G651" s="58">
        <v>2345</v>
      </c>
      <c r="H651" s="58">
        <v>1311</v>
      </c>
      <c r="I651" s="58">
        <v>5163</v>
      </c>
      <c r="J651" s="58">
        <v>0</v>
      </c>
      <c r="K651" s="1">
        <f t="shared" si="71"/>
        <v>216380.55000000002</v>
      </c>
      <c r="L651" s="1">
        <f t="shared" si="72"/>
        <v>1311</v>
      </c>
      <c r="M651" s="1">
        <f>VLOOKUP(B651,'[1]Срок Годности'!$A$2:$B$4,2,0)</f>
        <v>1000</v>
      </c>
      <c r="N651" s="60">
        <f t="shared" si="73"/>
        <v>2345</v>
      </c>
      <c r="O651" s="1" t="str">
        <f t="shared" si="74"/>
        <v>27 2012</v>
      </c>
      <c r="P651" s="1">
        <f t="shared" si="75"/>
        <v>22</v>
      </c>
      <c r="Q651" s="1">
        <f t="shared" ca="1" si="76"/>
        <v>4039</v>
      </c>
      <c r="S651" s="1">
        <f t="shared" si="70"/>
        <v>5163</v>
      </c>
    </row>
    <row r="652" spans="1:19" x14ac:dyDescent="0.2">
      <c r="A652" s="57" t="s">
        <v>242</v>
      </c>
      <c r="B652" s="57" t="s">
        <v>237</v>
      </c>
      <c r="C652" s="57" t="s">
        <v>238</v>
      </c>
      <c r="D652" s="58">
        <v>165.05</v>
      </c>
      <c r="E652" s="59">
        <v>41095</v>
      </c>
      <c r="F652" s="58">
        <v>5163</v>
      </c>
      <c r="G652" s="58">
        <v>2889</v>
      </c>
      <c r="H652" s="58">
        <v>1998</v>
      </c>
      <c r="I652" s="58">
        <v>5997</v>
      </c>
      <c r="J652" s="58">
        <v>0</v>
      </c>
      <c r="K652" s="1">
        <f t="shared" si="71"/>
        <v>329769.90000000002</v>
      </c>
      <c r="L652" s="1">
        <f t="shared" si="72"/>
        <v>1998</v>
      </c>
      <c r="M652" s="1">
        <f>VLOOKUP(B652,'[1]Срок Годности'!$A$2:$B$4,2,0)</f>
        <v>1000</v>
      </c>
      <c r="N652" s="60">
        <f t="shared" si="73"/>
        <v>2889</v>
      </c>
      <c r="O652" s="1" t="str">
        <f t="shared" si="74"/>
        <v>27 2012</v>
      </c>
      <c r="P652" s="1">
        <f t="shared" si="75"/>
        <v>22</v>
      </c>
      <c r="Q652" s="1">
        <f t="shared" ca="1" si="76"/>
        <v>4038</v>
      </c>
      <c r="S652" s="1">
        <f t="shared" si="70"/>
        <v>5997</v>
      </c>
    </row>
    <row r="653" spans="1:19" x14ac:dyDescent="0.2">
      <c r="A653" s="57" t="s">
        <v>242</v>
      </c>
      <c r="B653" s="57" t="s">
        <v>237</v>
      </c>
      <c r="C653" s="57" t="s">
        <v>238</v>
      </c>
      <c r="D653" s="58">
        <v>165.05</v>
      </c>
      <c r="E653" s="59">
        <v>41096</v>
      </c>
      <c r="F653" s="58">
        <v>5997</v>
      </c>
      <c r="G653" s="58">
        <v>2256</v>
      </c>
      <c r="H653" s="58">
        <v>2457</v>
      </c>
      <c r="I653" s="58">
        <v>5676</v>
      </c>
      <c r="J653" s="58">
        <v>0</v>
      </c>
      <c r="K653" s="1">
        <f t="shared" si="71"/>
        <v>405527.85000000003</v>
      </c>
      <c r="L653" s="1">
        <f t="shared" si="72"/>
        <v>2457</v>
      </c>
      <c r="M653" s="1">
        <f>VLOOKUP(B653,'[1]Срок Годности'!$A$2:$B$4,2,0)</f>
        <v>1000</v>
      </c>
      <c r="N653" s="60">
        <f t="shared" si="73"/>
        <v>2256</v>
      </c>
      <c r="O653" s="1" t="str">
        <f t="shared" si="74"/>
        <v>27 2012</v>
      </c>
      <c r="P653" s="1">
        <f t="shared" si="75"/>
        <v>22</v>
      </c>
      <c r="Q653" s="1">
        <f t="shared" ca="1" si="76"/>
        <v>4037</v>
      </c>
      <c r="S653" s="1">
        <f t="shared" si="70"/>
        <v>5676</v>
      </c>
    </row>
    <row r="654" spans="1:19" x14ac:dyDescent="0.2">
      <c r="A654" s="57" t="s">
        <v>242</v>
      </c>
      <c r="B654" s="57" t="s">
        <v>237</v>
      </c>
      <c r="C654" s="57" t="s">
        <v>238</v>
      </c>
      <c r="D654" s="58">
        <v>165.05</v>
      </c>
      <c r="E654" s="59">
        <v>41097</v>
      </c>
      <c r="F654" s="58">
        <v>5676</v>
      </c>
      <c r="G654" s="58">
        <v>3898</v>
      </c>
      <c r="H654" s="58">
        <v>2183</v>
      </c>
      <c r="I654" s="58">
        <v>7307</v>
      </c>
      <c r="J654" s="58">
        <v>0</v>
      </c>
      <c r="K654" s="1">
        <f t="shared" si="71"/>
        <v>360304.15</v>
      </c>
      <c r="L654" s="1">
        <f t="shared" si="72"/>
        <v>2183</v>
      </c>
      <c r="M654" s="1">
        <f>VLOOKUP(B654,'[1]Срок Годности'!$A$2:$B$4,2,0)</f>
        <v>1000</v>
      </c>
      <c r="N654" s="60">
        <f t="shared" si="73"/>
        <v>3898</v>
      </c>
      <c r="O654" s="1" t="str">
        <f t="shared" si="74"/>
        <v>27 2012</v>
      </c>
      <c r="P654" s="1">
        <f t="shared" si="75"/>
        <v>22</v>
      </c>
      <c r="Q654" s="1">
        <f t="shared" ca="1" si="76"/>
        <v>4036</v>
      </c>
      <c r="S654" s="1">
        <f t="shared" si="70"/>
        <v>7307</v>
      </c>
    </row>
    <row r="655" spans="1:19" x14ac:dyDescent="0.2">
      <c r="A655" s="57" t="s">
        <v>242</v>
      </c>
      <c r="B655" s="57" t="s">
        <v>237</v>
      </c>
      <c r="C655" s="57" t="s">
        <v>238</v>
      </c>
      <c r="D655" s="58">
        <v>165.05</v>
      </c>
      <c r="E655" s="59">
        <v>41098</v>
      </c>
      <c r="F655" s="58">
        <v>7307</v>
      </c>
      <c r="G655" s="58">
        <v>3151</v>
      </c>
      <c r="H655" s="58">
        <v>2604</v>
      </c>
      <c r="I655" s="58">
        <v>7645</v>
      </c>
      <c r="J655" s="58">
        <v>0</v>
      </c>
      <c r="K655" s="1">
        <f t="shared" si="71"/>
        <v>429790.2</v>
      </c>
      <c r="L655" s="1">
        <f t="shared" si="72"/>
        <v>2604</v>
      </c>
      <c r="M655" s="1">
        <f>VLOOKUP(B655,'[1]Срок Годности'!$A$2:$B$4,2,0)</f>
        <v>1000</v>
      </c>
      <c r="N655" s="60">
        <f t="shared" si="73"/>
        <v>0</v>
      </c>
      <c r="O655" s="1" t="str">
        <f t="shared" si="74"/>
        <v>28 2012</v>
      </c>
      <c r="P655" s="1">
        <f t="shared" si="75"/>
        <v>22</v>
      </c>
      <c r="Q655" s="1">
        <f t="shared" ca="1" si="76"/>
        <v>4035</v>
      </c>
      <c r="S655" s="1">
        <f t="shared" si="70"/>
        <v>7645</v>
      </c>
    </row>
    <row r="656" spans="1:19" x14ac:dyDescent="0.2">
      <c r="A656" s="57" t="s">
        <v>242</v>
      </c>
      <c r="B656" s="57" t="s">
        <v>237</v>
      </c>
      <c r="C656" s="57" t="s">
        <v>238</v>
      </c>
      <c r="D656" s="58">
        <v>165.05</v>
      </c>
      <c r="E656" s="59">
        <v>41099</v>
      </c>
      <c r="F656" s="58">
        <v>7645</v>
      </c>
      <c r="G656" s="58">
        <v>764</v>
      </c>
      <c r="H656" s="58">
        <v>2391</v>
      </c>
      <c r="I656" s="58">
        <v>5904</v>
      </c>
      <c r="J656" s="58">
        <v>0</v>
      </c>
      <c r="K656" s="1">
        <f t="shared" si="71"/>
        <v>394634.55000000005</v>
      </c>
      <c r="L656" s="1">
        <f t="shared" si="72"/>
        <v>2391</v>
      </c>
      <c r="M656" s="1">
        <f>VLOOKUP(B656,'[1]Срок Годности'!$A$2:$B$4,2,0)</f>
        <v>1000</v>
      </c>
      <c r="N656" s="60">
        <f t="shared" si="73"/>
        <v>764</v>
      </c>
      <c r="O656" s="1" t="str">
        <f t="shared" si="74"/>
        <v>28 2012</v>
      </c>
      <c r="P656" s="1">
        <f t="shared" si="75"/>
        <v>22</v>
      </c>
      <c r="Q656" s="1">
        <f t="shared" ca="1" si="76"/>
        <v>4034</v>
      </c>
      <c r="S656" s="1">
        <f t="shared" si="70"/>
        <v>5904</v>
      </c>
    </row>
    <row r="657" spans="1:19" x14ac:dyDescent="0.2">
      <c r="A657" s="57" t="s">
        <v>242</v>
      </c>
      <c r="B657" s="57" t="s">
        <v>237</v>
      </c>
      <c r="C657" s="57" t="s">
        <v>238</v>
      </c>
      <c r="D657" s="58">
        <v>165.05</v>
      </c>
      <c r="E657" s="59">
        <v>41100</v>
      </c>
      <c r="F657" s="58">
        <v>5904</v>
      </c>
      <c r="G657" s="58">
        <v>1634</v>
      </c>
      <c r="H657" s="58">
        <v>1785</v>
      </c>
      <c r="I657" s="58">
        <v>5681</v>
      </c>
      <c r="J657" s="58">
        <v>0</v>
      </c>
      <c r="K657" s="1">
        <f t="shared" si="71"/>
        <v>294614.25</v>
      </c>
      <c r="L657" s="1">
        <f t="shared" si="72"/>
        <v>1785</v>
      </c>
      <c r="M657" s="1">
        <f>VLOOKUP(B657,'[1]Срок Годности'!$A$2:$B$4,2,0)</f>
        <v>1000</v>
      </c>
      <c r="N657" s="60">
        <f t="shared" si="73"/>
        <v>1634</v>
      </c>
      <c r="O657" s="1" t="str">
        <f t="shared" si="74"/>
        <v>28 2012</v>
      </c>
      <c r="P657" s="1">
        <f t="shared" si="75"/>
        <v>22</v>
      </c>
      <c r="Q657" s="1">
        <f t="shared" ca="1" si="76"/>
        <v>4033</v>
      </c>
      <c r="S657" s="1">
        <f t="shared" si="70"/>
        <v>5681</v>
      </c>
    </row>
    <row r="658" spans="1:19" x14ac:dyDescent="0.2">
      <c r="A658" s="57" t="s">
        <v>242</v>
      </c>
      <c r="B658" s="57" t="s">
        <v>237</v>
      </c>
      <c r="C658" s="57" t="s">
        <v>238</v>
      </c>
      <c r="D658" s="58">
        <v>165.05</v>
      </c>
      <c r="E658" s="59">
        <v>41101</v>
      </c>
      <c r="F658" s="58">
        <v>5681</v>
      </c>
      <c r="G658" s="58">
        <v>177</v>
      </c>
      <c r="H658" s="58">
        <v>1542</v>
      </c>
      <c r="I658" s="58">
        <v>4259</v>
      </c>
      <c r="J658" s="58">
        <v>0</v>
      </c>
      <c r="K658" s="1">
        <f t="shared" si="71"/>
        <v>254507.1</v>
      </c>
      <c r="L658" s="1">
        <f t="shared" si="72"/>
        <v>1542</v>
      </c>
      <c r="M658" s="1">
        <f>VLOOKUP(B658,'[1]Срок Годности'!$A$2:$B$4,2,0)</f>
        <v>1000</v>
      </c>
      <c r="N658" s="60">
        <f t="shared" si="73"/>
        <v>177</v>
      </c>
      <c r="O658" s="1" t="str">
        <f t="shared" si="74"/>
        <v>28 2012</v>
      </c>
      <c r="P658" s="1">
        <f t="shared" si="75"/>
        <v>22</v>
      </c>
      <c r="Q658" s="1">
        <f t="shared" ca="1" si="76"/>
        <v>4032</v>
      </c>
      <c r="S658" s="1">
        <f t="shared" si="70"/>
        <v>4259</v>
      </c>
    </row>
    <row r="659" spans="1:19" x14ac:dyDescent="0.2">
      <c r="A659" s="57" t="s">
        <v>242</v>
      </c>
      <c r="B659" s="57" t="s">
        <v>237</v>
      </c>
      <c r="C659" s="57" t="s">
        <v>238</v>
      </c>
      <c r="D659" s="58">
        <v>165.05</v>
      </c>
      <c r="E659" s="59">
        <v>41102</v>
      </c>
      <c r="F659" s="58">
        <v>4259</v>
      </c>
      <c r="G659" s="58">
        <v>3208</v>
      </c>
      <c r="H659" s="58">
        <v>1260</v>
      </c>
      <c r="I659" s="58">
        <v>6191</v>
      </c>
      <c r="J659" s="58">
        <v>0</v>
      </c>
      <c r="K659" s="1">
        <f t="shared" si="71"/>
        <v>207963</v>
      </c>
      <c r="L659" s="1">
        <f t="shared" si="72"/>
        <v>1260</v>
      </c>
      <c r="M659" s="1">
        <f>VLOOKUP(B659,'[1]Срок Годности'!$A$2:$B$4,2,0)</f>
        <v>1000</v>
      </c>
      <c r="N659" s="60">
        <f t="shared" si="73"/>
        <v>3208</v>
      </c>
      <c r="O659" s="1" t="str">
        <f t="shared" si="74"/>
        <v>28 2012</v>
      </c>
      <c r="P659" s="1">
        <f t="shared" si="75"/>
        <v>22</v>
      </c>
      <c r="Q659" s="1">
        <f t="shared" ca="1" si="76"/>
        <v>4031</v>
      </c>
      <c r="S659" s="1">
        <f t="shared" si="70"/>
        <v>6191</v>
      </c>
    </row>
    <row r="660" spans="1:19" x14ac:dyDescent="0.2">
      <c r="A660" s="57" t="s">
        <v>242</v>
      </c>
      <c r="B660" s="57" t="s">
        <v>237</v>
      </c>
      <c r="C660" s="57" t="s">
        <v>238</v>
      </c>
      <c r="D660" s="58">
        <v>165.05</v>
      </c>
      <c r="E660" s="59">
        <v>41103</v>
      </c>
      <c r="F660" s="58">
        <v>6191</v>
      </c>
      <c r="G660" s="58">
        <v>3491</v>
      </c>
      <c r="H660" s="58">
        <v>1260</v>
      </c>
      <c r="I660" s="58">
        <v>8403</v>
      </c>
      <c r="J660" s="58">
        <v>0</v>
      </c>
      <c r="K660" s="1">
        <f t="shared" si="71"/>
        <v>207963</v>
      </c>
      <c r="L660" s="1">
        <f t="shared" si="72"/>
        <v>1260</v>
      </c>
      <c r="M660" s="1">
        <f>VLOOKUP(B660,'[1]Срок Годности'!$A$2:$B$4,2,0)</f>
        <v>1000</v>
      </c>
      <c r="N660" s="60">
        <f t="shared" si="73"/>
        <v>3491</v>
      </c>
      <c r="O660" s="1" t="str">
        <f t="shared" si="74"/>
        <v>28 2012</v>
      </c>
      <c r="P660" s="1">
        <f t="shared" si="75"/>
        <v>22</v>
      </c>
      <c r="Q660" s="1">
        <f t="shared" ca="1" si="76"/>
        <v>4030</v>
      </c>
      <c r="S660" s="1">
        <f t="shared" si="70"/>
        <v>8403</v>
      </c>
    </row>
    <row r="661" spans="1:19" x14ac:dyDescent="0.2">
      <c r="A661" s="57" t="s">
        <v>242</v>
      </c>
      <c r="B661" s="57" t="s">
        <v>237</v>
      </c>
      <c r="C661" s="57" t="s">
        <v>238</v>
      </c>
      <c r="D661" s="58">
        <v>165.05</v>
      </c>
      <c r="E661" s="59">
        <v>41104</v>
      </c>
      <c r="F661" s="58">
        <v>8403</v>
      </c>
      <c r="G661" s="58">
        <v>1847</v>
      </c>
      <c r="H661" s="58">
        <v>1404</v>
      </c>
      <c r="I661" s="58">
        <v>8795</v>
      </c>
      <c r="J661" s="58">
        <v>0</v>
      </c>
      <c r="K661" s="1">
        <f t="shared" si="71"/>
        <v>231730.2</v>
      </c>
      <c r="L661" s="1">
        <f t="shared" si="72"/>
        <v>1404</v>
      </c>
      <c r="M661" s="1">
        <f>VLOOKUP(B661,'[1]Срок Годности'!$A$2:$B$4,2,0)</f>
        <v>1000</v>
      </c>
      <c r="N661" s="60">
        <f t="shared" si="73"/>
        <v>1847</v>
      </c>
      <c r="O661" s="1" t="str">
        <f t="shared" si="74"/>
        <v>28 2012</v>
      </c>
      <c r="P661" s="1">
        <f t="shared" si="75"/>
        <v>22</v>
      </c>
      <c r="Q661" s="1">
        <f t="shared" ca="1" si="76"/>
        <v>4029</v>
      </c>
      <c r="S661" s="1">
        <f t="shared" si="70"/>
        <v>8795</v>
      </c>
    </row>
    <row r="662" spans="1:19" x14ac:dyDescent="0.2">
      <c r="A662" s="57" t="s">
        <v>242</v>
      </c>
      <c r="B662" s="57" t="s">
        <v>237</v>
      </c>
      <c r="C662" s="57" t="s">
        <v>238</v>
      </c>
      <c r="D662" s="58">
        <v>165.05</v>
      </c>
      <c r="E662" s="59">
        <v>41105</v>
      </c>
      <c r="F662" s="58">
        <v>8795</v>
      </c>
      <c r="G662" s="58">
        <v>1754</v>
      </c>
      <c r="H662" s="58">
        <v>1679</v>
      </c>
      <c r="I662" s="58">
        <v>8848</v>
      </c>
      <c r="J662" s="58">
        <v>0</v>
      </c>
      <c r="K662" s="1">
        <f t="shared" si="71"/>
        <v>277118.95</v>
      </c>
      <c r="L662" s="1">
        <f t="shared" si="72"/>
        <v>1679</v>
      </c>
      <c r="M662" s="1">
        <f>VLOOKUP(B662,'[1]Срок Годности'!$A$2:$B$4,2,0)</f>
        <v>1000</v>
      </c>
      <c r="N662" s="60">
        <f t="shared" si="73"/>
        <v>0</v>
      </c>
      <c r="O662" s="1" t="str">
        <f t="shared" si="74"/>
        <v>29 2012</v>
      </c>
      <c r="P662" s="1">
        <f t="shared" si="75"/>
        <v>22</v>
      </c>
      <c r="Q662" s="1">
        <f t="shared" ca="1" si="76"/>
        <v>4028</v>
      </c>
      <c r="S662" s="1">
        <f t="shared" si="70"/>
        <v>8848</v>
      </c>
    </row>
    <row r="663" spans="1:19" x14ac:dyDescent="0.2">
      <c r="A663" s="57" t="s">
        <v>242</v>
      </c>
      <c r="B663" s="57" t="s">
        <v>237</v>
      </c>
      <c r="C663" s="57" t="s">
        <v>238</v>
      </c>
      <c r="D663" s="58">
        <v>165.05</v>
      </c>
      <c r="E663" s="59">
        <v>41106</v>
      </c>
      <c r="F663" s="58">
        <v>8848</v>
      </c>
      <c r="G663" s="58">
        <v>1268</v>
      </c>
      <c r="H663" s="58">
        <v>1396</v>
      </c>
      <c r="I663" s="58">
        <v>8702</v>
      </c>
      <c r="J663" s="58">
        <v>0</v>
      </c>
      <c r="K663" s="1">
        <f t="shared" si="71"/>
        <v>230409.80000000002</v>
      </c>
      <c r="L663" s="1">
        <f t="shared" si="72"/>
        <v>1396</v>
      </c>
      <c r="M663" s="1">
        <f>VLOOKUP(B663,'[1]Срок Годности'!$A$2:$B$4,2,0)</f>
        <v>1000</v>
      </c>
      <c r="N663" s="60">
        <f t="shared" si="73"/>
        <v>1268</v>
      </c>
      <c r="O663" s="1" t="str">
        <f t="shared" si="74"/>
        <v>29 2012</v>
      </c>
      <c r="P663" s="1">
        <f t="shared" si="75"/>
        <v>22</v>
      </c>
      <c r="Q663" s="1">
        <f t="shared" ca="1" si="76"/>
        <v>4027</v>
      </c>
      <c r="S663" s="1">
        <f t="shared" si="70"/>
        <v>8702</v>
      </c>
    </row>
    <row r="664" spans="1:19" x14ac:dyDescent="0.2">
      <c r="A664" s="57" t="s">
        <v>242</v>
      </c>
      <c r="B664" s="57" t="s">
        <v>237</v>
      </c>
      <c r="C664" s="57" t="s">
        <v>238</v>
      </c>
      <c r="D664" s="58">
        <v>165.05</v>
      </c>
      <c r="E664" s="59">
        <v>41107</v>
      </c>
      <c r="F664" s="58">
        <v>8702</v>
      </c>
      <c r="G664" s="58">
        <v>1786</v>
      </c>
      <c r="H664" s="58">
        <v>968</v>
      </c>
      <c r="I664" s="58">
        <v>9486</v>
      </c>
      <c r="J664" s="58">
        <v>6</v>
      </c>
      <c r="K664" s="1">
        <f t="shared" si="71"/>
        <v>159768.40000000002</v>
      </c>
      <c r="L664" s="1" t="str">
        <f t="shared" si="72"/>
        <v/>
      </c>
      <c r="M664" s="1">
        <f>VLOOKUP(B664,'[1]Срок Годности'!$A$2:$B$4,2,0)</f>
        <v>1000</v>
      </c>
      <c r="N664" s="60">
        <f t="shared" si="73"/>
        <v>1786</v>
      </c>
      <c r="O664" s="1" t="str">
        <f t="shared" si="74"/>
        <v>29 2012</v>
      </c>
      <c r="P664" s="1">
        <f t="shared" si="75"/>
        <v>22</v>
      </c>
      <c r="Q664" s="1">
        <f t="shared" ca="1" si="76"/>
        <v>4026</v>
      </c>
      <c r="S664" s="1">
        <f t="shared" si="70"/>
        <v>9480</v>
      </c>
    </row>
    <row r="665" spans="1:19" x14ac:dyDescent="0.2">
      <c r="A665" s="57" t="s">
        <v>230</v>
      </c>
      <c r="B665" s="57" t="s">
        <v>225</v>
      </c>
      <c r="C665" s="57" t="s">
        <v>226</v>
      </c>
      <c r="D665" s="58">
        <v>317.08</v>
      </c>
      <c r="E665" s="59">
        <v>41061</v>
      </c>
      <c r="F665" s="58">
        <v>94</v>
      </c>
      <c r="G665" s="58">
        <v>1</v>
      </c>
      <c r="H665" s="58">
        <v>8</v>
      </c>
      <c r="I665" s="58">
        <v>87</v>
      </c>
      <c r="J665" s="58">
        <v>0</v>
      </c>
      <c r="K665" s="1">
        <f t="shared" si="71"/>
        <v>2536.64</v>
      </c>
      <c r="L665" s="1" t="str">
        <f t="shared" si="72"/>
        <v/>
      </c>
      <c r="M665" s="1">
        <f>VLOOKUP(B665,'[1]Срок Годности'!$A$2:$B$4,2,0)</f>
        <v>500</v>
      </c>
      <c r="N665" s="60">
        <f t="shared" si="73"/>
        <v>1</v>
      </c>
      <c r="O665" s="1" t="str">
        <f t="shared" si="74"/>
        <v>22 2012</v>
      </c>
      <c r="P665" s="1">
        <f t="shared" si="75"/>
        <v>23</v>
      </c>
      <c r="Q665" s="1">
        <f t="shared" ca="1" si="76"/>
        <v>4072</v>
      </c>
      <c r="S665" s="1">
        <f t="shared" si="70"/>
        <v>87</v>
      </c>
    </row>
    <row r="666" spans="1:19" x14ac:dyDescent="0.2">
      <c r="A666" s="57" t="s">
        <v>230</v>
      </c>
      <c r="B666" s="57" t="s">
        <v>225</v>
      </c>
      <c r="C666" s="57" t="s">
        <v>226</v>
      </c>
      <c r="D666" s="58">
        <v>317.08</v>
      </c>
      <c r="E666" s="59">
        <v>41062</v>
      </c>
      <c r="F666" s="58">
        <v>87</v>
      </c>
      <c r="G666" s="58">
        <v>0</v>
      </c>
      <c r="H666" s="58">
        <v>8</v>
      </c>
      <c r="I666" s="58">
        <v>79</v>
      </c>
      <c r="J666" s="58">
        <v>0</v>
      </c>
      <c r="K666" s="1">
        <f t="shared" si="71"/>
        <v>2536.64</v>
      </c>
      <c r="L666" s="1" t="str">
        <f t="shared" si="72"/>
        <v/>
      </c>
      <c r="M666" s="1">
        <f>VLOOKUP(B666,'[1]Срок Годности'!$A$2:$B$4,2,0)</f>
        <v>500</v>
      </c>
      <c r="N666" s="60">
        <f t="shared" si="73"/>
        <v>0</v>
      </c>
      <c r="O666" s="1" t="str">
        <f t="shared" si="74"/>
        <v>22 2012</v>
      </c>
      <c r="P666" s="1">
        <f t="shared" si="75"/>
        <v>23</v>
      </c>
      <c r="Q666" s="1">
        <f t="shared" ca="1" si="76"/>
        <v>4071</v>
      </c>
      <c r="S666" s="1">
        <f t="shared" si="70"/>
        <v>79</v>
      </c>
    </row>
    <row r="667" spans="1:19" x14ac:dyDescent="0.2">
      <c r="A667" s="57" t="s">
        <v>230</v>
      </c>
      <c r="B667" s="57" t="s">
        <v>225</v>
      </c>
      <c r="C667" s="57" t="s">
        <v>226</v>
      </c>
      <c r="D667" s="58">
        <v>317.08</v>
      </c>
      <c r="E667" s="59">
        <v>41063</v>
      </c>
      <c r="F667" s="58">
        <v>79</v>
      </c>
      <c r="G667" s="58">
        <v>3</v>
      </c>
      <c r="H667" s="58">
        <v>18</v>
      </c>
      <c r="I667" s="58">
        <v>64</v>
      </c>
      <c r="J667" s="58">
        <v>0</v>
      </c>
      <c r="K667" s="1">
        <f t="shared" si="71"/>
        <v>5707.44</v>
      </c>
      <c r="L667" s="1" t="str">
        <f t="shared" si="72"/>
        <v/>
      </c>
      <c r="M667" s="1">
        <f>VLOOKUP(B667,'[1]Срок Годности'!$A$2:$B$4,2,0)</f>
        <v>500</v>
      </c>
      <c r="N667" s="60">
        <f t="shared" si="73"/>
        <v>0</v>
      </c>
      <c r="O667" s="1" t="str">
        <f t="shared" si="74"/>
        <v>23 2012</v>
      </c>
      <c r="P667" s="1">
        <f t="shared" si="75"/>
        <v>23</v>
      </c>
      <c r="Q667" s="1">
        <f t="shared" ca="1" si="76"/>
        <v>4070</v>
      </c>
      <c r="S667" s="1">
        <f t="shared" si="70"/>
        <v>64</v>
      </c>
    </row>
    <row r="668" spans="1:19" x14ac:dyDescent="0.2">
      <c r="A668" s="57" t="s">
        <v>230</v>
      </c>
      <c r="B668" s="57" t="s">
        <v>225</v>
      </c>
      <c r="C668" s="57" t="s">
        <v>226</v>
      </c>
      <c r="D668" s="58">
        <v>317.08</v>
      </c>
      <c r="E668" s="59">
        <v>41064</v>
      </c>
      <c r="F668" s="58">
        <v>64</v>
      </c>
      <c r="G668" s="58">
        <v>1</v>
      </c>
      <c r="H668" s="58">
        <v>13</v>
      </c>
      <c r="I668" s="58">
        <v>52</v>
      </c>
      <c r="J668" s="58">
        <v>0</v>
      </c>
      <c r="K668" s="1">
        <f t="shared" si="71"/>
        <v>4122.04</v>
      </c>
      <c r="L668" s="1" t="str">
        <f t="shared" si="72"/>
        <v/>
      </c>
      <c r="M668" s="1">
        <f>VLOOKUP(B668,'[1]Срок Годности'!$A$2:$B$4,2,0)</f>
        <v>500</v>
      </c>
      <c r="N668" s="60">
        <f t="shared" si="73"/>
        <v>1</v>
      </c>
      <c r="O668" s="1" t="str">
        <f t="shared" si="74"/>
        <v>23 2012</v>
      </c>
      <c r="P668" s="1">
        <f t="shared" si="75"/>
        <v>23</v>
      </c>
      <c r="Q668" s="1">
        <f t="shared" ca="1" si="76"/>
        <v>4069</v>
      </c>
      <c r="S668" s="1">
        <f t="shared" si="70"/>
        <v>52</v>
      </c>
    </row>
    <row r="669" spans="1:19" x14ac:dyDescent="0.2">
      <c r="A669" s="57" t="s">
        <v>230</v>
      </c>
      <c r="B669" s="57" t="s">
        <v>225</v>
      </c>
      <c r="C669" s="57" t="s">
        <v>226</v>
      </c>
      <c r="D669" s="58">
        <v>317.08</v>
      </c>
      <c r="E669" s="59">
        <v>41065</v>
      </c>
      <c r="F669" s="58">
        <v>52</v>
      </c>
      <c r="G669" s="58">
        <v>3</v>
      </c>
      <c r="H669" s="58">
        <v>9</v>
      </c>
      <c r="I669" s="58">
        <v>44</v>
      </c>
      <c r="J669" s="58">
        <v>0</v>
      </c>
      <c r="K669" s="1">
        <f t="shared" si="71"/>
        <v>2853.72</v>
      </c>
      <c r="L669" s="1" t="str">
        <f t="shared" si="72"/>
        <v/>
      </c>
      <c r="M669" s="1">
        <f>VLOOKUP(B669,'[1]Срок Годности'!$A$2:$B$4,2,0)</f>
        <v>500</v>
      </c>
      <c r="N669" s="60">
        <f t="shared" si="73"/>
        <v>3</v>
      </c>
      <c r="O669" s="1" t="str">
        <f t="shared" si="74"/>
        <v>23 2012</v>
      </c>
      <c r="P669" s="1">
        <f t="shared" si="75"/>
        <v>23</v>
      </c>
      <c r="Q669" s="1">
        <f t="shared" ca="1" si="76"/>
        <v>4068</v>
      </c>
      <c r="S669" s="1">
        <f t="shared" si="70"/>
        <v>44</v>
      </c>
    </row>
    <row r="670" spans="1:19" x14ac:dyDescent="0.2">
      <c r="A670" s="57" t="s">
        <v>230</v>
      </c>
      <c r="B670" s="57" t="s">
        <v>225</v>
      </c>
      <c r="C670" s="57" t="s">
        <v>226</v>
      </c>
      <c r="D670" s="58">
        <v>317.08</v>
      </c>
      <c r="E670" s="59">
        <v>41066</v>
      </c>
      <c r="F670" s="58">
        <v>44</v>
      </c>
      <c r="G670" s="58">
        <v>38</v>
      </c>
      <c r="H670" s="58">
        <v>12</v>
      </c>
      <c r="I670" s="58">
        <v>70</v>
      </c>
      <c r="J670" s="58">
        <v>0</v>
      </c>
      <c r="K670" s="1">
        <f t="shared" si="71"/>
        <v>3804.96</v>
      </c>
      <c r="L670" s="1" t="str">
        <f t="shared" si="72"/>
        <v/>
      </c>
      <c r="M670" s="1">
        <f>VLOOKUP(B670,'[1]Срок Годности'!$A$2:$B$4,2,0)</f>
        <v>500</v>
      </c>
      <c r="N670" s="60">
        <f t="shared" si="73"/>
        <v>38</v>
      </c>
      <c r="O670" s="1" t="str">
        <f t="shared" si="74"/>
        <v>23 2012</v>
      </c>
      <c r="P670" s="1">
        <f t="shared" si="75"/>
        <v>23</v>
      </c>
      <c r="Q670" s="1">
        <f t="shared" ca="1" si="76"/>
        <v>4067</v>
      </c>
      <c r="S670" s="1">
        <f t="shared" si="70"/>
        <v>70</v>
      </c>
    </row>
    <row r="671" spans="1:19" x14ac:dyDescent="0.2">
      <c r="A671" s="57" t="s">
        <v>230</v>
      </c>
      <c r="B671" s="57" t="s">
        <v>225</v>
      </c>
      <c r="C671" s="57" t="s">
        <v>226</v>
      </c>
      <c r="D671" s="58">
        <v>317.08</v>
      </c>
      <c r="E671" s="59">
        <v>41067</v>
      </c>
      <c r="F671" s="58">
        <v>70</v>
      </c>
      <c r="G671" s="58">
        <v>18</v>
      </c>
      <c r="H671" s="58">
        <v>14</v>
      </c>
      <c r="I671" s="58">
        <v>74</v>
      </c>
      <c r="J671" s="58">
        <v>0</v>
      </c>
      <c r="K671" s="1">
        <f t="shared" si="71"/>
        <v>4439.12</v>
      </c>
      <c r="L671" s="1" t="str">
        <f t="shared" si="72"/>
        <v/>
      </c>
      <c r="M671" s="1">
        <f>VLOOKUP(B671,'[1]Срок Годности'!$A$2:$B$4,2,0)</f>
        <v>500</v>
      </c>
      <c r="N671" s="60">
        <f t="shared" si="73"/>
        <v>18</v>
      </c>
      <c r="O671" s="1" t="str">
        <f t="shared" si="74"/>
        <v>23 2012</v>
      </c>
      <c r="P671" s="1">
        <f t="shared" si="75"/>
        <v>23</v>
      </c>
      <c r="Q671" s="1">
        <f t="shared" ca="1" si="76"/>
        <v>4066</v>
      </c>
      <c r="S671" s="1">
        <f t="shared" si="70"/>
        <v>74</v>
      </c>
    </row>
    <row r="672" spans="1:19" x14ac:dyDescent="0.2">
      <c r="A672" s="57" t="s">
        <v>230</v>
      </c>
      <c r="B672" s="57" t="s">
        <v>225</v>
      </c>
      <c r="C672" s="57" t="s">
        <v>226</v>
      </c>
      <c r="D672" s="58">
        <v>317.08</v>
      </c>
      <c r="E672" s="59">
        <v>41068</v>
      </c>
      <c r="F672" s="58">
        <v>74</v>
      </c>
      <c r="G672" s="58">
        <v>44</v>
      </c>
      <c r="H672" s="58">
        <v>20</v>
      </c>
      <c r="I672" s="58">
        <v>98</v>
      </c>
      <c r="J672" s="58">
        <v>0</v>
      </c>
      <c r="K672" s="1">
        <f t="shared" si="71"/>
        <v>6341.5999999999995</v>
      </c>
      <c r="L672" s="1" t="str">
        <f t="shared" si="72"/>
        <v/>
      </c>
      <c r="M672" s="1">
        <f>VLOOKUP(B672,'[1]Срок Годности'!$A$2:$B$4,2,0)</f>
        <v>500</v>
      </c>
      <c r="N672" s="60">
        <f t="shared" si="73"/>
        <v>44</v>
      </c>
      <c r="O672" s="1" t="str">
        <f t="shared" si="74"/>
        <v>23 2012</v>
      </c>
      <c r="P672" s="1">
        <f t="shared" si="75"/>
        <v>23</v>
      </c>
      <c r="Q672" s="1">
        <f t="shared" ca="1" si="76"/>
        <v>4065</v>
      </c>
      <c r="S672" s="1">
        <f t="shared" si="70"/>
        <v>98</v>
      </c>
    </row>
    <row r="673" spans="1:19" x14ac:dyDescent="0.2">
      <c r="A673" s="57" t="s">
        <v>230</v>
      </c>
      <c r="B673" s="57" t="s">
        <v>225</v>
      </c>
      <c r="C673" s="57" t="s">
        <v>226</v>
      </c>
      <c r="D673" s="58">
        <v>317.08</v>
      </c>
      <c r="E673" s="59">
        <v>41069</v>
      </c>
      <c r="F673" s="58">
        <v>98</v>
      </c>
      <c r="G673" s="58">
        <v>2</v>
      </c>
      <c r="H673" s="58">
        <v>16</v>
      </c>
      <c r="I673" s="58">
        <v>83</v>
      </c>
      <c r="J673" s="58">
        <v>0</v>
      </c>
      <c r="K673" s="1">
        <f t="shared" si="71"/>
        <v>5073.28</v>
      </c>
      <c r="L673" s="1" t="str">
        <f t="shared" si="72"/>
        <v/>
      </c>
      <c r="M673" s="1">
        <f>VLOOKUP(B673,'[1]Срок Годности'!$A$2:$B$4,2,0)</f>
        <v>500</v>
      </c>
      <c r="N673" s="60">
        <f t="shared" si="73"/>
        <v>2</v>
      </c>
      <c r="O673" s="1" t="str">
        <f t="shared" si="74"/>
        <v>23 2012</v>
      </c>
      <c r="P673" s="1">
        <f t="shared" si="75"/>
        <v>23</v>
      </c>
      <c r="Q673" s="1">
        <f t="shared" ca="1" si="76"/>
        <v>4064</v>
      </c>
      <c r="S673" s="1">
        <f t="shared" si="70"/>
        <v>83</v>
      </c>
    </row>
    <row r="674" spans="1:19" x14ac:dyDescent="0.2">
      <c r="A674" s="57" t="s">
        <v>230</v>
      </c>
      <c r="B674" s="57" t="s">
        <v>225</v>
      </c>
      <c r="C674" s="57" t="s">
        <v>226</v>
      </c>
      <c r="D674" s="58">
        <v>317.08</v>
      </c>
      <c r="E674" s="59">
        <v>41070</v>
      </c>
      <c r="F674" s="58">
        <v>83</v>
      </c>
      <c r="G674" s="58">
        <v>16</v>
      </c>
      <c r="H674" s="58">
        <v>19</v>
      </c>
      <c r="I674" s="58">
        <v>79</v>
      </c>
      <c r="J674" s="58">
        <v>0</v>
      </c>
      <c r="K674" s="1">
        <f t="shared" si="71"/>
        <v>6024.5199999999995</v>
      </c>
      <c r="L674" s="1" t="str">
        <f t="shared" si="72"/>
        <v/>
      </c>
      <c r="M674" s="1">
        <f>VLOOKUP(B674,'[1]Срок Годности'!$A$2:$B$4,2,0)</f>
        <v>500</v>
      </c>
      <c r="N674" s="60">
        <f t="shared" si="73"/>
        <v>0</v>
      </c>
      <c r="O674" s="1" t="str">
        <f t="shared" si="74"/>
        <v>24 2012</v>
      </c>
      <c r="P674" s="1">
        <f t="shared" si="75"/>
        <v>23</v>
      </c>
      <c r="Q674" s="1">
        <f t="shared" ca="1" si="76"/>
        <v>4063</v>
      </c>
      <c r="S674" s="1">
        <f t="shared" si="70"/>
        <v>79</v>
      </c>
    </row>
    <row r="675" spans="1:19" x14ac:dyDescent="0.2">
      <c r="A675" s="57" t="s">
        <v>230</v>
      </c>
      <c r="B675" s="57" t="s">
        <v>225</v>
      </c>
      <c r="C675" s="57" t="s">
        <v>226</v>
      </c>
      <c r="D675" s="58">
        <v>317.08</v>
      </c>
      <c r="E675" s="59">
        <v>41071</v>
      </c>
      <c r="F675" s="58">
        <v>79</v>
      </c>
      <c r="G675" s="58">
        <v>18</v>
      </c>
      <c r="H675" s="58">
        <v>18</v>
      </c>
      <c r="I675" s="58">
        <v>81</v>
      </c>
      <c r="J675" s="58">
        <v>0</v>
      </c>
      <c r="K675" s="1">
        <f t="shared" si="71"/>
        <v>5707.44</v>
      </c>
      <c r="L675" s="1" t="str">
        <f t="shared" si="72"/>
        <v/>
      </c>
      <c r="M675" s="1">
        <f>VLOOKUP(B675,'[1]Срок Годности'!$A$2:$B$4,2,0)</f>
        <v>500</v>
      </c>
      <c r="N675" s="60">
        <f t="shared" si="73"/>
        <v>18</v>
      </c>
      <c r="O675" s="1" t="str">
        <f t="shared" si="74"/>
        <v>24 2012</v>
      </c>
      <c r="P675" s="1">
        <f t="shared" si="75"/>
        <v>23</v>
      </c>
      <c r="Q675" s="1">
        <f t="shared" ca="1" si="76"/>
        <v>4062</v>
      </c>
      <c r="S675" s="1">
        <f t="shared" si="70"/>
        <v>81</v>
      </c>
    </row>
    <row r="676" spans="1:19" x14ac:dyDescent="0.2">
      <c r="A676" s="57" t="s">
        <v>230</v>
      </c>
      <c r="B676" s="57" t="s">
        <v>225</v>
      </c>
      <c r="C676" s="57" t="s">
        <v>226</v>
      </c>
      <c r="D676" s="58">
        <v>317.08</v>
      </c>
      <c r="E676" s="59">
        <v>41072</v>
      </c>
      <c r="F676" s="58">
        <v>81</v>
      </c>
      <c r="G676" s="58">
        <v>11</v>
      </c>
      <c r="H676" s="58">
        <v>5</v>
      </c>
      <c r="I676" s="58">
        <v>88</v>
      </c>
      <c r="J676" s="58">
        <v>0</v>
      </c>
      <c r="K676" s="1">
        <f t="shared" si="71"/>
        <v>1585.3999999999999</v>
      </c>
      <c r="L676" s="1" t="str">
        <f t="shared" si="72"/>
        <v/>
      </c>
      <c r="M676" s="1">
        <f>VLOOKUP(B676,'[1]Срок Годности'!$A$2:$B$4,2,0)</f>
        <v>500</v>
      </c>
      <c r="N676" s="60">
        <f t="shared" si="73"/>
        <v>11</v>
      </c>
      <c r="O676" s="1" t="str">
        <f t="shared" si="74"/>
        <v>24 2012</v>
      </c>
      <c r="P676" s="1">
        <f t="shared" si="75"/>
        <v>23</v>
      </c>
      <c r="Q676" s="1">
        <f t="shared" ca="1" si="76"/>
        <v>4061</v>
      </c>
      <c r="S676" s="1">
        <f t="shared" si="70"/>
        <v>88</v>
      </c>
    </row>
    <row r="677" spans="1:19" x14ac:dyDescent="0.2">
      <c r="A677" s="57" t="s">
        <v>230</v>
      </c>
      <c r="B677" s="57" t="s">
        <v>225</v>
      </c>
      <c r="C677" s="57" t="s">
        <v>226</v>
      </c>
      <c r="D677" s="58">
        <v>317.08</v>
      </c>
      <c r="E677" s="59">
        <v>41073</v>
      </c>
      <c r="F677" s="58">
        <v>88</v>
      </c>
      <c r="G677" s="58">
        <v>93</v>
      </c>
      <c r="H677" s="58">
        <v>22</v>
      </c>
      <c r="I677" s="58">
        <v>156</v>
      </c>
      <c r="J677" s="58">
        <v>0</v>
      </c>
      <c r="K677" s="1">
        <f t="shared" si="71"/>
        <v>6975.7599999999993</v>
      </c>
      <c r="L677" s="1" t="str">
        <f t="shared" si="72"/>
        <v/>
      </c>
      <c r="M677" s="1">
        <f>VLOOKUP(B677,'[1]Срок Годности'!$A$2:$B$4,2,0)</f>
        <v>500</v>
      </c>
      <c r="N677" s="60">
        <f t="shared" si="73"/>
        <v>93</v>
      </c>
      <c r="O677" s="1" t="str">
        <f t="shared" si="74"/>
        <v>24 2012</v>
      </c>
      <c r="P677" s="1">
        <f t="shared" si="75"/>
        <v>23</v>
      </c>
      <c r="Q677" s="1">
        <f t="shared" ca="1" si="76"/>
        <v>4060</v>
      </c>
      <c r="S677" s="1">
        <f t="shared" si="70"/>
        <v>156</v>
      </c>
    </row>
    <row r="678" spans="1:19" x14ac:dyDescent="0.2">
      <c r="A678" s="57" t="s">
        <v>230</v>
      </c>
      <c r="B678" s="57" t="s">
        <v>225</v>
      </c>
      <c r="C678" s="57" t="s">
        <v>226</v>
      </c>
      <c r="D678" s="58">
        <v>317.08</v>
      </c>
      <c r="E678" s="59">
        <v>41074</v>
      </c>
      <c r="F678" s="58">
        <v>156</v>
      </c>
      <c r="G678" s="58">
        <v>14</v>
      </c>
      <c r="H678" s="58">
        <v>17</v>
      </c>
      <c r="I678" s="58">
        <v>153</v>
      </c>
      <c r="J678" s="58">
        <v>0</v>
      </c>
      <c r="K678" s="1">
        <f t="shared" si="71"/>
        <v>5390.36</v>
      </c>
      <c r="L678" s="1" t="str">
        <f t="shared" si="72"/>
        <v/>
      </c>
      <c r="M678" s="1">
        <f>VLOOKUP(B678,'[1]Срок Годности'!$A$2:$B$4,2,0)</f>
        <v>500</v>
      </c>
      <c r="N678" s="60">
        <f t="shared" si="73"/>
        <v>14</v>
      </c>
      <c r="O678" s="1" t="str">
        <f t="shared" si="74"/>
        <v>24 2012</v>
      </c>
      <c r="P678" s="1">
        <f t="shared" si="75"/>
        <v>23</v>
      </c>
      <c r="Q678" s="1">
        <f t="shared" ca="1" si="76"/>
        <v>4059</v>
      </c>
      <c r="S678" s="1">
        <f t="shared" si="70"/>
        <v>153</v>
      </c>
    </row>
    <row r="679" spans="1:19" x14ac:dyDescent="0.2">
      <c r="A679" s="57" t="s">
        <v>230</v>
      </c>
      <c r="B679" s="57" t="s">
        <v>225</v>
      </c>
      <c r="C679" s="57" t="s">
        <v>226</v>
      </c>
      <c r="D679" s="58">
        <v>317.08</v>
      </c>
      <c r="E679" s="59">
        <v>41075</v>
      </c>
      <c r="F679" s="58">
        <v>153</v>
      </c>
      <c r="G679" s="58">
        <v>15</v>
      </c>
      <c r="H679" s="58">
        <v>12</v>
      </c>
      <c r="I679" s="58">
        <v>156</v>
      </c>
      <c r="J679" s="58">
        <v>0</v>
      </c>
      <c r="K679" s="1">
        <f t="shared" si="71"/>
        <v>3804.96</v>
      </c>
      <c r="L679" s="1" t="str">
        <f t="shared" si="72"/>
        <v/>
      </c>
      <c r="M679" s="1">
        <f>VLOOKUP(B679,'[1]Срок Годности'!$A$2:$B$4,2,0)</f>
        <v>500</v>
      </c>
      <c r="N679" s="60">
        <f t="shared" si="73"/>
        <v>15</v>
      </c>
      <c r="O679" s="1" t="str">
        <f t="shared" si="74"/>
        <v>24 2012</v>
      </c>
      <c r="P679" s="1">
        <f t="shared" si="75"/>
        <v>23</v>
      </c>
      <c r="Q679" s="1">
        <f t="shared" ca="1" si="76"/>
        <v>4058</v>
      </c>
      <c r="S679" s="1">
        <f t="shared" si="70"/>
        <v>156</v>
      </c>
    </row>
    <row r="680" spans="1:19" x14ac:dyDescent="0.2">
      <c r="A680" s="57" t="s">
        <v>230</v>
      </c>
      <c r="B680" s="57" t="s">
        <v>225</v>
      </c>
      <c r="C680" s="57" t="s">
        <v>226</v>
      </c>
      <c r="D680" s="58">
        <v>317.08</v>
      </c>
      <c r="E680" s="59">
        <v>41076</v>
      </c>
      <c r="F680" s="58">
        <v>156</v>
      </c>
      <c r="G680" s="58">
        <v>30</v>
      </c>
      <c r="H680" s="58">
        <v>17</v>
      </c>
      <c r="I680" s="58">
        <v>150</v>
      </c>
      <c r="J680" s="58">
        <v>0</v>
      </c>
      <c r="K680" s="1">
        <f t="shared" si="71"/>
        <v>5390.36</v>
      </c>
      <c r="L680" s="1" t="str">
        <f t="shared" si="72"/>
        <v/>
      </c>
      <c r="M680" s="1">
        <f>VLOOKUP(B680,'[1]Срок Годности'!$A$2:$B$4,2,0)</f>
        <v>500</v>
      </c>
      <c r="N680" s="60">
        <f t="shared" si="73"/>
        <v>30</v>
      </c>
      <c r="O680" s="1" t="str">
        <f t="shared" si="74"/>
        <v>24 2012</v>
      </c>
      <c r="P680" s="1">
        <f t="shared" si="75"/>
        <v>23</v>
      </c>
      <c r="Q680" s="1">
        <f t="shared" ca="1" si="76"/>
        <v>4057</v>
      </c>
      <c r="S680" s="1">
        <f t="shared" si="70"/>
        <v>150</v>
      </c>
    </row>
    <row r="681" spans="1:19" x14ac:dyDescent="0.2">
      <c r="A681" s="57" t="s">
        <v>230</v>
      </c>
      <c r="B681" s="57" t="s">
        <v>225</v>
      </c>
      <c r="C681" s="57" t="s">
        <v>226</v>
      </c>
      <c r="D681" s="58">
        <v>317.08</v>
      </c>
      <c r="E681" s="59">
        <v>41077</v>
      </c>
      <c r="F681" s="58">
        <v>150</v>
      </c>
      <c r="G681" s="58">
        <v>45</v>
      </c>
      <c r="H681" s="58">
        <v>20</v>
      </c>
      <c r="I681" s="58">
        <v>175</v>
      </c>
      <c r="J681" s="58">
        <v>0</v>
      </c>
      <c r="K681" s="1">
        <f t="shared" si="71"/>
        <v>6341.5999999999995</v>
      </c>
      <c r="L681" s="1" t="str">
        <f t="shared" si="72"/>
        <v/>
      </c>
      <c r="M681" s="1">
        <f>VLOOKUP(B681,'[1]Срок Годности'!$A$2:$B$4,2,0)</f>
        <v>500</v>
      </c>
      <c r="N681" s="60">
        <f t="shared" si="73"/>
        <v>0</v>
      </c>
      <c r="O681" s="1" t="str">
        <f t="shared" si="74"/>
        <v>25 2012</v>
      </c>
      <c r="P681" s="1">
        <f t="shared" si="75"/>
        <v>23</v>
      </c>
      <c r="Q681" s="1">
        <f t="shared" ca="1" si="76"/>
        <v>4056</v>
      </c>
      <c r="S681" s="1">
        <f t="shared" si="70"/>
        <v>175</v>
      </c>
    </row>
    <row r="682" spans="1:19" x14ac:dyDescent="0.2">
      <c r="A682" s="57" t="s">
        <v>230</v>
      </c>
      <c r="B682" s="57" t="s">
        <v>225</v>
      </c>
      <c r="C682" s="57" t="s">
        <v>226</v>
      </c>
      <c r="D682" s="58">
        <v>317.08</v>
      </c>
      <c r="E682" s="59">
        <v>41078</v>
      </c>
      <c r="F682" s="58">
        <v>175</v>
      </c>
      <c r="G682" s="58">
        <v>-15</v>
      </c>
      <c r="H682" s="58">
        <v>25</v>
      </c>
      <c r="I682" s="58">
        <v>135</v>
      </c>
      <c r="J682" s="58">
        <v>0</v>
      </c>
      <c r="K682" s="1">
        <f t="shared" si="71"/>
        <v>7927</v>
      </c>
      <c r="L682" s="1" t="str">
        <f t="shared" si="72"/>
        <v/>
      </c>
      <c r="M682" s="1">
        <f>VLOOKUP(B682,'[1]Срок Годности'!$A$2:$B$4,2,0)</f>
        <v>500</v>
      </c>
      <c r="N682" s="60">
        <f t="shared" si="73"/>
        <v>-15</v>
      </c>
      <c r="O682" s="1" t="str">
        <f t="shared" si="74"/>
        <v>25 2012</v>
      </c>
      <c r="P682" s="1">
        <f t="shared" si="75"/>
        <v>23</v>
      </c>
      <c r="Q682" s="1">
        <f t="shared" ca="1" si="76"/>
        <v>4055</v>
      </c>
      <c r="S682" s="1">
        <f t="shared" si="70"/>
        <v>135</v>
      </c>
    </row>
    <row r="683" spans="1:19" x14ac:dyDescent="0.2">
      <c r="A683" s="57" t="s">
        <v>230</v>
      </c>
      <c r="B683" s="57" t="s">
        <v>225</v>
      </c>
      <c r="C683" s="57" t="s">
        <v>226</v>
      </c>
      <c r="D683" s="58">
        <v>317.08</v>
      </c>
      <c r="E683" s="59">
        <v>41079</v>
      </c>
      <c r="F683" s="58">
        <v>135</v>
      </c>
      <c r="G683" s="58">
        <v>5</v>
      </c>
      <c r="H683" s="58">
        <v>21</v>
      </c>
      <c r="I683" s="58">
        <v>118</v>
      </c>
      <c r="J683" s="58">
        <v>0</v>
      </c>
      <c r="K683" s="1">
        <f t="shared" si="71"/>
        <v>6658.6799999999994</v>
      </c>
      <c r="L683" s="1" t="str">
        <f t="shared" si="72"/>
        <v/>
      </c>
      <c r="M683" s="1">
        <f>VLOOKUP(B683,'[1]Срок Годности'!$A$2:$B$4,2,0)</f>
        <v>500</v>
      </c>
      <c r="N683" s="60">
        <f t="shared" si="73"/>
        <v>5</v>
      </c>
      <c r="O683" s="1" t="str">
        <f t="shared" si="74"/>
        <v>25 2012</v>
      </c>
      <c r="P683" s="1">
        <f t="shared" si="75"/>
        <v>23</v>
      </c>
      <c r="Q683" s="1">
        <f t="shared" ca="1" si="76"/>
        <v>4054</v>
      </c>
      <c r="S683" s="1">
        <f t="shared" si="70"/>
        <v>118</v>
      </c>
    </row>
    <row r="684" spans="1:19" x14ac:dyDescent="0.2">
      <c r="A684" s="57" t="s">
        <v>230</v>
      </c>
      <c r="B684" s="57" t="s">
        <v>225</v>
      </c>
      <c r="C684" s="57" t="s">
        <v>226</v>
      </c>
      <c r="D684" s="58">
        <v>317.08</v>
      </c>
      <c r="E684" s="59">
        <v>41080</v>
      </c>
      <c r="F684" s="58">
        <v>118</v>
      </c>
      <c r="G684" s="58">
        <v>54</v>
      </c>
      <c r="H684" s="58">
        <v>20</v>
      </c>
      <c r="I684" s="58">
        <v>152</v>
      </c>
      <c r="J684" s="58">
        <v>0</v>
      </c>
      <c r="K684" s="1">
        <f t="shared" si="71"/>
        <v>6341.5999999999995</v>
      </c>
      <c r="L684" s="1" t="str">
        <f t="shared" si="72"/>
        <v/>
      </c>
      <c r="M684" s="1">
        <f>VLOOKUP(B684,'[1]Срок Годности'!$A$2:$B$4,2,0)</f>
        <v>500</v>
      </c>
      <c r="N684" s="60">
        <f t="shared" si="73"/>
        <v>54</v>
      </c>
      <c r="O684" s="1" t="str">
        <f t="shared" si="74"/>
        <v>25 2012</v>
      </c>
      <c r="P684" s="1">
        <f t="shared" si="75"/>
        <v>23</v>
      </c>
      <c r="Q684" s="1">
        <f t="shared" ca="1" si="76"/>
        <v>4053</v>
      </c>
      <c r="S684" s="1">
        <f t="shared" si="70"/>
        <v>152</v>
      </c>
    </row>
    <row r="685" spans="1:19" x14ac:dyDescent="0.2">
      <c r="A685" s="57" t="s">
        <v>230</v>
      </c>
      <c r="B685" s="57" t="s">
        <v>225</v>
      </c>
      <c r="C685" s="57" t="s">
        <v>226</v>
      </c>
      <c r="D685" s="58">
        <v>317.08</v>
      </c>
      <c r="E685" s="59">
        <v>41081</v>
      </c>
      <c r="F685" s="58">
        <v>152</v>
      </c>
      <c r="G685" s="58">
        <v>44</v>
      </c>
      <c r="H685" s="58">
        <v>24</v>
      </c>
      <c r="I685" s="58">
        <v>172</v>
      </c>
      <c r="J685" s="58">
        <v>0</v>
      </c>
      <c r="K685" s="1">
        <f t="shared" si="71"/>
        <v>7609.92</v>
      </c>
      <c r="L685" s="1" t="str">
        <f t="shared" si="72"/>
        <v/>
      </c>
      <c r="M685" s="1">
        <f>VLOOKUP(B685,'[1]Срок Годности'!$A$2:$B$4,2,0)</f>
        <v>500</v>
      </c>
      <c r="N685" s="60">
        <f t="shared" si="73"/>
        <v>44</v>
      </c>
      <c r="O685" s="1" t="str">
        <f t="shared" si="74"/>
        <v>25 2012</v>
      </c>
      <c r="P685" s="1">
        <f t="shared" si="75"/>
        <v>23</v>
      </c>
      <c r="Q685" s="1">
        <f t="shared" ca="1" si="76"/>
        <v>4052</v>
      </c>
      <c r="S685" s="1">
        <f t="shared" si="70"/>
        <v>172</v>
      </c>
    </row>
    <row r="686" spans="1:19" x14ac:dyDescent="0.2">
      <c r="A686" s="57" t="s">
        <v>230</v>
      </c>
      <c r="B686" s="57" t="s">
        <v>225</v>
      </c>
      <c r="C686" s="57" t="s">
        <v>226</v>
      </c>
      <c r="D686" s="58">
        <v>317.08</v>
      </c>
      <c r="E686" s="59">
        <v>41082</v>
      </c>
      <c r="F686" s="58">
        <v>172</v>
      </c>
      <c r="G686" s="58">
        <v>18</v>
      </c>
      <c r="H686" s="58">
        <v>18</v>
      </c>
      <c r="I686" s="58">
        <v>172</v>
      </c>
      <c r="J686" s="58">
        <v>0</v>
      </c>
      <c r="K686" s="1">
        <f t="shared" si="71"/>
        <v>5707.44</v>
      </c>
      <c r="L686" s="1" t="str">
        <f t="shared" si="72"/>
        <v/>
      </c>
      <c r="M686" s="1">
        <f>VLOOKUP(B686,'[1]Срок Годности'!$A$2:$B$4,2,0)</f>
        <v>500</v>
      </c>
      <c r="N686" s="60">
        <f t="shared" si="73"/>
        <v>18</v>
      </c>
      <c r="O686" s="1" t="str">
        <f t="shared" si="74"/>
        <v>25 2012</v>
      </c>
      <c r="P686" s="1">
        <f t="shared" si="75"/>
        <v>23</v>
      </c>
      <c r="Q686" s="1">
        <f t="shared" ca="1" si="76"/>
        <v>4051</v>
      </c>
      <c r="S686" s="1">
        <f t="shared" si="70"/>
        <v>172</v>
      </c>
    </row>
    <row r="687" spans="1:19" x14ac:dyDescent="0.2">
      <c r="A687" s="57" t="s">
        <v>230</v>
      </c>
      <c r="B687" s="57" t="s">
        <v>225</v>
      </c>
      <c r="C687" s="57" t="s">
        <v>226</v>
      </c>
      <c r="D687" s="58">
        <v>317.08</v>
      </c>
      <c r="E687" s="59">
        <v>41083</v>
      </c>
      <c r="F687" s="58">
        <v>172</v>
      </c>
      <c r="G687" s="58">
        <v>23</v>
      </c>
      <c r="H687" s="58">
        <v>32</v>
      </c>
      <c r="I687" s="58">
        <v>163</v>
      </c>
      <c r="J687" s="58">
        <v>0</v>
      </c>
      <c r="K687" s="1">
        <f t="shared" si="71"/>
        <v>10146.56</v>
      </c>
      <c r="L687" s="1" t="str">
        <f t="shared" si="72"/>
        <v/>
      </c>
      <c r="M687" s="1">
        <f>VLOOKUP(B687,'[1]Срок Годности'!$A$2:$B$4,2,0)</f>
        <v>500</v>
      </c>
      <c r="N687" s="60">
        <f t="shared" si="73"/>
        <v>23</v>
      </c>
      <c r="O687" s="1" t="str">
        <f t="shared" si="74"/>
        <v>25 2012</v>
      </c>
      <c r="P687" s="1">
        <f t="shared" si="75"/>
        <v>23</v>
      </c>
      <c r="Q687" s="1">
        <f t="shared" ca="1" si="76"/>
        <v>4050</v>
      </c>
      <c r="S687" s="1">
        <f t="shared" si="70"/>
        <v>163</v>
      </c>
    </row>
    <row r="688" spans="1:19" x14ac:dyDescent="0.2">
      <c r="A688" s="57" t="s">
        <v>230</v>
      </c>
      <c r="B688" s="57" t="s">
        <v>225</v>
      </c>
      <c r="C688" s="57" t="s">
        <v>226</v>
      </c>
      <c r="D688" s="58">
        <v>317.08</v>
      </c>
      <c r="E688" s="59">
        <v>41084</v>
      </c>
      <c r="F688" s="58">
        <v>163</v>
      </c>
      <c r="G688" s="58">
        <v>5</v>
      </c>
      <c r="H688" s="58">
        <v>20</v>
      </c>
      <c r="I688" s="58">
        <v>148</v>
      </c>
      <c r="J688" s="58">
        <v>0</v>
      </c>
      <c r="K688" s="1">
        <f t="shared" si="71"/>
        <v>6341.5999999999995</v>
      </c>
      <c r="L688" s="1" t="str">
        <f t="shared" si="72"/>
        <v/>
      </c>
      <c r="M688" s="1">
        <f>VLOOKUP(B688,'[1]Срок Годности'!$A$2:$B$4,2,0)</f>
        <v>500</v>
      </c>
      <c r="N688" s="60">
        <f t="shared" si="73"/>
        <v>0</v>
      </c>
      <c r="O688" s="1" t="str">
        <f t="shared" si="74"/>
        <v>26 2012</v>
      </c>
      <c r="P688" s="1">
        <f t="shared" si="75"/>
        <v>23</v>
      </c>
      <c r="Q688" s="1">
        <f t="shared" ca="1" si="76"/>
        <v>4049</v>
      </c>
      <c r="S688" s="1">
        <f t="shared" si="70"/>
        <v>148</v>
      </c>
    </row>
    <row r="689" spans="1:19" x14ac:dyDescent="0.2">
      <c r="A689" s="57" t="s">
        <v>230</v>
      </c>
      <c r="B689" s="57" t="s">
        <v>225</v>
      </c>
      <c r="C689" s="57" t="s">
        <v>226</v>
      </c>
      <c r="D689" s="58">
        <v>317.08</v>
      </c>
      <c r="E689" s="59">
        <v>41085</v>
      </c>
      <c r="F689" s="58">
        <v>148</v>
      </c>
      <c r="G689" s="58">
        <v>32</v>
      </c>
      <c r="H689" s="58">
        <v>29</v>
      </c>
      <c r="I689" s="58">
        <v>151</v>
      </c>
      <c r="J689" s="58">
        <v>0</v>
      </c>
      <c r="K689" s="1">
        <f t="shared" si="71"/>
        <v>9195.32</v>
      </c>
      <c r="L689" s="1" t="str">
        <f t="shared" si="72"/>
        <v/>
      </c>
      <c r="M689" s="1">
        <f>VLOOKUP(B689,'[1]Срок Годности'!$A$2:$B$4,2,0)</f>
        <v>500</v>
      </c>
      <c r="N689" s="60">
        <f t="shared" si="73"/>
        <v>32</v>
      </c>
      <c r="O689" s="1" t="str">
        <f t="shared" si="74"/>
        <v>26 2012</v>
      </c>
      <c r="P689" s="1">
        <f t="shared" si="75"/>
        <v>23</v>
      </c>
      <c r="Q689" s="1">
        <f t="shared" ca="1" si="76"/>
        <v>4048</v>
      </c>
      <c r="S689" s="1">
        <f t="shared" si="70"/>
        <v>151</v>
      </c>
    </row>
    <row r="690" spans="1:19" x14ac:dyDescent="0.2">
      <c r="A690" s="57" t="s">
        <v>230</v>
      </c>
      <c r="B690" s="57" t="s">
        <v>225</v>
      </c>
      <c r="C690" s="57" t="s">
        <v>226</v>
      </c>
      <c r="D690" s="58">
        <v>317.08</v>
      </c>
      <c r="E690" s="59">
        <v>41086</v>
      </c>
      <c r="F690" s="58">
        <v>151</v>
      </c>
      <c r="G690" s="58">
        <v>20</v>
      </c>
      <c r="H690" s="58">
        <v>31</v>
      </c>
      <c r="I690" s="58">
        <v>140</v>
      </c>
      <c r="J690" s="58">
        <v>0</v>
      </c>
      <c r="K690" s="1">
        <f t="shared" si="71"/>
        <v>9829.48</v>
      </c>
      <c r="L690" s="1" t="str">
        <f t="shared" si="72"/>
        <v/>
      </c>
      <c r="M690" s="1">
        <f>VLOOKUP(B690,'[1]Срок Годности'!$A$2:$B$4,2,0)</f>
        <v>500</v>
      </c>
      <c r="N690" s="60">
        <f t="shared" si="73"/>
        <v>20</v>
      </c>
      <c r="O690" s="1" t="str">
        <f t="shared" si="74"/>
        <v>26 2012</v>
      </c>
      <c r="P690" s="1">
        <f t="shared" si="75"/>
        <v>23</v>
      </c>
      <c r="Q690" s="1">
        <f t="shared" ca="1" si="76"/>
        <v>4047</v>
      </c>
      <c r="S690" s="1">
        <f t="shared" si="70"/>
        <v>140</v>
      </c>
    </row>
    <row r="691" spans="1:19" x14ac:dyDescent="0.2">
      <c r="A691" s="57" t="s">
        <v>230</v>
      </c>
      <c r="B691" s="57" t="s">
        <v>225</v>
      </c>
      <c r="C691" s="57" t="s">
        <v>226</v>
      </c>
      <c r="D691" s="58">
        <v>317.08</v>
      </c>
      <c r="E691" s="59">
        <v>41087</v>
      </c>
      <c r="F691" s="58">
        <v>140</v>
      </c>
      <c r="G691" s="58">
        <v>31</v>
      </c>
      <c r="H691" s="58">
        <v>24</v>
      </c>
      <c r="I691" s="58">
        <v>145</v>
      </c>
      <c r="J691" s="58">
        <v>0</v>
      </c>
      <c r="K691" s="1">
        <f t="shared" si="71"/>
        <v>7609.92</v>
      </c>
      <c r="L691" s="1" t="str">
        <f t="shared" si="72"/>
        <v/>
      </c>
      <c r="M691" s="1">
        <f>VLOOKUP(B691,'[1]Срок Годности'!$A$2:$B$4,2,0)</f>
        <v>500</v>
      </c>
      <c r="N691" s="60">
        <f t="shared" si="73"/>
        <v>31</v>
      </c>
      <c r="O691" s="1" t="str">
        <f t="shared" si="74"/>
        <v>26 2012</v>
      </c>
      <c r="P691" s="1">
        <f t="shared" si="75"/>
        <v>23</v>
      </c>
      <c r="Q691" s="1">
        <f t="shared" ca="1" si="76"/>
        <v>4046</v>
      </c>
      <c r="S691" s="1">
        <f t="shared" si="70"/>
        <v>145</v>
      </c>
    </row>
    <row r="692" spans="1:19" x14ac:dyDescent="0.2">
      <c r="A692" s="57" t="s">
        <v>230</v>
      </c>
      <c r="B692" s="57" t="s">
        <v>225</v>
      </c>
      <c r="C692" s="57" t="s">
        <v>226</v>
      </c>
      <c r="D692" s="58">
        <v>317.08</v>
      </c>
      <c r="E692" s="59">
        <v>41088</v>
      </c>
      <c r="F692" s="58">
        <v>145</v>
      </c>
      <c r="G692" s="58">
        <v>17</v>
      </c>
      <c r="H692" s="58">
        <v>20</v>
      </c>
      <c r="I692" s="58">
        <v>142</v>
      </c>
      <c r="J692" s="58">
        <v>0</v>
      </c>
      <c r="K692" s="1">
        <f t="shared" si="71"/>
        <v>6341.5999999999995</v>
      </c>
      <c r="L692" s="1" t="str">
        <f t="shared" si="72"/>
        <v/>
      </c>
      <c r="M692" s="1">
        <f>VLOOKUP(B692,'[1]Срок Годности'!$A$2:$B$4,2,0)</f>
        <v>500</v>
      </c>
      <c r="N692" s="60">
        <f t="shared" si="73"/>
        <v>17</v>
      </c>
      <c r="O692" s="1" t="str">
        <f t="shared" si="74"/>
        <v>26 2012</v>
      </c>
      <c r="P692" s="1">
        <f t="shared" si="75"/>
        <v>23</v>
      </c>
      <c r="Q692" s="1">
        <f t="shared" ca="1" si="76"/>
        <v>4045</v>
      </c>
      <c r="S692" s="1">
        <f t="shared" si="70"/>
        <v>142</v>
      </c>
    </row>
    <row r="693" spans="1:19" x14ac:dyDescent="0.2">
      <c r="A693" s="57" t="s">
        <v>230</v>
      </c>
      <c r="B693" s="57" t="s">
        <v>225</v>
      </c>
      <c r="C693" s="57" t="s">
        <v>226</v>
      </c>
      <c r="D693" s="58">
        <v>317.08</v>
      </c>
      <c r="E693" s="59">
        <v>41089</v>
      </c>
      <c r="F693" s="58">
        <v>142</v>
      </c>
      <c r="G693" s="58">
        <v>58</v>
      </c>
      <c r="H693" s="58">
        <v>18</v>
      </c>
      <c r="I693" s="58">
        <v>182</v>
      </c>
      <c r="J693" s="58">
        <v>0</v>
      </c>
      <c r="K693" s="1">
        <f t="shared" si="71"/>
        <v>5707.44</v>
      </c>
      <c r="L693" s="1" t="str">
        <f t="shared" si="72"/>
        <v/>
      </c>
      <c r="M693" s="1">
        <f>VLOOKUP(B693,'[1]Срок Годности'!$A$2:$B$4,2,0)</f>
        <v>500</v>
      </c>
      <c r="N693" s="60">
        <f t="shared" si="73"/>
        <v>58</v>
      </c>
      <c r="O693" s="1" t="str">
        <f t="shared" si="74"/>
        <v>26 2012</v>
      </c>
      <c r="P693" s="1">
        <f t="shared" si="75"/>
        <v>23</v>
      </c>
      <c r="Q693" s="1">
        <f t="shared" ca="1" si="76"/>
        <v>4044</v>
      </c>
      <c r="S693" s="1">
        <f t="shared" si="70"/>
        <v>182</v>
      </c>
    </row>
    <row r="694" spans="1:19" x14ac:dyDescent="0.2">
      <c r="A694" s="57" t="s">
        <v>230</v>
      </c>
      <c r="B694" s="57" t="s">
        <v>225</v>
      </c>
      <c r="C694" s="57" t="s">
        <v>226</v>
      </c>
      <c r="D694" s="58">
        <v>317.08</v>
      </c>
      <c r="E694" s="59">
        <v>41090</v>
      </c>
      <c r="F694" s="58">
        <v>182</v>
      </c>
      <c r="G694" s="58">
        <v>22</v>
      </c>
      <c r="H694" s="58">
        <v>33</v>
      </c>
      <c r="I694" s="58">
        <v>166</v>
      </c>
      <c r="J694" s="58">
        <v>0</v>
      </c>
      <c r="K694" s="1">
        <f t="shared" si="71"/>
        <v>10463.64</v>
      </c>
      <c r="L694" s="1" t="str">
        <f t="shared" si="72"/>
        <v/>
      </c>
      <c r="M694" s="1">
        <f>VLOOKUP(B694,'[1]Срок Годности'!$A$2:$B$4,2,0)</f>
        <v>500</v>
      </c>
      <c r="N694" s="60">
        <f t="shared" si="73"/>
        <v>22</v>
      </c>
      <c r="O694" s="1" t="str">
        <f t="shared" si="74"/>
        <v>26 2012</v>
      </c>
      <c r="P694" s="1">
        <f t="shared" si="75"/>
        <v>23</v>
      </c>
      <c r="Q694" s="1">
        <f t="shared" ca="1" si="76"/>
        <v>4043</v>
      </c>
      <c r="S694" s="1">
        <f t="shared" si="70"/>
        <v>166</v>
      </c>
    </row>
    <row r="695" spans="1:19" x14ac:dyDescent="0.2">
      <c r="A695" s="57" t="s">
        <v>230</v>
      </c>
      <c r="B695" s="57" t="s">
        <v>225</v>
      </c>
      <c r="C695" s="57" t="s">
        <v>226</v>
      </c>
      <c r="D695" s="58">
        <v>317.08</v>
      </c>
      <c r="E695" s="59">
        <v>41091</v>
      </c>
      <c r="F695" s="58">
        <v>166</v>
      </c>
      <c r="G695" s="58">
        <v>27</v>
      </c>
      <c r="H695" s="58">
        <v>17</v>
      </c>
      <c r="I695" s="58">
        <v>176</v>
      </c>
      <c r="J695" s="58">
        <v>0</v>
      </c>
      <c r="K695" s="1">
        <f t="shared" si="71"/>
        <v>5390.36</v>
      </c>
      <c r="L695" s="1" t="str">
        <f t="shared" si="72"/>
        <v/>
      </c>
      <c r="M695" s="1">
        <f>VLOOKUP(B695,'[1]Срок Годности'!$A$2:$B$4,2,0)</f>
        <v>500</v>
      </c>
      <c r="N695" s="60">
        <f t="shared" si="73"/>
        <v>0</v>
      </c>
      <c r="O695" s="1" t="str">
        <f t="shared" si="74"/>
        <v>27 2012</v>
      </c>
      <c r="P695" s="1">
        <f t="shared" si="75"/>
        <v>23</v>
      </c>
      <c r="Q695" s="1">
        <f t="shared" ca="1" si="76"/>
        <v>4042</v>
      </c>
      <c r="S695" s="1">
        <f t="shared" si="70"/>
        <v>176</v>
      </c>
    </row>
    <row r="696" spans="1:19" x14ac:dyDescent="0.2">
      <c r="A696" s="57" t="s">
        <v>230</v>
      </c>
      <c r="B696" s="57" t="s">
        <v>225</v>
      </c>
      <c r="C696" s="57" t="s">
        <v>226</v>
      </c>
      <c r="D696" s="58">
        <v>317.08</v>
      </c>
      <c r="E696" s="59">
        <v>41092</v>
      </c>
      <c r="F696" s="58">
        <v>176</v>
      </c>
      <c r="G696" s="58">
        <v>11</v>
      </c>
      <c r="H696" s="58">
        <v>29</v>
      </c>
      <c r="I696" s="58">
        <v>157</v>
      </c>
      <c r="J696" s="58">
        <v>0</v>
      </c>
      <c r="K696" s="1">
        <f t="shared" si="71"/>
        <v>9195.32</v>
      </c>
      <c r="L696" s="1" t="str">
        <f t="shared" si="72"/>
        <v/>
      </c>
      <c r="M696" s="1">
        <f>VLOOKUP(B696,'[1]Срок Годности'!$A$2:$B$4,2,0)</f>
        <v>500</v>
      </c>
      <c r="N696" s="60">
        <f t="shared" si="73"/>
        <v>11</v>
      </c>
      <c r="O696" s="1" t="str">
        <f t="shared" si="74"/>
        <v>27 2012</v>
      </c>
      <c r="P696" s="1">
        <f t="shared" si="75"/>
        <v>23</v>
      </c>
      <c r="Q696" s="1">
        <f t="shared" ca="1" si="76"/>
        <v>4041</v>
      </c>
      <c r="S696" s="1">
        <f t="shared" si="70"/>
        <v>157</v>
      </c>
    </row>
    <row r="697" spans="1:19" x14ac:dyDescent="0.2">
      <c r="A697" s="57" t="s">
        <v>230</v>
      </c>
      <c r="B697" s="57" t="s">
        <v>225</v>
      </c>
      <c r="C697" s="57" t="s">
        <v>226</v>
      </c>
      <c r="D697" s="58">
        <v>317.08</v>
      </c>
      <c r="E697" s="59">
        <v>41093</v>
      </c>
      <c r="F697" s="58">
        <v>157</v>
      </c>
      <c r="G697" s="58">
        <v>31</v>
      </c>
      <c r="H697" s="58">
        <v>58</v>
      </c>
      <c r="I697" s="58">
        <v>128</v>
      </c>
      <c r="J697" s="58">
        <v>0</v>
      </c>
      <c r="K697" s="1">
        <f t="shared" si="71"/>
        <v>18390.64</v>
      </c>
      <c r="L697" s="1" t="str">
        <f t="shared" si="72"/>
        <v/>
      </c>
      <c r="M697" s="1">
        <f>VLOOKUP(B697,'[1]Срок Годности'!$A$2:$B$4,2,0)</f>
        <v>500</v>
      </c>
      <c r="N697" s="60">
        <f t="shared" si="73"/>
        <v>31</v>
      </c>
      <c r="O697" s="1" t="str">
        <f t="shared" si="74"/>
        <v>27 2012</v>
      </c>
      <c r="P697" s="1">
        <f t="shared" si="75"/>
        <v>23</v>
      </c>
      <c r="Q697" s="1">
        <f t="shared" ca="1" si="76"/>
        <v>4040</v>
      </c>
      <c r="S697" s="1">
        <f t="shared" si="70"/>
        <v>128</v>
      </c>
    </row>
    <row r="698" spans="1:19" x14ac:dyDescent="0.2">
      <c r="A698" s="57" t="s">
        <v>230</v>
      </c>
      <c r="B698" s="57" t="s">
        <v>225</v>
      </c>
      <c r="C698" s="57" t="s">
        <v>226</v>
      </c>
      <c r="D698" s="58">
        <v>317.08</v>
      </c>
      <c r="E698" s="59">
        <v>41094</v>
      </c>
      <c r="F698" s="58">
        <v>128</v>
      </c>
      <c r="G698" s="58">
        <v>111</v>
      </c>
      <c r="H698" s="58">
        <v>32</v>
      </c>
      <c r="I698" s="58">
        <v>207</v>
      </c>
      <c r="J698" s="58">
        <v>0</v>
      </c>
      <c r="K698" s="1">
        <f t="shared" si="71"/>
        <v>10146.56</v>
      </c>
      <c r="L698" s="1" t="str">
        <f t="shared" si="72"/>
        <v/>
      </c>
      <c r="M698" s="1">
        <f>VLOOKUP(B698,'[1]Срок Годности'!$A$2:$B$4,2,0)</f>
        <v>500</v>
      </c>
      <c r="N698" s="60">
        <f t="shared" si="73"/>
        <v>111</v>
      </c>
      <c r="O698" s="1" t="str">
        <f t="shared" si="74"/>
        <v>27 2012</v>
      </c>
      <c r="P698" s="1">
        <f t="shared" si="75"/>
        <v>23</v>
      </c>
      <c r="Q698" s="1">
        <f t="shared" ca="1" si="76"/>
        <v>4039</v>
      </c>
      <c r="S698" s="1">
        <f t="shared" si="70"/>
        <v>207</v>
      </c>
    </row>
    <row r="699" spans="1:19" x14ac:dyDescent="0.2">
      <c r="A699" s="57" t="s">
        <v>230</v>
      </c>
      <c r="B699" s="57" t="s">
        <v>225</v>
      </c>
      <c r="C699" s="57" t="s">
        <v>226</v>
      </c>
      <c r="D699" s="58">
        <v>317.08</v>
      </c>
      <c r="E699" s="59">
        <v>41095</v>
      </c>
      <c r="F699" s="58">
        <v>207</v>
      </c>
      <c r="G699" s="58">
        <v>37</v>
      </c>
      <c r="H699" s="58">
        <v>38</v>
      </c>
      <c r="I699" s="58">
        <v>206</v>
      </c>
      <c r="J699" s="58">
        <v>0</v>
      </c>
      <c r="K699" s="1">
        <f t="shared" si="71"/>
        <v>12049.039999999999</v>
      </c>
      <c r="L699" s="1" t="str">
        <f t="shared" si="72"/>
        <v/>
      </c>
      <c r="M699" s="1">
        <f>VLOOKUP(B699,'[1]Срок Годности'!$A$2:$B$4,2,0)</f>
        <v>500</v>
      </c>
      <c r="N699" s="60">
        <f t="shared" si="73"/>
        <v>37</v>
      </c>
      <c r="O699" s="1" t="str">
        <f t="shared" si="74"/>
        <v>27 2012</v>
      </c>
      <c r="P699" s="1">
        <f t="shared" si="75"/>
        <v>23</v>
      </c>
      <c r="Q699" s="1">
        <f t="shared" ca="1" si="76"/>
        <v>4038</v>
      </c>
      <c r="S699" s="1">
        <f t="shared" si="70"/>
        <v>206</v>
      </c>
    </row>
    <row r="700" spans="1:19" x14ac:dyDescent="0.2">
      <c r="A700" s="57" t="s">
        <v>230</v>
      </c>
      <c r="B700" s="57" t="s">
        <v>225</v>
      </c>
      <c r="C700" s="57" t="s">
        <v>226</v>
      </c>
      <c r="D700" s="58">
        <v>317.08</v>
      </c>
      <c r="E700" s="59">
        <v>41096</v>
      </c>
      <c r="F700" s="58">
        <v>206</v>
      </c>
      <c r="G700" s="58">
        <v>54</v>
      </c>
      <c r="H700" s="58">
        <v>25</v>
      </c>
      <c r="I700" s="58">
        <v>235</v>
      </c>
      <c r="J700" s="58">
        <v>0</v>
      </c>
      <c r="K700" s="1">
        <f t="shared" si="71"/>
        <v>7927</v>
      </c>
      <c r="L700" s="1" t="str">
        <f t="shared" si="72"/>
        <v/>
      </c>
      <c r="M700" s="1">
        <f>VLOOKUP(B700,'[1]Срок Годности'!$A$2:$B$4,2,0)</f>
        <v>500</v>
      </c>
      <c r="N700" s="60">
        <f t="shared" si="73"/>
        <v>54</v>
      </c>
      <c r="O700" s="1" t="str">
        <f t="shared" si="74"/>
        <v>27 2012</v>
      </c>
      <c r="P700" s="1">
        <f t="shared" si="75"/>
        <v>23</v>
      </c>
      <c r="Q700" s="1">
        <f t="shared" ca="1" si="76"/>
        <v>4037</v>
      </c>
      <c r="S700" s="1">
        <f t="shared" si="70"/>
        <v>235</v>
      </c>
    </row>
    <row r="701" spans="1:19" x14ac:dyDescent="0.2">
      <c r="A701" s="57" t="s">
        <v>230</v>
      </c>
      <c r="B701" s="57" t="s">
        <v>225</v>
      </c>
      <c r="C701" s="57" t="s">
        <v>226</v>
      </c>
      <c r="D701" s="58">
        <v>317.08</v>
      </c>
      <c r="E701" s="59">
        <v>41097</v>
      </c>
      <c r="F701" s="58">
        <v>235</v>
      </c>
      <c r="G701" s="58">
        <v>49</v>
      </c>
      <c r="H701" s="58">
        <v>15</v>
      </c>
      <c r="I701" s="58">
        <v>269</v>
      </c>
      <c r="J701" s="58">
        <v>0</v>
      </c>
      <c r="K701" s="1">
        <f t="shared" si="71"/>
        <v>4756.2</v>
      </c>
      <c r="L701" s="1" t="str">
        <f t="shared" si="72"/>
        <v/>
      </c>
      <c r="M701" s="1">
        <f>VLOOKUP(B701,'[1]Срок Годности'!$A$2:$B$4,2,0)</f>
        <v>500</v>
      </c>
      <c r="N701" s="60">
        <f t="shared" si="73"/>
        <v>49</v>
      </c>
      <c r="O701" s="1" t="str">
        <f t="shared" si="74"/>
        <v>27 2012</v>
      </c>
      <c r="P701" s="1">
        <f t="shared" si="75"/>
        <v>23</v>
      </c>
      <c r="Q701" s="1">
        <f t="shared" ca="1" si="76"/>
        <v>4036</v>
      </c>
      <c r="S701" s="1">
        <f t="shared" si="70"/>
        <v>269</v>
      </c>
    </row>
    <row r="702" spans="1:19" x14ac:dyDescent="0.2">
      <c r="A702" s="57" t="s">
        <v>230</v>
      </c>
      <c r="B702" s="57" t="s">
        <v>225</v>
      </c>
      <c r="C702" s="57" t="s">
        <v>226</v>
      </c>
      <c r="D702" s="58">
        <v>317.08</v>
      </c>
      <c r="E702" s="59">
        <v>41098</v>
      </c>
      <c r="F702" s="58">
        <v>269</v>
      </c>
      <c r="G702" s="58">
        <v>11</v>
      </c>
      <c r="H702" s="58">
        <v>33</v>
      </c>
      <c r="I702" s="58">
        <v>244</v>
      </c>
      <c r="J702" s="58">
        <v>0</v>
      </c>
      <c r="K702" s="1">
        <f t="shared" si="71"/>
        <v>10463.64</v>
      </c>
      <c r="L702" s="1" t="str">
        <f t="shared" si="72"/>
        <v/>
      </c>
      <c r="M702" s="1">
        <f>VLOOKUP(B702,'[1]Срок Годности'!$A$2:$B$4,2,0)</f>
        <v>500</v>
      </c>
      <c r="N702" s="60">
        <f t="shared" si="73"/>
        <v>0</v>
      </c>
      <c r="O702" s="1" t="str">
        <f t="shared" si="74"/>
        <v>28 2012</v>
      </c>
      <c r="P702" s="1">
        <f t="shared" si="75"/>
        <v>23</v>
      </c>
      <c r="Q702" s="1">
        <f t="shared" ca="1" si="76"/>
        <v>4035</v>
      </c>
      <c r="S702" s="1">
        <f t="shared" si="70"/>
        <v>244</v>
      </c>
    </row>
    <row r="703" spans="1:19" x14ac:dyDescent="0.2">
      <c r="A703" s="57" t="s">
        <v>230</v>
      </c>
      <c r="B703" s="57" t="s">
        <v>225</v>
      </c>
      <c r="C703" s="57" t="s">
        <v>226</v>
      </c>
      <c r="D703" s="58">
        <v>317.08</v>
      </c>
      <c r="E703" s="59">
        <v>41099</v>
      </c>
      <c r="F703" s="58">
        <v>244</v>
      </c>
      <c r="G703" s="58">
        <v>0</v>
      </c>
      <c r="H703" s="58">
        <v>33</v>
      </c>
      <c r="I703" s="58">
        <v>211</v>
      </c>
      <c r="J703" s="58">
        <v>0</v>
      </c>
      <c r="K703" s="1">
        <f t="shared" si="71"/>
        <v>10463.64</v>
      </c>
      <c r="L703" s="1" t="str">
        <f t="shared" si="72"/>
        <v/>
      </c>
      <c r="M703" s="1">
        <f>VLOOKUP(B703,'[1]Срок Годности'!$A$2:$B$4,2,0)</f>
        <v>500</v>
      </c>
      <c r="N703" s="60">
        <f t="shared" si="73"/>
        <v>0</v>
      </c>
      <c r="O703" s="1" t="str">
        <f t="shared" si="74"/>
        <v>28 2012</v>
      </c>
      <c r="P703" s="1">
        <f t="shared" si="75"/>
        <v>23</v>
      </c>
      <c r="Q703" s="1">
        <f t="shared" ca="1" si="76"/>
        <v>4034</v>
      </c>
      <c r="S703" s="1">
        <f t="shared" si="70"/>
        <v>211</v>
      </c>
    </row>
    <row r="704" spans="1:19" x14ac:dyDescent="0.2">
      <c r="A704" s="57" t="s">
        <v>230</v>
      </c>
      <c r="B704" s="57" t="s">
        <v>225</v>
      </c>
      <c r="C704" s="57" t="s">
        <v>226</v>
      </c>
      <c r="D704" s="58">
        <v>317.08</v>
      </c>
      <c r="E704" s="59">
        <v>41100</v>
      </c>
      <c r="F704" s="58">
        <v>211</v>
      </c>
      <c r="G704" s="58">
        <v>52</v>
      </c>
      <c r="H704" s="58">
        <v>19</v>
      </c>
      <c r="I704" s="58">
        <v>240</v>
      </c>
      <c r="J704" s="58">
        <v>0</v>
      </c>
      <c r="K704" s="1">
        <f t="shared" si="71"/>
        <v>6024.5199999999995</v>
      </c>
      <c r="L704" s="1" t="str">
        <f t="shared" si="72"/>
        <v/>
      </c>
      <c r="M704" s="1">
        <f>VLOOKUP(B704,'[1]Срок Годности'!$A$2:$B$4,2,0)</f>
        <v>500</v>
      </c>
      <c r="N704" s="60">
        <f t="shared" si="73"/>
        <v>52</v>
      </c>
      <c r="O704" s="1" t="str">
        <f t="shared" si="74"/>
        <v>28 2012</v>
      </c>
      <c r="P704" s="1">
        <f t="shared" si="75"/>
        <v>23</v>
      </c>
      <c r="Q704" s="1">
        <f t="shared" ca="1" si="76"/>
        <v>4033</v>
      </c>
      <c r="S704" s="1">
        <f t="shared" si="70"/>
        <v>240</v>
      </c>
    </row>
    <row r="705" spans="1:19" x14ac:dyDescent="0.2">
      <c r="A705" s="57" t="s">
        <v>230</v>
      </c>
      <c r="B705" s="57" t="s">
        <v>225</v>
      </c>
      <c r="C705" s="57" t="s">
        <v>226</v>
      </c>
      <c r="D705" s="58">
        <v>317.08</v>
      </c>
      <c r="E705" s="59">
        <v>41101</v>
      </c>
      <c r="F705" s="58">
        <v>240</v>
      </c>
      <c r="G705" s="58">
        <v>43</v>
      </c>
      <c r="H705" s="58">
        <v>28</v>
      </c>
      <c r="I705" s="58">
        <v>254</v>
      </c>
      <c r="J705" s="58">
        <v>0</v>
      </c>
      <c r="K705" s="1">
        <f t="shared" si="71"/>
        <v>8878.24</v>
      </c>
      <c r="L705" s="1" t="str">
        <f t="shared" si="72"/>
        <v/>
      </c>
      <c r="M705" s="1">
        <f>VLOOKUP(B705,'[1]Срок Годности'!$A$2:$B$4,2,0)</f>
        <v>500</v>
      </c>
      <c r="N705" s="60">
        <f t="shared" si="73"/>
        <v>43</v>
      </c>
      <c r="O705" s="1" t="str">
        <f t="shared" si="74"/>
        <v>28 2012</v>
      </c>
      <c r="P705" s="1">
        <f t="shared" si="75"/>
        <v>23</v>
      </c>
      <c r="Q705" s="1">
        <f t="shared" ca="1" si="76"/>
        <v>4032</v>
      </c>
      <c r="S705" s="1">
        <f t="shared" si="70"/>
        <v>254</v>
      </c>
    </row>
    <row r="706" spans="1:19" x14ac:dyDescent="0.2">
      <c r="A706" s="57" t="s">
        <v>230</v>
      </c>
      <c r="B706" s="57" t="s">
        <v>225</v>
      </c>
      <c r="C706" s="57" t="s">
        <v>226</v>
      </c>
      <c r="D706" s="58">
        <v>317.08</v>
      </c>
      <c r="E706" s="59">
        <v>41102</v>
      </c>
      <c r="F706" s="58">
        <v>254</v>
      </c>
      <c r="G706" s="58">
        <v>-20</v>
      </c>
      <c r="H706" s="58">
        <v>35</v>
      </c>
      <c r="I706" s="58">
        <v>199</v>
      </c>
      <c r="J706" s="58">
        <v>0</v>
      </c>
      <c r="K706" s="1">
        <f t="shared" si="71"/>
        <v>11097.8</v>
      </c>
      <c r="L706" s="1" t="str">
        <f t="shared" si="72"/>
        <v/>
      </c>
      <c r="M706" s="1">
        <f>VLOOKUP(B706,'[1]Срок Годности'!$A$2:$B$4,2,0)</f>
        <v>500</v>
      </c>
      <c r="N706" s="60">
        <f t="shared" si="73"/>
        <v>-20</v>
      </c>
      <c r="O706" s="1" t="str">
        <f t="shared" si="74"/>
        <v>28 2012</v>
      </c>
      <c r="P706" s="1">
        <f t="shared" si="75"/>
        <v>23</v>
      </c>
      <c r="Q706" s="1">
        <f t="shared" ca="1" si="76"/>
        <v>4031</v>
      </c>
      <c r="S706" s="1">
        <f t="shared" si="70"/>
        <v>199</v>
      </c>
    </row>
    <row r="707" spans="1:19" x14ac:dyDescent="0.2">
      <c r="A707" s="57" t="s">
        <v>230</v>
      </c>
      <c r="B707" s="57" t="s">
        <v>225</v>
      </c>
      <c r="C707" s="57" t="s">
        <v>226</v>
      </c>
      <c r="D707" s="58">
        <v>317.08</v>
      </c>
      <c r="E707" s="59">
        <v>41103</v>
      </c>
      <c r="F707" s="58">
        <v>199</v>
      </c>
      <c r="G707" s="58">
        <v>46</v>
      </c>
      <c r="H707" s="58">
        <v>12</v>
      </c>
      <c r="I707" s="58">
        <v>233</v>
      </c>
      <c r="J707" s="58">
        <v>0</v>
      </c>
      <c r="K707" s="1">
        <f t="shared" si="71"/>
        <v>3804.96</v>
      </c>
      <c r="L707" s="1" t="str">
        <f t="shared" si="72"/>
        <v/>
      </c>
      <c r="M707" s="1">
        <f>VLOOKUP(B707,'[1]Срок Годности'!$A$2:$B$4,2,0)</f>
        <v>500</v>
      </c>
      <c r="N707" s="60">
        <f t="shared" si="73"/>
        <v>46</v>
      </c>
      <c r="O707" s="1" t="str">
        <f t="shared" si="74"/>
        <v>28 2012</v>
      </c>
      <c r="P707" s="1">
        <f t="shared" si="75"/>
        <v>23</v>
      </c>
      <c r="Q707" s="1">
        <f t="shared" ca="1" si="76"/>
        <v>4030</v>
      </c>
      <c r="S707" s="1">
        <f t="shared" si="70"/>
        <v>233</v>
      </c>
    </row>
    <row r="708" spans="1:19" x14ac:dyDescent="0.2">
      <c r="A708" s="57" t="s">
        <v>230</v>
      </c>
      <c r="B708" s="57" t="s">
        <v>225</v>
      </c>
      <c r="C708" s="57" t="s">
        <v>226</v>
      </c>
      <c r="D708" s="58">
        <v>317.08</v>
      </c>
      <c r="E708" s="59">
        <v>41104</v>
      </c>
      <c r="F708" s="58">
        <v>233</v>
      </c>
      <c r="G708" s="58">
        <v>0</v>
      </c>
      <c r="H708" s="58">
        <v>25</v>
      </c>
      <c r="I708" s="58">
        <v>204</v>
      </c>
      <c r="J708" s="58">
        <v>0</v>
      </c>
      <c r="K708" s="1">
        <f t="shared" si="71"/>
        <v>7927</v>
      </c>
      <c r="L708" s="1" t="str">
        <f t="shared" si="72"/>
        <v/>
      </c>
      <c r="M708" s="1">
        <f>VLOOKUP(B708,'[1]Срок Годности'!$A$2:$B$4,2,0)</f>
        <v>500</v>
      </c>
      <c r="N708" s="60">
        <f t="shared" si="73"/>
        <v>0</v>
      </c>
      <c r="O708" s="1" t="str">
        <f t="shared" si="74"/>
        <v>28 2012</v>
      </c>
      <c r="P708" s="1">
        <f t="shared" si="75"/>
        <v>23</v>
      </c>
      <c r="Q708" s="1">
        <f t="shared" ca="1" si="76"/>
        <v>4029</v>
      </c>
      <c r="S708" s="1">
        <f t="shared" si="70"/>
        <v>204</v>
      </c>
    </row>
    <row r="709" spans="1:19" x14ac:dyDescent="0.2">
      <c r="A709" s="57" t="s">
        <v>230</v>
      </c>
      <c r="B709" s="57" t="s">
        <v>225</v>
      </c>
      <c r="C709" s="57" t="s">
        <v>226</v>
      </c>
      <c r="D709" s="58">
        <v>317.08</v>
      </c>
      <c r="E709" s="59">
        <v>41105</v>
      </c>
      <c r="F709" s="58">
        <v>204</v>
      </c>
      <c r="G709" s="58">
        <v>6</v>
      </c>
      <c r="H709" s="58">
        <v>26</v>
      </c>
      <c r="I709" s="58">
        <v>184</v>
      </c>
      <c r="J709" s="58">
        <v>0</v>
      </c>
      <c r="K709" s="1">
        <f t="shared" si="71"/>
        <v>8244.08</v>
      </c>
      <c r="L709" s="1" t="str">
        <f t="shared" si="72"/>
        <v/>
      </c>
      <c r="M709" s="1">
        <f>VLOOKUP(B709,'[1]Срок Годности'!$A$2:$B$4,2,0)</f>
        <v>500</v>
      </c>
      <c r="N709" s="60">
        <f t="shared" si="73"/>
        <v>0</v>
      </c>
      <c r="O709" s="1" t="str">
        <f t="shared" si="74"/>
        <v>29 2012</v>
      </c>
      <c r="P709" s="1">
        <f t="shared" si="75"/>
        <v>23</v>
      </c>
      <c r="Q709" s="1">
        <f t="shared" ca="1" si="76"/>
        <v>4028</v>
      </c>
      <c r="S709" s="1">
        <f t="shared" si="70"/>
        <v>184</v>
      </c>
    </row>
    <row r="710" spans="1:19" x14ac:dyDescent="0.2">
      <c r="A710" s="57" t="s">
        <v>230</v>
      </c>
      <c r="B710" s="57" t="s">
        <v>225</v>
      </c>
      <c r="C710" s="57" t="s">
        <v>226</v>
      </c>
      <c r="D710" s="58">
        <v>317.08</v>
      </c>
      <c r="E710" s="59">
        <v>41106</v>
      </c>
      <c r="F710" s="58">
        <v>184</v>
      </c>
      <c r="G710" s="58">
        <v>24</v>
      </c>
      <c r="H710" s="58">
        <v>24</v>
      </c>
      <c r="I710" s="58">
        <v>183</v>
      </c>
      <c r="J710" s="58">
        <v>0</v>
      </c>
      <c r="K710" s="1">
        <f t="shared" si="71"/>
        <v>7609.92</v>
      </c>
      <c r="L710" s="1" t="str">
        <f t="shared" si="72"/>
        <v/>
      </c>
      <c r="M710" s="1">
        <f>VLOOKUP(B710,'[1]Срок Годности'!$A$2:$B$4,2,0)</f>
        <v>500</v>
      </c>
      <c r="N710" s="60">
        <f t="shared" si="73"/>
        <v>24</v>
      </c>
      <c r="O710" s="1" t="str">
        <f t="shared" si="74"/>
        <v>29 2012</v>
      </c>
      <c r="P710" s="1">
        <f t="shared" si="75"/>
        <v>23</v>
      </c>
      <c r="Q710" s="1">
        <f t="shared" ca="1" si="76"/>
        <v>4027</v>
      </c>
      <c r="S710" s="1">
        <f t="shared" si="70"/>
        <v>183</v>
      </c>
    </row>
    <row r="711" spans="1:19" x14ac:dyDescent="0.2">
      <c r="A711" s="57" t="s">
        <v>230</v>
      </c>
      <c r="B711" s="57" t="s">
        <v>225</v>
      </c>
      <c r="C711" s="57" t="s">
        <v>226</v>
      </c>
      <c r="D711" s="58">
        <v>317.08</v>
      </c>
      <c r="E711" s="59">
        <v>41107</v>
      </c>
      <c r="F711" s="58">
        <v>183</v>
      </c>
      <c r="G711" s="58">
        <v>14</v>
      </c>
      <c r="H711" s="58">
        <v>12</v>
      </c>
      <c r="I711" s="58">
        <v>206</v>
      </c>
      <c r="J711" s="58">
        <v>0</v>
      </c>
      <c r="K711" s="1">
        <f t="shared" si="71"/>
        <v>3804.96</v>
      </c>
      <c r="L711" s="1" t="str">
        <f t="shared" si="72"/>
        <v/>
      </c>
      <c r="M711" s="1">
        <f>VLOOKUP(B711,'[1]Срок Годности'!$A$2:$B$4,2,0)</f>
        <v>500</v>
      </c>
      <c r="N711" s="60">
        <f t="shared" si="73"/>
        <v>14</v>
      </c>
      <c r="O711" s="1" t="str">
        <f t="shared" si="74"/>
        <v>29 2012</v>
      </c>
      <c r="P711" s="1">
        <f t="shared" si="75"/>
        <v>23</v>
      </c>
      <c r="Q711" s="1">
        <f t="shared" ca="1" si="76"/>
        <v>4026</v>
      </c>
      <c r="S711" s="1">
        <f t="shared" ref="S711:S774" si="77">I711-J711</f>
        <v>206</v>
      </c>
    </row>
    <row r="712" spans="1:19" x14ac:dyDescent="0.2">
      <c r="A712" s="57" t="s">
        <v>230</v>
      </c>
      <c r="B712" s="57" t="s">
        <v>244</v>
      </c>
      <c r="C712" s="57" t="s">
        <v>245</v>
      </c>
      <c r="D712" s="58">
        <v>33.659999999999997</v>
      </c>
      <c r="E712" s="59">
        <v>41061</v>
      </c>
      <c r="F712" s="58">
        <v>78311</v>
      </c>
      <c r="G712" s="58">
        <v>12673</v>
      </c>
      <c r="H712" s="58">
        <v>14679</v>
      </c>
      <c r="I712" s="58">
        <v>76222</v>
      </c>
      <c r="J712" s="58">
        <v>1</v>
      </c>
      <c r="K712" s="1">
        <f t="shared" ref="K712:K775" si="78">H712*D712</f>
        <v>494095.13999999996</v>
      </c>
      <c r="L712" s="1">
        <f t="shared" ref="L712:L775" si="79">IF(H712&gt;1000,H712,"")</f>
        <v>14679</v>
      </c>
      <c r="M712" s="1">
        <f>VLOOKUP(B712,'[1]Срок Годности'!$A$2:$B$4,2,0)</f>
        <v>1500</v>
      </c>
      <c r="N712" s="60">
        <f t="shared" ref="N712:N775" si="80">IF(WEEKDAY(E712) = 1, 0, G712)</f>
        <v>12673</v>
      </c>
      <c r="O712" s="1" t="str">
        <f t="shared" ref="O712:O775" si="81">WEEKNUM(E712) &amp; " " &amp; YEAR(E712)</f>
        <v>22 2012</v>
      </c>
      <c r="P712" s="1">
        <f t="shared" ref="P712:P775" si="82">LEN(C712)</f>
        <v>21</v>
      </c>
      <c r="Q712" s="1">
        <f t="shared" ref="Q712:Q775" ca="1" si="83">DATEDIF(E712,NOW(),"D")</f>
        <v>4072</v>
      </c>
      <c r="S712" s="1">
        <f t="shared" si="77"/>
        <v>76221</v>
      </c>
    </row>
    <row r="713" spans="1:19" x14ac:dyDescent="0.2">
      <c r="A713" s="57" t="s">
        <v>230</v>
      </c>
      <c r="B713" s="57" t="s">
        <v>244</v>
      </c>
      <c r="C713" s="57" t="s">
        <v>245</v>
      </c>
      <c r="D713" s="58">
        <v>33.659999999999997</v>
      </c>
      <c r="E713" s="59">
        <v>41062</v>
      </c>
      <c r="F713" s="58">
        <v>76222</v>
      </c>
      <c r="G713" s="58">
        <v>17203</v>
      </c>
      <c r="H713" s="58">
        <v>15458</v>
      </c>
      <c r="I713" s="58">
        <v>77900</v>
      </c>
      <c r="J713" s="58">
        <v>0</v>
      </c>
      <c r="K713" s="1">
        <f t="shared" si="78"/>
        <v>520316.27999999997</v>
      </c>
      <c r="L713" s="1">
        <f t="shared" si="79"/>
        <v>15458</v>
      </c>
      <c r="M713" s="1">
        <f>VLOOKUP(B713,'[1]Срок Годности'!$A$2:$B$4,2,0)</f>
        <v>1500</v>
      </c>
      <c r="N713" s="60">
        <f t="shared" si="80"/>
        <v>17203</v>
      </c>
      <c r="O713" s="1" t="str">
        <f t="shared" si="81"/>
        <v>22 2012</v>
      </c>
      <c r="P713" s="1">
        <f t="shared" si="82"/>
        <v>21</v>
      </c>
      <c r="Q713" s="1">
        <f t="shared" ca="1" si="83"/>
        <v>4071</v>
      </c>
      <c r="S713" s="1">
        <f t="shared" si="77"/>
        <v>77900</v>
      </c>
    </row>
    <row r="714" spans="1:19" x14ac:dyDescent="0.2">
      <c r="A714" s="57" t="s">
        <v>230</v>
      </c>
      <c r="B714" s="57" t="s">
        <v>244</v>
      </c>
      <c r="C714" s="57" t="s">
        <v>245</v>
      </c>
      <c r="D714" s="58">
        <v>33.659999999999997</v>
      </c>
      <c r="E714" s="59">
        <v>41063</v>
      </c>
      <c r="F714" s="58">
        <v>77900</v>
      </c>
      <c r="G714" s="58">
        <v>16074</v>
      </c>
      <c r="H714" s="58">
        <v>15162</v>
      </c>
      <c r="I714" s="58">
        <v>78757</v>
      </c>
      <c r="J714" s="58">
        <v>0</v>
      </c>
      <c r="K714" s="1">
        <f t="shared" si="78"/>
        <v>510352.91999999993</v>
      </c>
      <c r="L714" s="1">
        <f t="shared" si="79"/>
        <v>15162</v>
      </c>
      <c r="M714" s="1">
        <f>VLOOKUP(B714,'[1]Срок Годности'!$A$2:$B$4,2,0)</f>
        <v>1500</v>
      </c>
      <c r="N714" s="60">
        <f t="shared" si="80"/>
        <v>0</v>
      </c>
      <c r="O714" s="1" t="str">
        <f t="shared" si="81"/>
        <v>23 2012</v>
      </c>
      <c r="P714" s="1">
        <f t="shared" si="82"/>
        <v>21</v>
      </c>
      <c r="Q714" s="1">
        <f t="shared" ca="1" si="83"/>
        <v>4070</v>
      </c>
      <c r="S714" s="1">
        <f t="shared" si="77"/>
        <v>78757</v>
      </c>
    </row>
    <row r="715" spans="1:19" x14ac:dyDescent="0.2">
      <c r="A715" s="57" t="s">
        <v>230</v>
      </c>
      <c r="B715" s="57" t="s">
        <v>244</v>
      </c>
      <c r="C715" s="57" t="s">
        <v>245</v>
      </c>
      <c r="D715" s="58">
        <v>33.659999999999997</v>
      </c>
      <c r="E715" s="59">
        <v>41064</v>
      </c>
      <c r="F715" s="58">
        <v>78757</v>
      </c>
      <c r="G715" s="58">
        <v>23777</v>
      </c>
      <c r="H715" s="58">
        <v>15148</v>
      </c>
      <c r="I715" s="58">
        <v>87395</v>
      </c>
      <c r="J715" s="58">
        <v>0</v>
      </c>
      <c r="K715" s="1">
        <f t="shared" si="78"/>
        <v>509881.67999999993</v>
      </c>
      <c r="L715" s="1">
        <f t="shared" si="79"/>
        <v>15148</v>
      </c>
      <c r="M715" s="1">
        <f>VLOOKUP(B715,'[1]Срок Годности'!$A$2:$B$4,2,0)</f>
        <v>1500</v>
      </c>
      <c r="N715" s="60">
        <f t="shared" si="80"/>
        <v>23777</v>
      </c>
      <c r="O715" s="1" t="str">
        <f t="shared" si="81"/>
        <v>23 2012</v>
      </c>
      <c r="P715" s="1">
        <f t="shared" si="82"/>
        <v>21</v>
      </c>
      <c r="Q715" s="1">
        <f t="shared" ca="1" si="83"/>
        <v>4069</v>
      </c>
      <c r="S715" s="1">
        <f t="shared" si="77"/>
        <v>87395</v>
      </c>
    </row>
    <row r="716" spans="1:19" x14ac:dyDescent="0.2">
      <c r="A716" s="57" t="s">
        <v>230</v>
      </c>
      <c r="B716" s="57" t="s">
        <v>244</v>
      </c>
      <c r="C716" s="57" t="s">
        <v>245</v>
      </c>
      <c r="D716" s="58">
        <v>33.659999999999997</v>
      </c>
      <c r="E716" s="59">
        <v>41065</v>
      </c>
      <c r="F716" s="58">
        <v>87395</v>
      </c>
      <c r="G716" s="58">
        <v>6475</v>
      </c>
      <c r="H716" s="58">
        <v>14161</v>
      </c>
      <c r="I716" s="58">
        <v>79685</v>
      </c>
      <c r="J716" s="58">
        <v>0</v>
      </c>
      <c r="K716" s="1">
        <f t="shared" si="78"/>
        <v>476659.25999999995</v>
      </c>
      <c r="L716" s="1">
        <f t="shared" si="79"/>
        <v>14161</v>
      </c>
      <c r="M716" s="1">
        <f>VLOOKUP(B716,'[1]Срок Годности'!$A$2:$B$4,2,0)</f>
        <v>1500</v>
      </c>
      <c r="N716" s="60">
        <f t="shared" si="80"/>
        <v>6475</v>
      </c>
      <c r="O716" s="1" t="str">
        <f t="shared" si="81"/>
        <v>23 2012</v>
      </c>
      <c r="P716" s="1">
        <f t="shared" si="82"/>
        <v>21</v>
      </c>
      <c r="Q716" s="1">
        <f t="shared" ca="1" si="83"/>
        <v>4068</v>
      </c>
      <c r="S716" s="1">
        <f t="shared" si="77"/>
        <v>79685</v>
      </c>
    </row>
    <row r="717" spans="1:19" x14ac:dyDescent="0.2">
      <c r="A717" s="57" t="s">
        <v>230</v>
      </c>
      <c r="B717" s="57" t="s">
        <v>244</v>
      </c>
      <c r="C717" s="57" t="s">
        <v>245</v>
      </c>
      <c r="D717" s="58">
        <v>33.659999999999997</v>
      </c>
      <c r="E717" s="59">
        <v>41066</v>
      </c>
      <c r="F717" s="58">
        <v>79685</v>
      </c>
      <c r="G717" s="58">
        <v>16383</v>
      </c>
      <c r="H717" s="58">
        <v>13433</v>
      </c>
      <c r="I717" s="58">
        <v>82608</v>
      </c>
      <c r="J717" s="58">
        <v>0</v>
      </c>
      <c r="K717" s="1">
        <f t="shared" si="78"/>
        <v>452154.77999999997</v>
      </c>
      <c r="L717" s="1">
        <f t="shared" si="79"/>
        <v>13433</v>
      </c>
      <c r="M717" s="1">
        <f>VLOOKUP(B717,'[1]Срок Годности'!$A$2:$B$4,2,0)</f>
        <v>1500</v>
      </c>
      <c r="N717" s="60">
        <f t="shared" si="80"/>
        <v>16383</v>
      </c>
      <c r="O717" s="1" t="str">
        <f t="shared" si="81"/>
        <v>23 2012</v>
      </c>
      <c r="P717" s="1">
        <f t="shared" si="82"/>
        <v>21</v>
      </c>
      <c r="Q717" s="1">
        <f t="shared" ca="1" si="83"/>
        <v>4067</v>
      </c>
      <c r="S717" s="1">
        <f t="shared" si="77"/>
        <v>82608</v>
      </c>
    </row>
    <row r="718" spans="1:19" x14ac:dyDescent="0.2">
      <c r="A718" s="57" t="s">
        <v>230</v>
      </c>
      <c r="B718" s="57" t="s">
        <v>244</v>
      </c>
      <c r="C718" s="57" t="s">
        <v>245</v>
      </c>
      <c r="D718" s="58">
        <v>33.659999999999997</v>
      </c>
      <c r="E718" s="59">
        <v>41067</v>
      </c>
      <c r="F718" s="58">
        <v>82608</v>
      </c>
      <c r="G718" s="58">
        <v>7450</v>
      </c>
      <c r="H718" s="58">
        <v>12975</v>
      </c>
      <c r="I718" s="58">
        <v>77088</v>
      </c>
      <c r="J718" s="58">
        <v>0</v>
      </c>
      <c r="K718" s="1">
        <f t="shared" si="78"/>
        <v>436738.49999999994</v>
      </c>
      <c r="L718" s="1">
        <f t="shared" si="79"/>
        <v>12975</v>
      </c>
      <c r="M718" s="1">
        <f>VLOOKUP(B718,'[1]Срок Годности'!$A$2:$B$4,2,0)</f>
        <v>1500</v>
      </c>
      <c r="N718" s="60">
        <f t="shared" si="80"/>
        <v>7450</v>
      </c>
      <c r="O718" s="1" t="str">
        <f t="shared" si="81"/>
        <v>23 2012</v>
      </c>
      <c r="P718" s="1">
        <f t="shared" si="82"/>
        <v>21</v>
      </c>
      <c r="Q718" s="1">
        <f t="shared" ca="1" si="83"/>
        <v>4066</v>
      </c>
      <c r="S718" s="1">
        <f t="shared" si="77"/>
        <v>77088</v>
      </c>
    </row>
    <row r="719" spans="1:19" x14ac:dyDescent="0.2">
      <c r="A719" s="57" t="s">
        <v>230</v>
      </c>
      <c r="B719" s="57" t="s">
        <v>244</v>
      </c>
      <c r="C719" s="57" t="s">
        <v>245</v>
      </c>
      <c r="D719" s="58">
        <v>33.659999999999997</v>
      </c>
      <c r="E719" s="59">
        <v>41068</v>
      </c>
      <c r="F719" s="58">
        <v>77088</v>
      </c>
      <c r="G719" s="58">
        <v>23976</v>
      </c>
      <c r="H719" s="58">
        <v>13553</v>
      </c>
      <c r="I719" s="58">
        <v>87309</v>
      </c>
      <c r="J719" s="58">
        <v>3</v>
      </c>
      <c r="K719" s="1">
        <f t="shared" si="78"/>
        <v>456193.98</v>
      </c>
      <c r="L719" s="1">
        <f t="shared" si="79"/>
        <v>13553</v>
      </c>
      <c r="M719" s="1">
        <f>VLOOKUP(B719,'[1]Срок Годности'!$A$2:$B$4,2,0)</f>
        <v>1500</v>
      </c>
      <c r="N719" s="60">
        <f t="shared" si="80"/>
        <v>23976</v>
      </c>
      <c r="O719" s="1" t="str">
        <f t="shared" si="81"/>
        <v>23 2012</v>
      </c>
      <c r="P719" s="1">
        <f t="shared" si="82"/>
        <v>21</v>
      </c>
      <c r="Q719" s="1">
        <f t="shared" ca="1" si="83"/>
        <v>4065</v>
      </c>
      <c r="S719" s="1">
        <f t="shared" si="77"/>
        <v>87306</v>
      </c>
    </row>
    <row r="720" spans="1:19" x14ac:dyDescent="0.2">
      <c r="A720" s="57" t="s">
        <v>230</v>
      </c>
      <c r="B720" s="57" t="s">
        <v>244</v>
      </c>
      <c r="C720" s="57" t="s">
        <v>245</v>
      </c>
      <c r="D720" s="58">
        <v>33.659999999999997</v>
      </c>
      <c r="E720" s="59">
        <v>41069</v>
      </c>
      <c r="F720" s="58">
        <v>87309</v>
      </c>
      <c r="G720" s="58">
        <v>27679</v>
      </c>
      <c r="H720" s="58">
        <v>13985</v>
      </c>
      <c r="I720" s="58">
        <v>100880</v>
      </c>
      <c r="J720" s="58">
        <v>0</v>
      </c>
      <c r="K720" s="1">
        <f t="shared" si="78"/>
        <v>470735.1</v>
      </c>
      <c r="L720" s="1">
        <f t="shared" si="79"/>
        <v>13985</v>
      </c>
      <c r="M720" s="1">
        <f>VLOOKUP(B720,'[1]Срок Годности'!$A$2:$B$4,2,0)</f>
        <v>1500</v>
      </c>
      <c r="N720" s="60">
        <f t="shared" si="80"/>
        <v>27679</v>
      </c>
      <c r="O720" s="1" t="str">
        <f t="shared" si="81"/>
        <v>23 2012</v>
      </c>
      <c r="P720" s="1">
        <f t="shared" si="82"/>
        <v>21</v>
      </c>
      <c r="Q720" s="1">
        <f t="shared" ca="1" si="83"/>
        <v>4064</v>
      </c>
      <c r="S720" s="1">
        <f t="shared" si="77"/>
        <v>100880</v>
      </c>
    </row>
    <row r="721" spans="1:19" x14ac:dyDescent="0.2">
      <c r="A721" s="57" t="s">
        <v>230</v>
      </c>
      <c r="B721" s="57" t="s">
        <v>244</v>
      </c>
      <c r="C721" s="57" t="s">
        <v>245</v>
      </c>
      <c r="D721" s="58">
        <v>33.659999999999997</v>
      </c>
      <c r="E721" s="59">
        <v>41070</v>
      </c>
      <c r="F721" s="58">
        <v>100880</v>
      </c>
      <c r="G721" s="58">
        <v>12900</v>
      </c>
      <c r="H721" s="58">
        <v>13554</v>
      </c>
      <c r="I721" s="58">
        <v>100169</v>
      </c>
      <c r="J721" s="58">
        <v>0</v>
      </c>
      <c r="K721" s="1">
        <f t="shared" si="78"/>
        <v>456227.63999999996</v>
      </c>
      <c r="L721" s="1">
        <f t="shared" si="79"/>
        <v>13554</v>
      </c>
      <c r="M721" s="1">
        <f>VLOOKUP(B721,'[1]Срок Годности'!$A$2:$B$4,2,0)</f>
        <v>1500</v>
      </c>
      <c r="N721" s="60">
        <f t="shared" si="80"/>
        <v>0</v>
      </c>
      <c r="O721" s="1" t="str">
        <f t="shared" si="81"/>
        <v>24 2012</v>
      </c>
      <c r="P721" s="1">
        <f t="shared" si="82"/>
        <v>21</v>
      </c>
      <c r="Q721" s="1">
        <f t="shared" ca="1" si="83"/>
        <v>4063</v>
      </c>
      <c r="S721" s="1">
        <f t="shared" si="77"/>
        <v>100169</v>
      </c>
    </row>
    <row r="722" spans="1:19" x14ac:dyDescent="0.2">
      <c r="A722" s="57" t="s">
        <v>230</v>
      </c>
      <c r="B722" s="57" t="s">
        <v>244</v>
      </c>
      <c r="C722" s="57" t="s">
        <v>245</v>
      </c>
      <c r="D722" s="58">
        <v>33.659999999999997</v>
      </c>
      <c r="E722" s="59">
        <v>41071</v>
      </c>
      <c r="F722" s="58">
        <v>100169</v>
      </c>
      <c r="G722" s="58">
        <v>11678</v>
      </c>
      <c r="H722" s="58">
        <v>13689</v>
      </c>
      <c r="I722" s="58">
        <v>98078</v>
      </c>
      <c r="J722" s="58">
        <v>0</v>
      </c>
      <c r="K722" s="1">
        <f t="shared" si="78"/>
        <v>460771.73999999993</v>
      </c>
      <c r="L722" s="1">
        <f t="shared" si="79"/>
        <v>13689</v>
      </c>
      <c r="M722" s="1">
        <f>VLOOKUP(B722,'[1]Срок Годности'!$A$2:$B$4,2,0)</f>
        <v>1500</v>
      </c>
      <c r="N722" s="60">
        <f t="shared" si="80"/>
        <v>11678</v>
      </c>
      <c r="O722" s="1" t="str">
        <f t="shared" si="81"/>
        <v>24 2012</v>
      </c>
      <c r="P722" s="1">
        <f t="shared" si="82"/>
        <v>21</v>
      </c>
      <c r="Q722" s="1">
        <f t="shared" ca="1" si="83"/>
        <v>4062</v>
      </c>
      <c r="S722" s="1">
        <f t="shared" si="77"/>
        <v>98078</v>
      </c>
    </row>
    <row r="723" spans="1:19" x14ac:dyDescent="0.2">
      <c r="A723" s="57" t="s">
        <v>230</v>
      </c>
      <c r="B723" s="57" t="s">
        <v>244</v>
      </c>
      <c r="C723" s="57" t="s">
        <v>245</v>
      </c>
      <c r="D723" s="58">
        <v>33.659999999999997</v>
      </c>
      <c r="E723" s="59">
        <v>41072</v>
      </c>
      <c r="F723" s="58">
        <v>98078</v>
      </c>
      <c r="G723" s="58">
        <v>12239</v>
      </c>
      <c r="H723" s="58">
        <v>13270</v>
      </c>
      <c r="I723" s="58">
        <v>96645</v>
      </c>
      <c r="J723" s="58">
        <v>3</v>
      </c>
      <c r="K723" s="1">
        <f t="shared" si="78"/>
        <v>446668.19999999995</v>
      </c>
      <c r="L723" s="1">
        <f t="shared" si="79"/>
        <v>13270</v>
      </c>
      <c r="M723" s="1">
        <f>VLOOKUP(B723,'[1]Срок Годности'!$A$2:$B$4,2,0)</f>
        <v>1500</v>
      </c>
      <c r="N723" s="60">
        <f t="shared" si="80"/>
        <v>12239</v>
      </c>
      <c r="O723" s="1" t="str">
        <f t="shared" si="81"/>
        <v>24 2012</v>
      </c>
      <c r="P723" s="1">
        <f t="shared" si="82"/>
        <v>21</v>
      </c>
      <c r="Q723" s="1">
        <f t="shared" ca="1" si="83"/>
        <v>4061</v>
      </c>
      <c r="S723" s="1">
        <f t="shared" si="77"/>
        <v>96642</v>
      </c>
    </row>
    <row r="724" spans="1:19" x14ac:dyDescent="0.2">
      <c r="A724" s="57" t="s">
        <v>230</v>
      </c>
      <c r="B724" s="57" t="s">
        <v>244</v>
      </c>
      <c r="C724" s="57" t="s">
        <v>245</v>
      </c>
      <c r="D724" s="58">
        <v>33.659999999999997</v>
      </c>
      <c r="E724" s="59">
        <v>41073</v>
      </c>
      <c r="F724" s="58">
        <v>96645</v>
      </c>
      <c r="G724" s="58">
        <v>13567</v>
      </c>
      <c r="H724" s="58">
        <v>13615</v>
      </c>
      <c r="I724" s="58">
        <v>96472</v>
      </c>
      <c r="J724" s="58">
        <v>0</v>
      </c>
      <c r="K724" s="1">
        <f t="shared" si="78"/>
        <v>458280.89999999997</v>
      </c>
      <c r="L724" s="1">
        <f t="shared" si="79"/>
        <v>13615</v>
      </c>
      <c r="M724" s="1">
        <f>VLOOKUP(B724,'[1]Срок Годности'!$A$2:$B$4,2,0)</f>
        <v>1500</v>
      </c>
      <c r="N724" s="60">
        <f t="shared" si="80"/>
        <v>13567</v>
      </c>
      <c r="O724" s="1" t="str">
        <f t="shared" si="81"/>
        <v>24 2012</v>
      </c>
      <c r="P724" s="1">
        <f t="shared" si="82"/>
        <v>21</v>
      </c>
      <c r="Q724" s="1">
        <f t="shared" ca="1" si="83"/>
        <v>4060</v>
      </c>
      <c r="S724" s="1">
        <f t="shared" si="77"/>
        <v>96472</v>
      </c>
    </row>
    <row r="725" spans="1:19" x14ac:dyDescent="0.2">
      <c r="A725" s="57" t="s">
        <v>230</v>
      </c>
      <c r="B725" s="57" t="s">
        <v>244</v>
      </c>
      <c r="C725" s="57" t="s">
        <v>245</v>
      </c>
      <c r="D725" s="58">
        <v>33.659999999999997</v>
      </c>
      <c r="E725" s="59">
        <v>41074</v>
      </c>
      <c r="F725" s="58">
        <v>96472</v>
      </c>
      <c r="G725" s="58">
        <v>12788</v>
      </c>
      <c r="H725" s="58">
        <v>13126</v>
      </c>
      <c r="I725" s="58">
        <v>96068</v>
      </c>
      <c r="J725" s="58">
        <v>5</v>
      </c>
      <c r="K725" s="1">
        <f t="shared" si="78"/>
        <v>441821.16</v>
      </c>
      <c r="L725" s="1">
        <f t="shared" si="79"/>
        <v>13126</v>
      </c>
      <c r="M725" s="1">
        <f>VLOOKUP(B725,'[1]Срок Годности'!$A$2:$B$4,2,0)</f>
        <v>1500</v>
      </c>
      <c r="N725" s="60">
        <f t="shared" si="80"/>
        <v>12788</v>
      </c>
      <c r="O725" s="1" t="str">
        <f t="shared" si="81"/>
        <v>24 2012</v>
      </c>
      <c r="P725" s="1">
        <f t="shared" si="82"/>
        <v>21</v>
      </c>
      <c r="Q725" s="1">
        <f t="shared" ca="1" si="83"/>
        <v>4059</v>
      </c>
      <c r="S725" s="1">
        <f t="shared" si="77"/>
        <v>96063</v>
      </c>
    </row>
    <row r="726" spans="1:19" x14ac:dyDescent="0.2">
      <c r="A726" s="57" t="s">
        <v>230</v>
      </c>
      <c r="B726" s="57" t="s">
        <v>244</v>
      </c>
      <c r="C726" s="57" t="s">
        <v>245</v>
      </c>
      <c r="D726" s="58">
        <v>33.659999999999997</v>
      </c>
      <c r="E726" s="59">
        <v>41075</v>
      </c>
      <c r="F726" s="58">
        <v>96068</v>
      </c>
      <c r="G726" s="58">
        <v>13454</v>
      </c>
      <c r="H726" s="58">
        <v>13030</v>
      </c>
      <c r="I726" s="58">
        <v>96483</v>
      </c>
      <c r="J726" s="58">
        <v>0</v>
      </c>
      <c r="K726" s="1">
        <f t="shared" si="78"/>
        <v>438589.79999999993</v>
      </c>
      <c r="L726" s="1">
        <f t="shared" si="79"/>
        <v>13030</v>
      </c>
      <c r="M726" s="1">
        <f>VLOOKUP(B726,'[1]Срок Годности'!$A$2:$B$4,2,0)</f>
        <v>1500</v>
      </c>
      <c r="N726" s="60">
        <f t="shared" si="80"/>
        <v>13454</v>
      </c>
      <c r="O726" s="1" t="str">
        <f t="shared" si="81"/>
        <v>24 2012</v>
      </c>
      <c r="P726" s="1">
        <f t="shared" si="82"/>
        <v>21</v>
      </c>
      <c r="Q726" s="1">
        <f t="shared" ca="1" si="83"/>
        <v>4058</v>
      </c>
      <c r="S726" s="1">
        <f t="shared" si="77"/>
        <v>96483</v>
      </c>
    </row>
    <row r="727" spans="1:19" x14ac:dyDescent="0.2">
      <c r="A727" s="57" t="s">
        <v>230</v>
      </c>
      <c r="B727" s="57" t="s">
        <v>244</v>
      </c>
      <c r="C727" s="57" t="s">
        <v>245</v>
      </c>
      <c r="D727" s="58">
        <v>33.659999999999997</v>
      </c>
      <c r="E727" s="59">
        <v>41076</v>
      </c>
      <c r="F727" s="58">
        <v>96483</v>
      </c>
      <c r="G727" s="58">
        <v>11804</v>
      </c>
      <c r="H727" s="58">
        <v>12697</v>
      </c>
      <c r="I727" s="58">
        <v>95555</v>
      </c>
      <c r="J727" s="58">
        <v>2</v>
      </c>
      <c r="K727" s="1">
        <f t="shared" si="78"/>
        <v>427381.01999999996</v>
      </c>
      <c r="L727" s="1">
        <f t="shared" si="79"/>
        <v>12697</v>
      </c>
      <c r="M727" s="1">
        <f>VLOOKUP(B727,'[1]Срок Годности'!$A$2:$B$4,2,0)</f>
        <v>1500</v>
      </c>
      <c r="N727" s="60">
        <f t="shared" si="80"/>
        <v>11804</v>
      </c>
      <c r="O727" s="1" t="str">
        <f t="shared" si="81"/>
        <v>24 2012</v>
      </c>
      <c r="P727" s="1">
        <f t="shared" si="82"/>
        <v>21</v>
      </c>
      <c r="Q727" s="1">
        <f t="shared" ca="1" si="83"/>
        <v>4057</v>
      </c>
      <c r="S727" s="1">
        <f t="shared" si="77"/>
        <v>95553</v>
      </c>
    </row>
    <row r="728" spans="1:19" x14ac:dyDescent="0.2">
      <c r="A728" s="57" t="s">
        <v>230</v>
      </c>
      <c r="B728" s="57" t="s">
        <v>244</v>
      </c>
      <c r="C728" s="57" t="s">
        <v>245</v>
      </c>
      <c r="D728" s="58">
        <v>33.659999999999997</v>
      </c>
      <c r="E728" s="59">
        <v>41077</v>
      </c>
      <c r="F728" s="58">
        <v>95555</v>
      </c>
      <c r="G728" s="58">
        <v>12058</v>
      </c>
      <c r="H728" s="58">
        <v>13396</v>
      </c>
      <c r="I728" s="58">
        <v>94261</v>
      </c>
      <c r="J728" s="58">
        <v>0</v>
      </c>
      <c r="K728" s="1">
        <f t="shared" si="78"/>
        <v>450909.35999999993</v>
      </c>
      <c r="L728" s="1">
        <f t="shared" si="79"/>
        <v>13396</v>
      </c>
      <c r="M728" s="1">
        <f>VLOOKUP(B728,'[1]Срок Годности'!$A$2:$B$4,2,0)</f>
        <v>1500</v>
      </c>
      <c r="N728" s="60">
        <f t="shared" si="80"/>
        <v>0</v>
      </c>
      <c r="O728" s="1" t="str">
        <f t="shared" si="81"/>
        <v>25 2012</v>
      </c>
      <c r="P728" s="1">
        <f t="shared" si="82"/>
        <v>21</v>
      </c>
      <c r="Q728" s="1">
        <f t="shared" ca="1" si="83"/>
        <v>4056</v>
      </c>
      <c r="S728" s="1">
        <f t="shared" si="77"/>
        <v>94261</v>
      </c>
    </row>
    <row r="729" spans="1:19" x14ac:dyDescent="0.2">
      <c r="A729" s="57" t="s">
        <v>230</v>
      </c>
      <c r="B729" s="57" t="s">
        <v>244</v>
      </c>
      <c r="C729" s="57" t="s">
        <v>245</v>
      </c>
      <c r="D729" s="58">
        <v>33.659999999999997</v>
      </c>
      <c r="E729" s="59">
        <v>41078</v>
      </c>
      <c r="F729" s="58">
        <v>94261</v>
      </c>
      <c r="G729" s="58">
        <v>14016</v>
      </c>
      <c r="H729" s="58">
        <v>14042</v>
      </c>
      <c r="I729" s="58">
        <v>93960</v>
      </c>
      <c r="J729" s="58">
        <v>1</v>
      </c>
      <c r="K729" s="1">
        <f t="shared" si="78"/>
        <v>472653.72</v>
      </c>
      <c r="L729" s="1">
        <f t="shared" si="79"/>
        <v>14042</v>
      </c>
      <c r="M729" s="1">
        <f>VLOOKUP(B729,'[1]Срок Годности'!$A$2:$B$4,2,0)</f>
        <v>1500</v>
      </c>
      <c r="N729" s="60">
        <f t="shared" si="80"/>
        <v>14016</v>
      </c>
      <c r="O729" s="1" t="str">
        <f t="shared" si="81"/>
        <v>25 2012</v>
      </c>
      <c r="P729" s="1">
        <f t="shared" si="82"/>
        <v>21</v>
      </c>
      <c r="Q729" s="1">
        <f t="shared" ca="1" si="83"/>
        <v>4055</v>
      </c>
      <c r="S729" s="1">
        <f t="shared" si="77"/>
        <v>93959</v>
      </c>
    </row>
    <row r="730" spans="1:19" x14ac:dyDescent="0.2">
      <c r="A730" s="57" t="s">
        <v>230</v>
      </c>
      <c r="B730" s="57" t="s">
        <v>244</v>
      </c>
      <c r="C730" s="57" t="s">
        <v>245</v>
      </c>
      <c r="D730" s="58">
        <v>33.659999999999997</v>
      </c>
      <c r="E730" s="59">
        <v>41079</v>
      </c>
      <c r="F730" s="58">
        <v>93960</v>
      </c>
      <c r="G730" s="58">
        <v>9711</v>
      </c>
      <c r="H730" s="58">
        <v>13541</v>
      </c>
      <c r="I730" s="58">
        <v>89931</v>
      </c>
      <c r="J730" s="58">
        <v>1</v>
      </c>
      <c r="K730" s="1">
        <f t="shared" si="78"/>
        <v>455790.05999999994</v>
      </c>
      <c r="L730" s="1">
        <f t="shared" si="79"/>
        <v>13541</v>
      </c>
      <c r="M730" s="1">
        <f>VLOOKUP(B730,'[1]Срок Годности'!$A$2:$B$4,2,0)</f>
        <v>1500</v>
      </c>
      <c r="N730" s="60">
        <f t="shared" si="80"/>
        <v>9711</v>
      </c>
      <c r="O730" s="1" t="str">
        <f t="shared" si="81"/>
        <v>25 2012</v>
      </c>
      <c r="P730" s="1">
        <f t="shared" si="82"/>
        <v>21</v>
      </c>
      <c r="Q730" s="1">
        <f t="shared" ca="1" si="83"/>
        <v>4054</v>
      </c>
      <c r="S730" s="1">
        <f t="shared" si="77"/>
        <v>89930</v>
      </c>
    </row>
    <row r="731" spans="1:19" x14ac:dyDescent="0.2">
      <c r="A731" s="57" t="s">
        <v>230</v>
      </c>
      <c r="B731" s="57" t="s">
        <v>244</v>
      </c>
      <c r="C731" s="57" t="s">
        <v>245</v>
      </c>
      <c r="D731" s="58">
        <v>33.659999999999997</v>
      </c>
      <c r="E731" s="59">
        <v>41080</v>
      </c>
      <c r="F731" s="58">
        <v>89931</v>
      </c>
      <c r="G731" s="58">
        <v>13349</v>
      </c>
      <c r="H731" s="58">
        <v>13627</v>
      </c>
      <c r="I731" s="58">
        <v>89616</v>
      </c>
      <c r="J731" s="58">
        <v>0</v>
      </c>
      <c r="K731" s="1">
        <f t="shared" si="78"/>
        <v>458684.81999999995</v>
      </c>
      <c r="L731" s="1">
        <f t="shared" si="79"/>
        <v>13627</v>
      </c>
      <c r="M731" s="1">
        <f>VLOOKUP(B731,'[1]Срок Годности'!$A$2:$B$4,2,0)</f>
        <v>1500</v>
      </c>
      <c r="N731" s="60">
        <f t="shared" si="80"/>
        <v>13349</v>
      </c>
      <c r="O731" s="1" t="str">
        <f t="shared" si="81"/>
        <v>25 2012</v>
      </c>
      <c r="P731" s="1">
        <f t="shared" si="82"/>
        <v>21</v>
      </c>
      <c r="Q731" s="1">
        <f t="shared" ca="1" si="83"/>
        <v>4053</v>
      </c>
      <c r="S731" s="1">
        <f t="shared" si="77"/>
        <v>89616</v>
      </c>
    </row>
    <row r="732" spans="1:19" x14ac:dyDescent="0.2">
      <c r="A732" s="57" t="s">
        <v>230</v>
      </c>
      <c r="B732" s="57" t="s">
        <v>244</v>
      </c>
      <c r="C732" s="57" t="s">
        <v>245</v>
      </c>
      <c r="D732" s="58">
        <v>33.659999999999997</v>
      </c>
      <c r="E732" s="59">
        <v>41081</v>
      </c>
      <c r="F732" s="58">
        <v>89616</v>
      </c>
      <c r="G732" s="58">
        <v>14333</v>
      </c>
      <c r="H732" s="58">
        <v>14341</v>
      </c>
      <c r="I732" s="58">
        <v>89597</v>
      </c>
      <c r="J732" s="58">
        <v>0</v>
      </c>
      <c r="K732" s="1">
        <f t="shared" si="78"/>
        <v>482718.05999999994</v>
      </c>
      <c r="L732" s="1">
        <f t="shared" si="79"/>
        <v>14341</v>
      </c>
      <c r="M732" s="1">
        <f>VLOOKUP(B732,'[1]Срок Годности'!$A$2:$B$4,2,0)</f>
        <v>1500</v>
      </c>
      <c r="N732" s="60">
        <f t="shared" si="80"/>
        <v>14333</v>
      </c>
      <c r="O732" s="1" t="str">
        <f t="shared" si="81"/>
        <v>25 2012</v>
      </c>
      <c r="P732" s="1">
        <f t="shared" si="82"/>
        <v>21</v>
      </c>
      <c r="Q732" s="1">
        <f t="shared" ca="1" si="83"/>
        <v>4052</v>
      </c>
      <c r="S732" s="1">
        <f t="shared" si="77"/>
        <v>89597</v>
      </c>
    </row>
    <row r="733" spans="1:19" x14ac:dyDescent="0.2">
      <c r="A733" s="57" t="s">
        <v>230</v>
      </c>
      <c r="B733" s="57" t="s">
        <v>244</v>
      </c>
      <c r="C733" s="57" t="s">
        <v>245</v>
      </c>
      <c r="D733" s="58">
        <v>33.659999999999997</v>
      </c>
      <c r="E733" s="59">
        <v>41082</v>
      </c>
      <c r="F733" s="58">
        <v>89597</v>
      </c>
      <c r="G733" s="58">
        <v>11496</v>
      </c>
      <c r="H733" s="58">
        <v>13931</v>
      </c>
      <c r="I733" s="58">
        <v>87010</v>
      </c>
      <c r="J733" s="58">
        <v>2</v>
      </c>
      <c r="K733" s="1">
        <f t="shared" si="78"/>
        <v>468917.45999999996</v>
      </c>
      <c r="L733" s="1">
        <f t="shared" si="79"/>
        <v>13931</v>
      </c>
      <c r="M733" s="1">
        <f>VLOOKUP(B733,'[1]Срок Годности'!$A$2:$B$4,2,0)</f>
        <v>1500</v>
      </c>
      <c r="N733" s="60">
        <f t="shared" si="80"/>
        <v>11496</v>
      </c>
      <c r="O733" s="1" t="str">
        <f t="shared" si="81"/>
        <v>25 2012</v>
      </c>
      <c r="P733" s="1">
        <f t="shared" si="82"/>
        <v>21</v>
      </c>
      <c r="Q733" s="1">
        <f t="shared" ca="1" si="83"/>
        <v>4051</v>
      </c>
      <c r="S733" s="1">
        <f t="shared" si="77"/>
        <v>87008</v>
      </c>
    </row>
    <row r="734" spans="1:19" x14ac:dyDescent="0.2">
      <c r="A734" s="57" t="s">
        <v>230</v>
      </c>
      <c r="B734" s="57" t="s">
        <v>244</v>
      </c>
      <c r="C734" s="57" t="s">
        <v>245</v>
      </c>
      <c r="D734" s="58">
        <v>33.659999999999997</v>
      </c>
      <c r="E734" s="59">
        <v>41083</v>
      </c>
      <c r="F734" s="58">
        <v>87010</v>
      </c>
      <c r="G734" s="58">
        <v>13887</v>
      </c>
      <c r="H734" s="58">
        <v>14019</v>
      </c>
      <c r="I734" s="58">
        <v>86860</v>
      </c>
      <c r="J734" s="58">
        <v>0</v>
      </c>
      <c r="K734" s="1">
        <f t="shared" si="78"/>
        <v>471879.54</v>
      </c>
      <c r="L734" s="1">
        <f t="shared" si="79"/>
        <v>14019</v>
      </c>
      <c r="M734" s="1">
        <f>VLOOKUP(B734,'[1]Срок Годности'!$A$2:$B$4,2,0)</f>
        <v>1500</v>
      </c>
      <c r="N734" s="60">
        <f t="shared" si="80"/>
        <v>13887</v>
      </c>
      <c r="O734" s="1" t="str">
        <f t="shared" si="81"/>
        <v>25 2012</v>
      </c>
      <c r="P734" s="1">
        <f t="shared" si="82"/>
        <v>21</v>
      </c>
      <c r="Q734" s="1">
        <f t="shared" ca="1" si="83"/>
        <v>4050</v>
      </c>
      <c r="S734" s="1">
        <f t="shared" si="77"/>
        <v>86860</v>
      </c>
    </row>
    <row r="735" spans="1:19" x14ac:dyDescent="0.2">
      <c r="A735" s="57" t="s">
        <v>230</v>
      </c>
      <c r="B735" s="57" t="s">
        <v>244</v>
      </c>
      <c r="C735" s="57" t="s">
        <v>245</v>
      </c>
      <c r="D735" s="58">
        <v>33.659999999999997</v>
      </c>
      <c r="E735" s="59">
        <v>41084</v>
      </c>
      <c r="F735" s="58">
        <v>86860</v>
      </c>
      <c r="G735" s="58">
        <v>14668</v>
      </c>
      <c r="H735" s="58">
        <v>13968</v>
      </c>
      <c r="I735" s="58">
        <v>87525</v>
      </c>
      <c r="J735" s="58">
        <v>0</v>
      </c>
      <c r="K735" s="1">
        <f t="shared" si="78"/>
        <v>470162.87999999995</v>
      </c>
      <c r="L735" s="1">
        <f t="shared" si="79"/>
        <v>13968</v>
      </c>
      <c r="M735" s="1">
        <f>VLOOKUP(B735,'[1]Срок Годности'!$A$2:$B$4,2,0)</f>
        <v>1500</v>
      </c>
      <c r="N735" s="60">
        <f t="shared" si="80"/>
        <v>0</v>
      </c>
      <c r="O735" s="1" t="str">
        <f t="shared" si="81"/>
        <v>26 2012</v>
      </c>
      <c r="P735" s="1">
        <f t="shared" si="82"/>
        <v>21</v>
      </c>
      <c r="Q735" s="1">
        <f t="shared" ca="1" si="83"/>
        <v>4049</v>
      </c>
      <c r="S735" s="1">
        <f t="shared" si="77"/>
        <v>87525</v>
      </c>
    </row>
    <row r="736" spans="1:19" x14ac:dyDescent="0.2">
      <c r="A736" s="57" t="s">
        <v>230</v>
      </c>
      <c r="B736" s="57" t="s">
        <v>244</v>
      </c>
      <c r="C736" s="57" t="s">
        <v>245</v>
      </c>
      <c r="D736" s="58">
        <v>33.659999999999997</v>
      </c>
      <c r="E736" s="59">
        <v>41085</v>
      </c>
      <c r="F736" s="58">
        <v>87525</v>
      </c>
      <c r="G736" s="58">
        <v>13378</v>
      </c>
      <c r="H736" s="58">
        <v>15545</v>
      </c>
      <c r="I736" s="58">
        <v>85248</v>
      </c>
      <c r="J736" s="58">
        <v>0</v>
      </c>
      <c r="K736" s="1">
        <f t="shared" si="78"/>
        <v>523244.69999999995</v>
      </c>
      <c r="L736" s="1">
        <f t="shared" si="79"/>
        <v>15545</v>
      </c>
      <c r="M736" s="1">
        <f>VLOOKUP(B736,'[1]Срок Годности'!$A$2:$B$4,2,0)</f>
        <v>1500</v>
      </c>
      <c r="N736" s="60">
        <f t="shared" si="80"/>
        <v>13378</v>
      </c>
      <c r="O736" s="1" t="str">
        <f t="shared" si="81"/>
        <v>26 2012</v>
      </c>
      <c r="P736" s="1">
        <f t="shared" si="82"/>
        <v>21</v>
      </c>
      <c r="Q736" s="1">
        <f t="shared" ca="1" si="83"/>
        <v>4048</v>
      </c>
      <c r="S736" s="1">
        <f t="shared" si="77"/>
        <v>85248</v>
      </c>
    </row>
    <row r="737" spans="1:19" x14ac:dyDescent="0.2">
      <c r="A737" s="57" t="s">
        <v>230</v>
      </c>
      <c r="B737" s="57" t="s">
        <v>244</v>
      </c>
      <c r="C737" s="57" t="s">
        <v>245</v>
      </c>
      <c r="D737" s="58">
        <v>33.659999999999997</v>
      </c>
      <c r="E737" s="59">
        <v>41086</v>
      </c>
      <c r="F737" s="58">
        <v>85248</v>
      </c>
      <c r="G737" s="58">
        <v>14129</v>
      </c>
      <c r="H737" s="58">
        <v>13946</v>
      </c>
      <c r="I737" s="58">
        <v>85106</v>
      </c>
      <c r="J737" s="58">
        <v>0</v>
      </c>
      <c r="K737" s="1">
        <f t="shared" si="78"/>
        <v>469422.35999999993</v>
      </c>
      <c r="L737" s="1">
        <f t="shared" si="79"/>
        <v>13946</v>
      </c>
      <c r="M737" s="1">
        <f>VLOOKUP(B737,'[1]Срок Годности'!$A$2:$B$4,2,0)</f>
        <v>1500</v>
      </c>
      <c r="N737" s="60">
        <f t="shared" si="80"/>
        <v>14129</v>
      </c>
      <c r="O737" s="1" t="str">
        <f t="shared" si="81"/>
        <v>26 2012</v>
      </c>
      <c r="P737" s="1">
        <f t="shared" si="82"/>
        <v>21</v>
      </c>
      <c r="Q737" s="1">
        <f t="shared" ca="1" si="83"/>
        <v>4047</v>
      </c>
      <c r="S737" s="1">
        <f t="shared" si="77"/>
        <v>85106</v>
      </c>
    </row>
    <row r="738" spans="1:19" x14ac:dyDescent="0.2">
      <c r="A738" s="57" t="s">
        <v>230</v>
      </c>
      <c r="B738" s="57" t="s">
        <v>244</v>
      </c>
      <c r="C738" s="57" t="s">
        <v>245</v>
      </c>
      <c r="D738" s="58">
        <v>33.659999999999997</v>
      </c>
      <c r="E738" s="59">
        <v>41087</v>
      </c>
      <c r="F738" s="58">
        <v>85106</v>
      </c>
      <c r="G738" s="58">
        <v>16659</v>
      </c>
      <c r="H738" s="58">
        <v>13313</v>
      </c>
      <c r="I738" s="58">
        <v>88573</v>
      </c>
      <c r="J738" s="58">
        <v>0</v>
      </c>
      <c r="K738" s="1">
        <f t="shared" si="78"/>
        <v>448115.57999999996</v>
      </c>
      <c r="L738" s="1">
        <f t="shared" si="79"/>
        <v>13313</v>
      </c>
      <c r="M738" s="1">
        <f>VLOOKUP(B738,'[1]Срок Годности'!$A$2:$B$4,2,0)</f>
        <v>1500</v>
      </c>
      <c r="N738" s="60">
        <f t="shared" si="80"/>
        <v>16659</v>
      </c>
      <c r="O738" s="1" t="str">
        <f t="shared" si="81"/>
        <v>26 2012</v>
      </c>
      <c r="P738" s="1">
        <f t="shared" si="82"/>
        <v>21</v>
      </c>
      <c r="Q738" s="1">
        <f t="shared" ca="1" si="83"/>
        <v>4046</v>
      </c>
      <c r="S738" s="1">
        <f t="shared" si="77"/>
        <v>88573</v>
      </c>
    </row>
    <row r="739" spans="1:19" x14ac:dyDescent="0.2">
      <c r="A739" s="57" t="s">
        <v>230</v>
      </c>
      <c r="B739" s="57" t="s">
        <v>244</v>
      </c>
      <c r="C739" s="57" t="s">
        <v>245</v>
      </c>
      <c r="D739" s="58">
        <v>33.659999999999997</v>
      </c>
      <c r="E739" s="59">
        <v>41088</v>
      </c>
      <c r="F739" s="58">
        <v>88573</v>
      </c>
      <c r="G739" s="58">
        <v>13946</v>
      </c>
      <c r="H739" s="58">
        <v>13316</v>
      </c>
      <c r="I739" s="58">
        <v>89174</v>
      </c>
      <c r="J739" s="58">
        <v>0</v>
      </c>
      <c r="K739" s="1">
        <f t="shared" si="78"/>
        <v>448216.55999999994</v>
      </c>
      <c r="L739" s="1">
        <f t="shared" si="79"/>
        <v>13316</v>
      </c>
      <c r="M739" s="1">
        <f>VLOOKUP(B739,'[1]Срок Годности'!$A$2:$B$4,2,0)</f>
        <v>1500</v>
      </c>
      <c r="N739" s="60">
        <f t="shared" si="80"/>
        <v>13946</v>
      </c>
      <c r="O739" s="1" t="str">
        <f t="shared" si="81"/>
        <v>26 2012</v>
      </c>
      <c r="P739" s="1">
        <f t="shared" si="82"/>
        <v>21</v>
      </c>
      <c r="Q739" s="1">
        <f t="shared" ca="1" si="83"/>
        <v>4045</v>
      </c>
      <c r="S739" s="1">
        <f t="shared" si="77"/>
        <v>89174</v>
      </c>
    </row>
    <row r="740" spans="1:19" x14ac:dyDescent="0.2">
      <c r="A740" s="57" t="s">
        <v>230</v>
      </c>
      <c r="B740" s="57" t="s">
        <v>244</v>
      </c>
      <c r="C740" s="57" t="s">
        <v>245</v>
      </c>
      <c r="D740" s="58">
        <v>33.659999999999997</v>
      </c>
      <c r="E740" s="59">
        <v>41089</v>
      </c>
      <c r="F740" s="58">
        <v>89174</v>
      </c>
      <c r="G740" s="58">
        <v>13084</v>
      </c>
      <c r="H740" s="58">
        <v>13618</v>
      </c>
      <c r="I740" s="58">
        <v>89741</v>
      </c>
      <c r="J740" s="58">
        <v>0</v>
      </c>
      <c r="K740" s="1">
        <f t="shared" si="78"/>
        <v>458381.87999999995</v>
      </c>
      <c r="L740" s="1">
        <f t="shared" si="79"/>
        <v>13618</v>
      </c>
      <c r="M740" s="1">
        <f>VLOOKUP(B740,'[1]Срок Годности'!$A$2:$B$4,2,0)</f>
        <v>1500</v>
      </c>
      <c r="N740" s="60">
        <f t="shared" si="80"/>
        <v>13084</v>
      </c>
      <c r="O740" s="1" t="str">
        <f t="shared" si="81"/>
        <v>26 2012</v>
      </c>
      <c r="P740" s="1">
        <f t="shared" si="82"/>
        <v>21</v>
      </c>
      <c r="Q740" s="1">
        <f t="shared" ca="1" si="83"/>
        <v>4044</v>
      </c>
      <c r="S740" s="1">
        <f t="shared" si="77"/>
        <v>89741</v>
      </c>
    </row>
    <row r="741" spans="1:19" x14ac:dyDescent="0.2">
      <c r="A741" s="57" t="s">
        <v>230</v>
      </c>
      <c r="B741" s="57" t="s">
        <v>244</v>
      </c>
      <c r="C741" s="57" t="s">
        <v>245</v>
      </c>
      <c r="D741" s="58">
        <v>33.659999999999997</v>
      </c>
      <c r="E741" s="59">
        <v>41090</v>
      </c>
      <c r="F741" s="58">
        <v>89741</v>
      </c>
      <c r="G741" s="58">
        <v>13364</v>
      </c>
      <c r="H741" s="58">
        <v>15140</v>
      </c>
      <c r="I741" s="58">
        <v>88494</v>
      </c>
      <c r="J741" s="58">
        <v>0</v>
      </c>
      <c r="K741" s="1">
        <f t="shared" si="78"/>
        <v>509612.39999999997</v>
      </c>
      <c r="L741" s="1">
        <f t="shared" si="79"/>
        <v>15140</v>
      </c>
      <c r="M741" s="1">
        <f>VLOOKUP(B741,'[1]Срок Годности'!$A$2:$B$4,2,0)</f>
        <v>1500</v>
      </c>
      <c r="N741" s="60">
        <f t="shared" si="80"/>
        <v>13364</v>
      </c>
      <c r="O741" s="1" t="str">
        <f t="shared" si="81"/>
        <v>26 2012</v>
      </c>
      <c r="P741" s="1">
        <f t="shared" si="82"/>
        <v>21</v>
      </c>
      <c r="Q741" s="1">
        <f t="shared" ca="1" si="83"/>
        <v>4043</v>
      </c>
      <c r="S741" s="1">
        <f t="shared" si="77"/>
        <v>88494</v>
      </c>
    </row>
    <row r="742" spans="1:19" x14ac:dyDescent="0.2">
      <c r="A742" s="57" t="s">
        <v>230</v>
      </c>
      <c r="B742" s="57" t="s">
        <v>244</v>
      </c>
      <c r="C742" s="57" t="s">
        <v>245</v>
      </c>
      <c r="D742" s="58">
        <v>33.659999999999997</v>
      </c>
      <c r="E742" s="59">
        <v>41091</v>
      </c>
      <c r="F742" s="58">
        <v>88494</v>
      </c>
      <c r="G742" s="58">
        <v>10708</v>
      </c>
      <c r="H742" s="58">
        <v>14424</v>
      </c>
      <c r="I742" s="58">
        <v>84898</v>
      </c>
      <c r="J742" s="58">
        <v>0</v>
      </c>
      <c r="K742" s="1">
        <f t="shared" si="78"/>
        <v>485511.83999999997</v>
      </c>
      <c r="L742" s="1">
        <f t="shared" si="79"/>
        <v>14424</v>
      </c>
      <c r="M742" s="1">
        <f>VLOOKUP(B742,'[1]Срок Годности'!$A$2:$B$4,2,0)</f>
        <v>1500</v>
      </c>
      <c r="N742" s="60">
        <f t="shared" si="80"/>
        <v>0</v>
      </c>
      <c r="O742" s="1" t="str">
        <f t="shared" si="81"/>
        <v>27 2012</v>
      </c>
      <c r="P742" s="1">
        <f t="shared" si="82"/>
        <v>21</v>
      </c>
      <c r="Q742" s="1">
        <f t="shared" ca="1" si="83"/>
        <v>4042</v>
      </c>
      <c r="S742" s="1">
        <f t="shared" si="77"/>
        <v>84898</v>
      </c>
    </row>
    <row r="743" spans="1:19" x14ac:dyDescent="0.2">
      <c r="A743" s="57" t="s">
        <v>230</v>
      </c>
      <c r="B743" s="57" t="s">
        <v>244</v>
      </c>
      <c r="C743" s="57" t="s">
        <v>245</v>
      </c>
      <c r="D743" s="58">
        <v>33.659999999999997</v>
      </c>
      <c r="E743" s="59">
        <v>41092</v>
      </c>
      <c r="F743" s="58">
        <v>84898</v>
      </c>
      <c r="G743" s="58">
        <v>11516</v>
      </c>
      <c r="H743" s="58">
        <v>15684</v>
      </c>
      <c r="I743" s="58">
        <v>80519</v>
      </c>
      <c r="J743" s="58">
        <v>0</v>
      </c>
      <c r="K743" s="1">
        <f t="shared" si="78"/>
        <v>527923.43999999994</v>
      </c>
      <c r="L743" s="1">
        <f t="shared" si="79"/>
        <v>15684</v>
      </c>
      <c r="M743" s="1">
        <f>VLOOKUP(B743,'[1]Срок Годности'!$A$2:$B$4,2,0)</f>
        <v>1500</v>
      </c>
      <c r="N743" s="60">
        <f t="shared" si="80"/>
        <v>11516</v>
      </c>
      <c r="O743" s="1" t="str">
        <f t="shared" si="81"/>
        <v>27 2012</v>
      </c>
      <c r="P743" s="1">
        <f t="shared" si="82"/>
        <v>21</v>
      </c>
      <c r="Q743" s="1">
        <f t="shared" ca="1" si="83"/>
        <v>4041</v>
      </c>
      <c r="S743" s="1">
        <f t="shared" si="77"/>
        <v>80519</v>
      </c>
    </row>
    <row r="744" spans="1:19" x14ac:dyDescent="0.2">
      <c r="A744" s="57" t="s">
        <v>230</v>
      </c>
      <c r="B744" s="57" t="s">
        <v>244</v>
      </c>
      <c r="C744" s="57" t="s">
        <v>245</v>
      </c>
      <c r="D744" s="58">
        <v>33.659999999999997</v>
      </c>
      <c r="E744" s="59">
        <v>41093</v>
      </c>
      <c r="F744" s="58">
        <v>80519</v>
      </c>
      <c r="G744" s="58">
        <v>17535</v>
      </c>
      <c r="H744" s="58">
        <v>15507</v>
      </c>
      <c r="I744" s="58">
        <v>82443</v>
      </c>
      <c r="J744" s="58">
        <v>0</v>
      </c>
      <c r="K744" s="1">
        <f t="shared" si="78"/>
        <v>521965.61999999994</v>
      </c>
      <c r="L744" s="1">
        <f t="shared" si="79"/>
        <v>15507</v>
      </c>
      <c r="M744" s="1">
        <f>VLOOKUP(B744,'[1]Срок Годности'!$A$2:$B$4,2,0)</f>
        <v>1500</v>
      </c>
      <c r="N744" s="60">
        <f t="shared" si="80"/>
        <v>17535</v>
      </c>
      <c r="O744" s="1" t="str">
        <f t="shared" si="81"/>
        <v>27 2012</v>
      </c>
      <c r="P744" s="1">
        <f t="shared" si="82"/>
        <v>21</v>
      </c>
      <c r="Q744" s="1">
        <f t="shared" ca="1" si="83"/>
        <v>4040</v>
      </c>
      <c r="S744" s="1">
        <f t="shared" si="77"/>
        <v>82443</v>
      </c>
    </row>
    <row r="745" spans="1:19" x14ac:dyDescent="0.2">
      <c r="A745" s="57" t="s">
        <v>230</v>
      </c>
      <c r="B745" s="57" t="s">
        <v>244</v>
      </c>
      <c r="C745" s="57" t="s">
        <v>245</v>
      </c>
      <c r="D745" s="58">
        <v>33.659999999999997</v>
      </c>
      <c r="E745" s="59">
        <v>41094</v>
      </c>
      <c r="F745" s="58">
        <v>82443</v>
      </c>
      <c r="G745" s="58">
        <v>19077</v>
      </c>
      <c r="H745" s="58">
        <v>14551</v>
      </c>
      <c r="I745" s="58">
        <v>87043</v>
      </c>
      <c r="J745" s="58">
        <v>0</v>
      </c>
      <c r="K745" s="1">
        <f t="shared" si="78"/>
        <v>489786.66</v>
      </c>
      <c r="L745" s="1">
        <f t="shared" si="79"/>
        <v>14551</v>
      </c>
      <c r="M745" s="1">
        <f>VLOOKUP(B745,'[1]Срок Годности'!$A$2:$B$4,2,0)</f>
        <v>1500</v>
      </c>
      <c r="N745" s="60">
        <f t="shared" si="80"/>
        <v>19077</v>
      </c>
      <c r="O745" s="1" t="str">
        <f t="shared" si="81"/>
        <v>27 2012</v>
      </c>
      <c r="P745" s="1">
        <f t="shared" si="82"/>
        <v>21</v>
      </c>
      <c r="Q745" s="1">
        <f t="shared" ca="1" si="83"/>
        <v>4039</v>
      </c>
      <c r="S745" s="1">
        <f t="shared" si="77"/>
        <v>87043</v>
      </c>
    </row>
    <row r="746" spans="1:19" x14ac:dyDescent="0.2">
      <c r="A746" s="57" t="s">
        <v>230</v>
      </c>
      <c r="B746" s="57" t="s">
        <v>244</v>
      </c>
      <c r="C746" s="57" t="s">
        <v>245</v>
      </c>
      <c r="D746" s="58">
        <v>33.659999999999997</v>
      </c>
      <c r="E746" s="59">
        <v>41095</v>
      </c>
      <c r="F746" s="58">
        <v>87043</v>
      </c>
      <c r="G746" s="58">
        <v>16896</v>
      </c>
      <c r="H746" s="58">
        <v>14347</v>
      </c>
      <c r="I746" s="58">
        <v>89676</v>
      </c>
      <c r="J746" s="58">
        <v>0</v>
      </c>
      <c r="K746" s="1">
        <f t="shared" si="78"/>
        <v>482920.01999999996</v>
      </c>
      <c r="L746" s="1">
        <f t="shared" si="79"/>
        <v>14347</v>
      </c>
      <c r="M746" s="1">
        <f>VLOOKUP(B746,'[1]Срок Годности'!$A$2:$B$4,2,0)</f>
        <v>1500</v>
      </c>
      <c r="N746" s="60">
        <f t="shared" si="80"/>
        <v>16896</v>
      </c>
      <c r="O746" s="1" t="str">
        <f t="shared" si="81"/>
        <v>27 2012</v>
      </c>
      <c r="P746" s="1">
        <f t="shared" si="82"/>
        <v>21</v>
      </c>
      <c r="Q746" s="1">
        <f t="shared" ca="1" si="83"/>
        <v>4038</v>
      </c>
      <c r="S746" s="1">
        <f t="shared" si="77"/>
        <v>89676</v>
      </c>
    </row>
    <row r="747" spans="1:19" x14ac:dyDescent="0.2">
      <c r="A747" s="57" t="s">
        <v>230</v>
      </c>
      <c r="B747" s="57" t="s">
        <v>244</v>
      </c>
      <c r="C747" s="57" t="s">
        <v>245</v>
      </c>
      <c r="D747" s="58">
        <v>33.659999999999997</v>
      </c>
      <c r="E747" s="59">
        <v>41096</v>
      </c>
      <c r="F747" s="58">
        <v>89676</v>
      </c>
      <c r="G747" s="58">
        <v>14668</v>
      </c>
      <c r="H747" s="58">
        <v>13085</v>
      </c>
      <c r="I747" s="58">
        <v>91138</v>
      </c>
      <c r="J747" s="58">
        <v>0</v>
      </c>
      <c r="K747" s="1">
        <f t="shared" si="78"/>
        <v>440441.1</v>
      </c>
      <c r="L747" s="1">
        <f t="shared" si="79"/>
        <v>13085</v>
      </c>
      <c r="M747" s="1">
        <f>VLOOKUP(B747,'[1]Срок Годности'!$A$2:$B$4,2,0)</f>
        <v>1500</v>
      </c>
      <c r="N747" s="60">
        <f t="shared" si="80"/>
        <v>14668</v>
      </c>
      <c r="O747" s="1" t="str">
        <f t="shared" si="81"/>
        <v>27 2012</v>
      </c>
      <c r="P747" s="1">
        <f t="shared" si="82"/>
        <v>21</v>
      </c>
      <c r="Q747" s="1">
        <f t="shared" ca="1" si="83"/>
        <v>4037</v>
      </c>
      <c r="S747" s="1">
        <f t="shared" si="77"/>
        <v>91138</v>
      </c>
    </row>
    <row r="748" spans="1:19" x14ac:dyDescent="0.2">
      <c r="A748" s="57" t="s">
        <v>230</v>
      </c>
      <c r="B748" s="57" t="s">
        <v>244</v>
      </c>
      <c r="C748" s="57" t="s">
        <v>245</v>
      </c>
      <c r="D748" s="58">
        <v>33.659999999999997</v>
      </c>
      <c r="E748" s="59">
        <v>41097</v>
      </c>
      <c r="F748" s="58">
        <v>91138</v>
      </c>
      <c r="G748" s="58">
        <v>15030</v>
      </c>
      <c r="H748" s="58">
        <v>13746</v>
      </c>
      <c r="I748" s="58">
        <v>92430</v>
      </c>
      <c r="J748" s="58">
        <v>0</v>
      </c>
      <c r="K748" s="1">
        <f t="shared" si="78"/>
        <v>462690.35999999993</v>
      </c>
      <c r="L748" s="1">
        <f t="shared" si="79"/>
        <v>13746</v>
      </c>
      <c r="M748" s="1">
        <f>VLOOKUP(B748,'[1]Срок Годности'!$A$2:$B$4,2,0)</f>
        <v>1500</v>
      </c>
      <c r="N748" s="60">
        <f t="shared" si="80"/>
        <v>15030</v>
      </c>
      <c r="O748" s="1" t="str">
        <f t="shared" si="81"/>
        <v>27 2012</v>
      </c>
      <c r="P748" s="1">
        <f t="shared" si="82"/>
        <v>21</v>
      </c>
      <c r="Q748" s="1">
        <f t="shared" ca="1" si="83"/>
        <v>4036</v>
      </c>
      <c r="S748" s="1">
        <f t="shared" si="77"/>
        <v>92430</v>
      </c>
    </row>
    <row r="749" spans="1:19" x14ac:dyDescent="0.2">
      <c r="A749" s="57" t="s">
        <v>230</v>
      </c>
      <c r="B749" s="57" t="s">
        <v>244</v>
      </c>
      <c r="C749" s="57" t="s">
        <v>245</v>
      </c>
      <c r="D749" s="58">
        <v>33.659999999999997</v>
      </c>
      <c r="E749" s="59">
        <v>41098</v>
      </c>
      <c r="F749" s="58">
        <v>92430</v>
      </c>
      <c r="G749" s="58">
        <v>1188</v>
      </c>
      <c r="H749" s="58">
        <v>11951</v>
      </c>
      <c r="I749" s="58">
        <v>81574</v>
      </c>
      <c r="J749" s="58">
        <v>0</v>
      </c>
      <c r="K749" s="1">
        <f t="shared" si="78"/>
        <v>402270.66</v>
      </c>
      <c r="L749" s="1">
        <f t="shared" si="79"/>
        <v>11951</v>
      </c>
      <c r="M749" s="1">
        <f>VLOOKUP(B749,'[1]Срок Годности'!$A$2:$B$4,2,0)</f>
        <v>1500</v>
      </c>
      <c r="N749" s="60">
        <f t="shared" si="80"/>
        <v>0</v>
      </c>
      <c r="O749" s="1" t="str">
        <f t="shared" si="81"/>
        <v>28 2012</v>
      </c>
      <c r="P749" s="1">
        <f t="shared" si="82"/>
        <v>21</v>
      </c>
      <c r="Q749" s="1">
        <f t="shared" ca="1" si="83"/>
        <v>4035</v>
      </c>
      <c r="S749" s="1">
        <f t="shared" si="77"/>
        <v>81574</v>
      </c>
    </row>
    <row r="750" spans="1:19" x14ac:dyDescent="0.2">
      <c r="A750" s="57" t="s">
        <v>230</v>
      </c>
      <c r="B750" s="57" t="s">
        <v>244</v>
      </c>
      <c r="C750" s="57" t="s">
        <v>245</v>
      </c>
      <c r="D750" s="58">
        <v>33.659999999999997</v>
      </c>
      <c r="E750" s="59">
        <v>41099</v>
      </c>
      <c r="F750" s="58">
        <v>81574</v>
      </c>
      <c r="G750" s="58">
        <v>13015</v>
      </c>
      <c r="H750" s="58">
        <v>14326</v>
      </c>
      <c r="I750" s="58">
        <v>80345</v>
      </c>
      <c r="J750" s="58">
        <v>0</v>
      </c>
      <c r="K750" s="1">
        <f t="shared" si="78"/>
        <v>482213.16</v>
      </c>
      <c r="L750" s="1">
        <f t="shared" si="79"/>
        <v>14326</v>
      </c>
      <c r="M750" s="1">
        <f>VLOOKUP(B750,'[1]Срок Годности'!$A$2:$B$4,2,0)</f>
        <v>1500</v>
      </c>
      <c r="N750" s="60">
        <f t="shared" si="80"/>
        <v>13015</v>
      </c>
      <c r="O750" s="1" t="str">
        <f t="shared" si="81"/>
        <v>28 2012</v>
      </c>
      <c r="P750" s="1">
        <f t="shared" si="82"/>
        <v>21</v>
      </c>
      <c r="Q750" s="1">
        <f t="shared" ca="1" si="83"/>
        <v>4034</v>
      </c>
      <c r="S750" s="1">
        <f t="shared" si="77"/>
        <v>80345</v>
      </c>
    </row>
    <row r="751" spans="1:19" x14ac:dyDescent="0.2">
      <c r="A751" s="57" t="s">
        <v>230</v>
      </c>
      <c r="B751" s="57" t="s">
        <v>244</v>
      </c>
      <c r="C751" s="57" t="s">
        <v>245</v>
      </c>
      <c r="D751" s="58">
        <v>33.659999999999997</v>
      </c>
      <c r="E751" s="59">
        <v>41100</v>
      </c>
      <c r="F751" s="58">
        <v>80345</v>
      </c>
      <c r="G751" s="58">
        <v>18049</v>
      </c>
      <c r="H751" s="58">
        <v>13318</v>
      </c>
      <c r="I751" s="58">
        <v>84973</v>
      </c>
      <c r="J751" s="58">
        <v>0</v>
      </c>
      <c r="K751" s="1">
        <f t="shared" si="78"/>
        <v>448283.87999999995</v>
      </c>
      <c r="L751" s="1">
        <f t="shared" si="79"/>
        <v>13318</v>
      </c>
      <c r="M751" s="1">
        <f>VLOOKUP(B751,'[1]Срок Годности'!$A$2:$B$4,2,0)</f>
        <v>1500</v>
      </c>
      <c r="N751" s="60">
        <f t="shared" si="80"/>
        <v>18049</v>
      </c>
      <c r="O751" s="1" t="str">
        <f t="shared" si="81"/>
        <v>28 2012</v>
      </c>
      <c r="P751" s="1">
        <f t="shared" si="82"/>
        <v>21</v>
      </c>
      <c r="Q751" s="1">
        <f t="shared" ca="1" si="83"/>
        <v>4033</v>
      </c>
      <c r="S751" s="1">
        <f t="shared" si="77"/>
        <v>84973</v>
      </c>
    </row>
    <row r="752" spans="1:19" x14ac:dyDescent="0.2">
      <c r="A752" s="57" t="s">
        <v>230</v>
      </c>
      <c r="B752" s="57" t="s">
        <v>244</v>
      </c>
      <c r="C752" s="57" t="s">
        <v>245</v>
      </c>
      <c r="D752" s="58">
        <v>33.659999999999997</v>
      </c>
      <c r="E752" s="59">
        <v>41101</v>
      </c>
      <c r="F752" s="58">
        <v>84973</v>
      </c>
      <c r="G752" s="58">
        <v>19385</v>
      </c>
      <c r="H752" s="58">
        <v>12782</v>
      </c>
      <c r="I752" s="58">
        <v>91370</v>
      </c>
      <c r="J752" s="58">
        <v>0</v>
      </c>
      <c r="K752" s="1">
        <f t="shared" si="78"/>
        <v>430242.11999999994</v>
      </c>
      <c r="L752" s="1">
        <f t="shared" si="79"/>
        <v>12782</v>
      </c>
      <c r="M752" s="1">
        <f>VLOOKUP(B752,'[1]Срок Годности'!$A$2:$B$4,2,0)</f>
        <v>1500</v>
      </c>
      <c r="N752" s="60">
        <f t="shared" si="80"/>
        <v>19385</v>
      </c>
      <c r="O752" s="1" t="str">
        <f t="shared" si="81"/>
        <v>28 2012</v>
      </c>
      <c r="P752" s="1">
        <f t="shared" si="82"/>
        <v>21</v>
      </c>
      <c r="Q752" s="1">
        <f t="shared" ca="1" si="83"/>
        <v>4032</v>
      </c>
      <c r="S752" s="1">
        <f t="shared" si="77"/>
        <v>91370</v>
      </c>
    </row>
    <row r="753" spans="1:19" x14ac:dyDescent="0.2">
      <c r="A753" s="57" t="s">
        <v>230</v>
      </c>
      <c r="B753" s="57" t="s">
        <v>244</v>
      </c>
      <c r="C753" s="57" t="s">
        <v>245</v>
      </c>
      <c r="D753" s="58">
        <v>33.659999999999997</v>
      </c>
      <c r="E753" s="59">
        <v>41102</v>
      </c>
      <c r="F753" s="58">
        <v>91370</v>
      </c>
      <c r="G753" s="58">
        <v>13250</v>
      </c>
      <c r="H753" s="58">
        <v>12555</v>
      </c>
      <c r="I753" s="58">
        <v>91913</v>
      </c>
      <c r="J753" s="58">
        <v>0</v>
      </c>
      <c r="K753" s="1">
        <f t="shared" si="78"/>
        <v>422601.29999999993</v>
      </c>
      <c r="L753" s="1">
        <f t="shared" si="79"/>
        <v>12555</v>
      </c>
      <c r="M753" s="1">
        <f>VLOOKUP(B753,'[1]Срок Годности'!$A$2:$B$4,2,0)</f>
        <v>1500</v>
      </c>
      <c r="N753" s="60">
        <f t="shared" si="80"/>
        <v>13250</v>
      </c>
      <c r="O753" s="1" t="str">
        <f t="shared" si="81"/>
        <v>28 2012</v>
      </c>
      <c r="P753" s="1">
        <f t="shared" si="82"/>
        <v>21</v>
      </c>
      <c r="Q753" s="1">
        <f t="shared" ca="1" si="83"/>
        <v>4031</v>
      </c>
      <c r="S753" s="1">
        <f t="shared" si="77"/>
        <v>91913</v>
      </c>
    </row>
    <row r="754" spans="1:19" x14ac:dyDescent="0.2">
      <c r="A754" s="57" t="s">
        <v>230</v>
      </c>
      <c r="B754" s="57" t="s">
        <v>244</v>
      </c>
      <c r="C754" s="57" t="s">
        <v>245</v>
      </c>
      <c r="D754" s="58">
        <v>33.659999999999997</v>
      </c>
      <c r="E754" s="59">
        <v>41103</v>
      </c>
      <c r="F754" s="58">
        <v>91913</v>
      </c>
      <c r="G754" s="58">
        <v>11028</v>
      </c>
      <c r="H754" s="58">
        <v>12796</v>
      </c>
      <c r="I754" s="58">
        <v>90175</v>
      </c>
      <c r="J754" s="58">
        <v>0</v>
      </c>
      <c r="K754" s="1">
        <f t="shared" si="78"/>
        <v>430713.35999999993</v>
      </c>
      <c r="L754" s="1">
        <f t="shared" si="79"/>
        <v>12796</v>
      </c>
      <c r="M754" s="1">
        <f>VLOOKUP(B754,'[1]Срок Годности'!$A$2:$B$4,2,0)</f>
        <v>1500</v>
      </c>
      <c r="N754" s="60">
        <f t="shared" si="80"/>
        <v>11028</v>
      </c>
      <c r="O754" s="1" t="str">
        <f t="shared" si="81"/>
        <v>28 2012</v>
      </c>
      <c r="P754" s="1">
        <f t="shared" si="82"/>
        <v>21</v>
      </c>
      <c r="Q754" s="1">
        <f t="shared" ca="1" si="83"/>
        <v>4030</v>
      </c>
      <c r="S754" s="1">
        <f t="shared" si="77"/>
        <v>90175</v>
      </c>
    </row>
    <row r="755" spans="1:19" x14ac:dyDescent="0.2">
      <c r="A755" s="57" t="s">
        <v>230</v>
      </c>
      <c r="B755" s="57" t="s">
        <v>244</v>
      </c>
      <c r="C755" s="57" t="s">
        <v>245</v>
      </c>
      <c r="D755" s="58">
        <v>33.659999999999997</v>
      </c>
      <c r="E755" s="59">
        <v>41104</v>
      </c>
      <c r="F755" s="58">
        <v>90175</v>
      </c>
      <c r="G755" s="58">
        <v>9477</v>
      </c>
      <c r="H755" s="58">
        <v>11318</v>
      </c>
      <c r="I755" s="58">
        <v>88297</v>
      </c>
      <c r="J755" s="58">
        <v>0</v>
      </c>
      <c r="K755" s="1">
        <f t="shared" si="78"/>
        <v>380963.87999999995</v>
      </c>
      <c r="L755" s="1">
        <f t="shared" si="79"/>
        <v>11318</v>
      </c>
      <c r="M755" s="1">
        <f>VLOOKUP(B755,'[1]Срок Годности'!$A$2:$B$4,2,0)</f>
        <v>1500</v>
      </c>
      <c r="N755" s="60">
        <f t="shared" si="80"/>
        <v>9477</v>
      </c>
      <c r="O755" s="1" t="str">
        <f t="shared" si="81"/>
        <v>28 2012</v>
      </c>
      <c r="P755" s="1">
        <f t="shared" si="82"/>
        <v>21</v>
      </c>
      <c r="Q755" s="1">
        <f t="shared" ca="1" si="83"/>
        <v>4029</v>
      </c>
      <c r="S755" s="1">
        <f t="shared" si="77"/>
        <v>88297</v>
      </c>
    </row>
    <row r="756" spans="1:19" x14ac:dyDescent="0.2">
      <c r="A756" s="57" t="s">
        <v>230</v>
      </c>
      <c r="B756" s="57" t="s">
        <v>244</v>
      </c>
      <c r="C756" s="57" t="s">
        <v>245</v>
      </c>
      <c r="D756" s="58">
        <v>33.659999999999997</v>
      </c>
      <c r="E756" s="59">
        <v>41105</v>
      </c>
      <c r="F756" s="58">
        <v>88297</v>
      </c>
      <c r="G756" s="58">
        <v>11201</v>
      </c>
      <c r="H756" s="58">
        <v>9859</v>
      </c>
      <c r="I756" s="58">
        <v>89476</v>
      </c>
      <c r="J756" s="58">
        <v>0</v>
      </c>
      <c r="K756" s="1">
        <f t="shared" si="78"/>
        <v>331853.93999999994</v>
      </c>
      <c r="L756" s="1">
        <f t="shared" si="79"/>
        <v>9859</v>
      </c>
      <c r="M756" s="1">
        <f>VLOOKUP(B756,'[1]Срок Годности'!$A$2:$B$4,2,0)</f>
        <v>1500</v>
      </c>
      <c r="N756" s="60">
        <f t="shared" si="80"/>
        <v>0</v>
      </c>
      <c r="O756" s="1" t="str">
        <f t="shared" si="81"/>
        <v>29 2012</v>
      </c>
      <c r="P756" s="1">
        <f t="shared" si="82"/>
        <v>21</v>
      </c>
      <c r="Q756" s="1">
        <f t="shared" ca="1" si="83"/>
        <v>4028</v>
      </c>
      <c r="S756" s="1">
        <f t="shared" si="77"/>
        <v>89476</v>
      </c>
    </row>
    <row r="757" spans="1:19" x14ac:dyDescent="0.2">
      <c r="A757" s="57" t="s">
        <v>230</v>
      </c>
      <c r="B757" s="57" t="s">
        <v>244</v>
      </c>
      <c r="C757" s="57" t="s">
        <v>245</v>
      </c>
      <c r="D757" s="58">
        <v>33.659999999999997</v>
      </c>
      <c r="E757" s="59">
        <v>41106</v>
      </c>
      <c r="F757" s="58">
        <v>89476</v>
      </c>
      <c r="G757" s="58">
        <v>9374</v>
      </c>
      <c r="H757" s="58">
        <v>9695</v>
      </c>
      <c r="I757" s="58">
        <v>89435</v>
      </c>
      <c r="J757" s="58">
        <v>0</v>
      </c>
      <c r="K757" s="1">
        <f t="shared" si="78"/>
        <v>326333.69999999995</v>
      </c>
      <c r="L757" s="1">
        <f t="shared" si="79"/>
        <v>9695</v>
      </c>
      <c r="M757" s="1">
        <f>VLOOKUP(B757,'[1]Срок Годности'!$A$2:$B$4,2,0)</f>
        <v>1500</v>
      </c>
      <c r="N757" s="60">
        <f t="shared" si="80"/>
        <v>9374</v>
      </c>
      <c r="O757" s="1" t="str">
        <f t="shared" si="81"/>
        <v>29 2012</v>
      </c>
      <c r="P757" s="1">
        <f t="shared" si="82"/>
        <v>21</v>
      </c>
      <c r="Q757" s="1">
        <f t="shared" ca="1" si="83"/>
        <v>4027</v>
      </c>
      <c r="S757" s="1">
        <f t="shared" si="77"/>
        <v>89435</v>
      </c>
    </row>
    <row r="758" spans="1:19" x14ac:dyDescent="0.2">
      <c r="A758" s="57" t="s">
        <v>230</v>
      </c>
      <c r="B758" s="57" t="s">
        <v>244</v>
      </c>
      <c r="C758" s="57" t="s">
        <v>245</v>
      </c>
      <c r="D758" s="58">
        <v>33.659999999999997</v>
      </c>
      <c r="E758" s="59">
        <v>41107</v>
      </c>
      <c r="F758" s="58">
        <v>89435</v>
      </c>
      <c r="G758" s="58">
        <v>7739</v>
      </c>
      <c r="H758" s="58">
        <v>8801</v>
      </c>
      <c r="I758" s="58">
        <v>88335</v>
      </c>
      <c r="J758" s="58">
        <v>0</v>
      </c>
      <c r="K758" s="1">
        <f t="shared" si="78"/>
        <v>296241.65999999997</v>
      </c>
      <c r="L758" s="1">
        <f t="shared" si="79"/>
        <v>8801</v>
      </c>
      <c r="M758" s="1">
        <f>VLOOKUP(B758,'[1]Срок Годности'!$A$2:$B$4,2,0)</f>
        <v>1500</v>
      </c>
      <c r="N758" s="60">
        <f t="shared" si="80"/>
        <v>7739</v>
      </c>
      <c r="O758" s="1" t="str">
        <f t="shared" si="81"/>
        <v>29 2012</v>
      </c>
      <c r="P758" s="1">
        <f t="shared" si="82"/>
        <v>21</v>
      </c>
      <c r="Q758" s="1">
        <f t="shared" ca="1" si="83"/>
        <v>4026</v>
      </c>
      <c r="S758" s="1">
        <f t="shared" si="77"/>
        <v>88335</v>
      </c>
    </row>
    <row r="759" spans="1:19" x14ac:dyDescent="0.2">
      <c r="A759" s="57" t="s">
        <v>230</v>
      </c>
      <c r="B759" s="57" t="s">
        <v>237</v>
      </c>
      <c r="C759" s="57" t="s">
        <v>238</v>
      </c>
      <c r="D759" s="58">
        <v>165.05</v>
      </c>
      <c r="E759" s="59">
        <v>41061</v>
      </c>
      <c r="F759" s="58">
        <v>8807</v>
      </c>
      <c r="G759" s="58">
        <v>4539</v>
      </c>
      <c r="H759" s="58">
        <v>2762</v>
      </c>
      <c r="I759" s="58">
        <v>10551</v>
      </c>
      <c r="J759" s="58">
        <v>0</v>
      </c>
      <c r="K759" s="1">
        <f t="shared" si="78"/>
        <v>455868.10000000003</v>
      </c>
      <c r="L759" s="1">
        <f t="shared" si="79"/>
        <v>2762</v>
      </c>
      <c r="M759" s="1">
        <f>VLOOKUP(B759,'[1]Срок Годности'!$A$2:$B$4,2,0)</f>
        <v>1000</v>
      </c>
      <c r="N759" s="60">
        <f t="shared" si="80"/>
        <v>4539</v>
      </c>
      <c r="O759" s="1" t="str">
        <f t="shared" si="81"/>
        <v>22 2012</v>
      </c>
      <c r="P759" s="1">
        <f t="shared" si="82"/>
        <v>22</v>
      </c>
      <c r="Q759" s="1">
        <f t="shared" ca="1" si="83"/>
        <v>4072</v>
      </c>
      <c r="S759" s="1">
        <f t="shared" si="77"/>
        <v>10551</v>
      </c>
    </row>
    <row r="760" spans="1:19" x14ac:dyDescent="0.2">
      <c r="A760" s="57" t="s">
        <v>230</v>
      </c>
      <c r="B760" s="57" t="s">
        <v>237</v>
      </c>
      <c r="C760" s="57" t="s">
        <v>238</v>
      </c>
      <c r="D760" s="58">
        <v>165.05</v>
      </c>
      <c r="E760" s="59">
        <v>41062</v>
      </c>
      <c r="F760" s="58">
        <v>10551</v>
      </c>
      <c r="G760" s="58">
        <v>3241</v>
      </c>
      <c r="H760" s="58">
        <v>3743</v>
      </c>
      <c r="I760" s="58">
        <v>10011</v>
      </c>
      <c r="J760" s="58">
        <v>0</v>
      </c>
      <c r="K760" s="1">
        <f t="shared" si="78"/>
        <v>617782.15</v>
      </c>
      <c r="L760" s="1">
        <f t="shared" si="79"/>
        <v>3743</v>
      </c>
      <c r="M760" s="1">
        <f>VLOOKUP(B760,'[1]Срок Годности'!$A$2:$B$4,2,0)</f>
        <v>1000</v>
      </c>
      <c r="N760" s="60">
        <f t="shared" si="80"/>
        <v>3241</v>
      </c>
      <c r="O760" s="1" t="str">
        <f t="shared" si="81"/>
        <v>22 2012</v>
      </c>
      <c r="P760" s="1">
        <f t="shared" si="82"/>
        <v>22</v>
      </c>
      <c r="Q760" s="1">
        <f t="shared" ca="1" si="83"/>
        <v>4071</v>
      </c>
      <c r="S760" s="1">
        <f t="shared" si="77"/>
        <v>10011</v>
      </c>
    </row>
    <row r="761" spans="1:19" x14ac:dyDescent="0.2">
      <c r="A761" s="57" t="s">
        <v>230</v>
      </c>
      <c r="B761" s="57" t="s">
        <v>237</v>
      </c>
      <c r="C761" s="57" t="s">
        <v>238</v>
      </c>
      <c r="D761" s="58">
        <v>165.05</v>
      </c>
      <c r="E761" s="59">
        <v>41063</v>
      </c>
      <c r="F761" s="58">
        <v>10011</v>
      </c>
      <c r="G761" s="58">
        <v>3483</v>
      </c>
      <c r="H761" s="58">
        <v>3650</v>
      </c>
      <c r="I761" s="58">
        <v>9818</v>
      </c>
      <c r="J761" s="58">
        <v>0</v>
      </c>
      <c r="K761" s="1">
        <f t="shared" si="78"/>
        <v>602432.5</v>
      </c>
      <c r="L761" s="1">
        <f t="shared" si="79"/>
        <v>3650</v>
      </c>
      <c r="M761" s="1">
        <f>VLOOKUP(B761,'[1]Срок Годности'!$A$2:$B$4,2,0)</f>
        <v>1000</v>
      </c>
      <c r="N761" s="60">
        <f t="shared" si="80"/>
        <v>0</v>
      </c>
      <c r="O761" s="1" t="str">
        <f t="shared" si="81"/>
        <v>23 2012</v>
      </c>
      <c r="P761" s="1">
        <f t="shared" si="82"/>
        <v>22</v>
      </c>
      <c r="Q761" s="1">
        <f t="shared" ca="1" si="83"/>
        <v>4070</v>
      </c>
      <c r="S761" s="1">
        <f t="shared" si="77"/>
        <v>9818</v>
      </c>
    </row>
    <row r="762" spans="1:19" x14ac:dyDescent="0.2">
      <c r="A762" s="57" t="s">
        <v>230</v>
      </c>
      <c r="B762" s="57" t="s">
        <v>237</v>
      </c>
      <c r="C762" s="57" t="s">
        <v>238</v>
      </c>
      <c r="D762" s="58">
        <v>165.05</v>
      </c>
      <c r="E762" s="59">
        <v>41064</v>
      </c>
      <c r="F762" s="58">
        <v>9818</v>
      </c>
      <c r="G762" s="58">
        <v>5135</v>
      </c>
      <c r="H762" s="58">
        <v>3238</v>
      </c>
      <c r="I762" s="58">
        <v>11688</v>
      </c>
      <c r="J762" s="58">
        <v>0</v>
      </c>
      <c r="K762" s="1">
        <f t="shared" si="78"/>
        <v>534431.9</v>
      </c>
      <c r="L762" s="1">
        <f t="shared" si="79"/>
        <v>3238</v>
      </c>
      <c r="M762" s="1">
        <f>VLOOKUP(B762,'[1]Срок Годности'!$A$2:$B$4,2,0)</f>
        <v>1000</v>
      </c>
      <c r="N762" s="60">
        <f t="shared" si="80"/>
        <v>5135</v>
      </c>
      <c r="O762" s="1" t="str">
        <f t="shared" si="81"/>
        <v>23 2012</v>
      </c>
      <c r="P762" s="1">
        <f t="shared" si="82"/>
        <v>22</v>
      </c>
      <c r="Q762" s="1">
        <f t="shared" ca="1" si="83"/>
        <v>4069</v>
      </c>
      <c r="S762" s="1">
        <f t="shared" si="77"/>
        <v>11688</v>
      </c>
    </row>
    <row r="763" spans="1:19" x14ac:dyDescent="0.2">
      <c r="A763" s="57" t="s">
        <v>230</v>
      </c>
      <c r="B763" s="57" t="s">
        <v>237</v>
      </c>
      <c r="C763" s="57" t="s">
        <v>238</v>
      </c>
      <c r="D763" s="58">
        <v>165.05</v>
      </c>
      <c r="E763" s="59">
        <v>41065</v>
      </c>
      <c r="F763" s="58">
        <v>11688</v>
      </c>
      <c r="G763" s="58">
        <v>4428</v>
      </c>
      <c r="H763" s="58">
        <v>3313</v>
      </c>
      <c r="I763" s="58">
        <v>12773</v>
      </c>
      <c r="J763" s="58">
        <v>0</v>
      </c>
      <c r="K763" s="1">
        <f t="shared" si="78"/>
        <v>546810.65</v>
      </c>
      <c r="L763" s="1">
        <f t="shared" si="79"/>
        <v>3313</v>
      </c>
      <c r="M763" s="1">
        <f>VLOOKUP(B763,'[1]Срок Годности'!$A$2:$B$4,2,0)</f>
        <v>1000</v>
      </c>
      <c r="N763" s="60">
        <f t="shared" si="80"/>
        <v>4428</v>
      </c>
      <c r="O763" s="1" t="str">
        <f t="shared" si="81"/>
        <v>23 2012</v>
      </c>
      <c r="P763" s="1">
        <f t="shared" si="82"/>
        <v>22</v>
      </c>
      <c r="Q763" s="1">
        <f t="shared" ca="1" si="83"/>
        <v>4068</v>
      </c>
      <c r="S763" s="1">
        <f t="shared" si="77"/>
        <v>12773</v>
      </c>
    </row>
    <row r="764" spans="1:19" x14ac:dyDescent="0.2">
      <c r="A764" s="57" t="s">
        <v>230</v>
      </c>
      <c r="B764" s="57" t="s">
        <v>237</v>
      </c>
      <c r="C764" s="57" t="s">
        <v>238</v>
      </c>
      <c r="D764" s="58">
        <v>165.05</v>
      </c>
      <c r="E764" s="59">
        <v>41066</v>
      </c>
      <c r="F764" s="58">
        <v>12773</v>
      </c>
      <c r="G764" s="58">
        <v>4380</v>
      </c>
      <c r="H764" s="58">
        <v>3217</v>
      </c>
      <c r="I764" s="58">
        <v>13836</v>
      </c>
      <c r="J764" s="58">
        <v>0</v>
      </c>
      <c r="K764" s="1">
        <f t="shared" si="78"/>
        <v>530965.85000000009</v>
      </c>
      <c r="L764" s="1">
        <f t="shared" si="79"/>
        <v>3217</v>
      </c>
      <c r="M764" s="1">
        <f>VLOOKUP(B764,'[1]Срок Годности'!$A$2:$B$4,2,0)</f>
        <v>1000</v>
      </c>
      <c r="N764" s="60">
        <f t="shared" si="80"/>
        <v>4380</v>
      </c>
      <c r="O764" s="1" t="str">
        <f t="shared" si="81"/>
        <v>23 2012</v>
      </c>
      <c r="P764" s="1">
        <f t="shared" si="82"/>
        <v>22</v>
      </c>
      <c r="Q764" s="1">
        <f t="shared" ca="1" si="83"/>
        <v>4067</v>
      </c>
      <c r="S764" s="1">
        <f t="shared" si="77"/>
        <v>13836</v>
      </c>
    </row>
    <row r="765" spans="1:19" x14ac:dyDescent="0.2">
      <c r="A765" s="57" t="s">
        <v>230</v>
      </c>
      <c r="B765" s="57" t="s">
        <v>237</v>
      </c>
      <c r="C765" s="57" t="s">
        <v>238</v>
      </c>
      <c r="D765" s="58">
        <v>165.05</v>
      </c>
      <c r="E765" s="59">
        <v>41067</v>
      </c>
      <c r="F765" s="58">
        <v>13836</v>
      </c>
      <c r="G765" s="58">
        <v>2344</v>
      </c>
      <c r="H765" s="58">
        <v>3246</v>
      </c>
      <c r="I765" s="58">
        <v>12882</v>
      </c>
      <c r="J765" s="58">
        <v>0</v>
      </c>
      <c r="K765" s="1">
        <f t="shared" si="78"/>
        <v>535752.30000000005</v>
      </c>
      <c r="L765" s="1">
        <f t="shared" si="79"/>
        <v>3246</v>
      </c>
      <c r="M765" s="1">
        <f>VLOOKUP(B765,'[1]Срок Годности'!$A$2:$B$4,2,0)</f>
        <v>1000</v>
      </c>
      <c r="N765" s="60">
        <f t="shared" si="80"/>
        <v>2344</v>
      </c>
      <c r="O765" s="1" t="str">
        <f t="shared" si="81"/>
        <v>23 2012</v>
      </c>
      <c r="P765" s="1">
        <f t="shared" si="82"/>
        <v>22</v>
      </c>
      <c r="Q765" s="1">
        <f t="shared" ca="1" si="83"/>
        <v>4066</v>
      </c>
      <c r="S765" s="1">
        <f t="shared" si="77"/>
        <v>12882</v>
      </c>
    </row>
    <row r="766" spans="1:19" x14ac:dyDescent="0.2">
      <c r="A766" s="57" t="s">
        <v>230</v>
      </c>
      <c r="B766" s="57" t="s">
        <v>237</v>
      </c>
      <c r="C766" s="57" t="s">
        <v>238</v>
      </c>
      <c r="D766" s="58">
        <v>165.05</v>
      </c>
      <c r="E766" s="59">
        <v>41068</v>
      </c>
      <c r="F766" s="58">
        <v>12882</v>
      </c>
      <c r="G766" s="58">
        <v>3263</v>
      </c>
      <c r="H766" s="58">
        <v>3333</v>
      </c>
      <c r="I766" s="58">
        <v>12764</v>
      </c>
      <c r="J766" s="58">
        <v>0</v>
      </c>
      <c r="K766" s="1">
        <f t="shared" si="78"/>
        <v>550111.65</v>
      </c>
      <c r="L766" s="1">
        <f t="shared" si="79"/>
        <v>3333</v>
      </c>
      <c r="M766" s="1">
        <f>VLOOKUP(B766,'[1]Срок Годности'!$A$2:$B$4,2,0)</f>
        <v>1000</v>
      </c>
      <c r="N766" s="60">
        <f t="shared" si="80"/>
        <v>3263</v>
      </c>
      <c r="O766" s="1" t="str">
        <f t="shared" si="81"/>
        <v>23 2012</v>
      </c>
      <c r="P766" s="1">
        <f t="shared" si="82"/>
        <v>22</v>
      </c>
      <c r="Q766" s="1">
        <f t="shared" ca="1" si="83"/>
        <v>4065</v>
      </c>
      <c r="S766" s="1">
        <f t="shared" si="77"/>
        <v>12764</v>
      </c>
    </row>
    <row r="767" spans="1:19" x14ac:dyDescent="0.2">
      <c r="A767" s="57" t="s">
        <v>230</v>
      </c>
      <c r="B767" s="57" t="s">
        <v>237</v>
      </c>
      <c r="C767" s="57" t="s">
        <v>238</v>
      </c>
      <c r="D767" s="58">
        <v>165.05</v>
      </c>
      <c r="E767" s="59">
        <v>41069</v>
      </c>
      <c r="F767" s="58">
        <v>12764</v>
      </c>
      <c r="G767" s="58">
        <v>5362</v>
      </c>
      <c r="H767" s="58">
        <v>3547</v>
      </c>
      <c r="I767" s="58">
        <v>14540</v>
      </c>
      <c r="J767" s="58">
        <v>0</v>
      </c>
      <c r="K767" s="1">
        <f t="shared" si="78"/>
        <v>585432.35000000009</v>
      </c>
      <c r="L767" s="1">
        <f t="shared" si="79"/>
        <v>3547</v>
      </c>
      <c r="M767" s="1">
        <f>VLOOKUP(B767,'[1]Срок Годности'!$A$2:$B$4,2,0)</f>
        <v>1000</v>
      </c>
      <c r="N767" s="60">
        <f t="shared" si="80"/>
        <v>5362</v>
      </c>
      <c r="O767" s="1" t="str">
        <f t="shared" si="81"/>
        <v>23 2012</v>
      </c>
      <c r="P767" s="1">
        <f t="shared" si="82"/>
        <v>22</v>
      </c>
      <c r="Q767" s="1">
        <f t="shared" ca="1" si="83"/>
        <v>4064</v>
      </c>
      <c r="S767" s="1">
        <f t="shared" si="77"/>
        <v>14540</v>
      </c>
    </row>
    <row r="768" spans="1:19" x14ac:dyDescent="0.2">
      <c r="A768" s="57" t="s">
        <v>230</v>
      </c>
      <c r="B768" s="57" t="s">
        <v>237</v>
      </c>
      <c r="C768" s="57" t="s">
        <v>238</v>
      </c>
      <c r="D768" s="58">
        <v>165.05</v>
      </c>
      <c r="E768" s="59">
        <v>41070</v>
      </c>
      <c r="F768" s="58">
        <v>14540</v>
      </c>
      <c r="G768" s="58">
        <v>3868</v>
      </c>
      <c r="H768" s="58">
        <v>3456</v>
      </c>
      <c r="I768" s="58">
        <v>14915</v>
      </c>
      <c r="J768" s="58">
        <v>0</v>
      </c>
      <c r="K768" s="1">
        <f t="shared" si="78"/>
        <v>570412.80000000005</v>
      </c>
      <c r="L768" s="1">
        <f t="shared" si="79"/>
        <v>3456</v>
      </c>
      <c r="M768" s="1">
        <f>VLOOKUP(B768,'[1]Срок Годности'!$A$2:$B$4,2,0)</f>
        <v>1000</v>
      </c>
      <c r="N768" s="60">
        <f t="shared" si="80"/>
        <v>0</v>
      </c>
      <c r="O768" s="1" t="str">
        <f t="shared" si="81"/>
        <v>24 2012</v>
      </c>
      <c r="P768" s="1">
        <f t="shared" si="82"/>
        <v>22</v>
      </c>
      <c r="Q768" s="1">
        <f t="shared" ca="1" si="83"/>
        <v>4063</v>
      </c>
      <c r="S768" s="1">
        <f t="shared" si="77"/>
        <v>14915</v>
      </c>
    </row>
    <row r="769" spans="1:19" x14ac:dyDescent="0.2">
      <c r="A769" s="57" t="s">
        <v>230</v>
      </c>
      <c r="B769" s="57" t="s">
        <v>237</v>
      </c>
      <c r="C769" s="57" t="s">
        <v>238</v>
      </c>
      <c r="D769" s="58">
        <v>165.05</v>
      </c>
      <c r="E769" s="59">
        <v>41071</v>
      </c>
      <c r="F769" s="58">
        <v>14915</v>
      </c>
      <c r="G769" s="58">
        <v>3043</v>
      </c>
      <c r="H769" s="58">
        <v>3408</v>
      </c>
      <c r="I769" s="58">
        <v>14483</v>
      </c>
      <c r="J769" s="58">
        <v>0</v>
      </c>
      <c r="K769" s="1">
        <f t="shared" si="78"/>
        <v>562490.4</v>
      </c>
      <c r="L769" s="1">
        <f t="shared" si="79"/>
        <v>3408</v>
      </c>
      <c r="M769" s="1">
        <f>VLOOKUP(B769,'[1]Срок Годности'!$A$2:$B$4,2,0)</f>
        <v>1000</v>
      </c>
      <c r="N769" s="60">
        <f t="shared" si="80"/>
        <v>3043</v>
      </c>
      <c r="O769" s="1" t="str">
        <f t="shared" si="81"/>
        <v>24 2012</v>
      </c>
      <c r="P769" s="1">
        <f t="shared" si="82"/>
        <v>22</v>
      </c>
      <c r="Q769" s="1">
        <f t="shared" ca="1" si="83"/>
        <v>4062</v>
      </c>
      <c r="S769" s="1">
        <f t="shared" si="77"/>
        <v>14483</v>
      </c>
    </row>
    <row r="770" spans="1:19" x14ac:dyDescent="0.2">
      <c r="A770" s="57" t="s">
        <v>230</v>
      </c>
      <c r="B770" s="57" t="s">
        <v>237</v>
      </c>
      <c r="C770" s="57" t="s">
        <v>238</v>
      </c>
      <c r="D770" s="58">
        <v>165.05</v>
      </c>
      <c r="E770" s="59">
        <v>41072</v>
      </c>
      <c r="F770" s="58">
        <v>14483</v>
      </c>
      <c r="G770" s="58">
        <v>3130</v>
      </c>
      <c r="H770" s="58">
        <v>3113</v>
      </c>
      <c r="I770" s="58">
        <v>14396</v>
      </c>
      <c r="J770" s="58">
        <v>0</v>
      </c>
      <c r="K770" s="1">
        <f t="shared" si="78"/>
        <v>513800.65</v>
      </c>
      <c r="L770" s="1">
        <f t="shared" si="79"/>
        <v>3113</v>
      </c>
      <c r="M770" s="1">
        <f>VLOOKUP(B770,'[1]Срок Годности'!$A$2:$B$4,2,0)</f>
        <v>1000</v>
      </c>
      <c r="N770" s="60">
        <f t="shared" si="80"/>
        <v>3130</v>
      </c>
      <c r="O770" s="1" t="str">
        <f t="shared" si="81"/>
        <v>24 2012</v>
      </c>
      <c r="P770" s="1">
        <f t="shared" si="82"/>
        <v>22</v>
      </c>
      <c r="Q770" s="1">
        <f t="shared" ca="1" si="83"/>
        <v>4061</v>
      </c>
      <c r="S770" s="1">
        <f t="shared" si="77"/>
        <v>14396</v>
      </c>
    </row>
    <row r="771" spans="1:19" x14ac:dyDescent="0.2">
      <c r="A771" s="57" t="s">
        <v>230</v>
      </c>
      <c r="B771" s="57" t="s">
        <v>237</v>
      </c>
      <c r="C771" s="57" t="s">
        <v>238</v>
      </c>
      <c r="D771" s="58">
        <v>165.05</v>
      </c>
      <c r="E771" s="59">
        <v>41073</v>
      </c>
      <c r="F771" s="58">
        <v>14396</v>
      </c>
      <c r="G771" s="58">
        <v>3431</v>
      </c>
      <c r="H771" s="58">
        <v>2868</v>
      </c>
      <c r="I771" s="58">
        <v>14906</v>
      </c>
      <c r="J771" s="58">
        <v>0</v>
      </c>
      <c r="K771" s="1">
        <f t="shared" si="78"/>
        <v>473363.4</v>
      </c>
      <c r="L771" s="1">
        <f t="shared" si="79"/>
        <v>2868</v>
      </c>
      <c r="M771" s="1">
        <f>VLOOKUP(B771,'[1]Срок Годности'!$A$2:$B$4,2,0)</f>
        <v>1000</v>
      </c>
      <c r="N771" s="60">
        <f t="shared" si="80"/>
        <v>3431</v>
      </c>
      <c r="O771" s="1" t="str">
        <f t="shared" si="81"/>
        <v>24 2012</v>
      </c>
      <c r="P771" s="1">
        <f t="shared" si="82"/>
        <v>22</v>
      </c>
      <c r="Q771" s="1">
        <f t="shared" ca="1" si="83"/>
        <v>4060</v>
      </c>
      <c r="S771" s="1">
        <f t="shared" si="77"/>
        <v>14906</v>
      </c>
    </row>
    <row r="772" spans="1:19" x14ac:dyDescent="0.2">
      <c r="A772" s="57" t="s">
        <v>230</v>
      </c>
      <c r="B772" s="57" t="s">
        <v>237</v>
      </c>
      <c r="C772" s="57" t="s">
        <v>238</v>
      </c>
      <c r="D772" s="58">
        <v>165.05</v>
      </c>
      <c r="E772" s="59">
        <v>41074</v>
      </c>
      <c r="F772" s="58">
        <v>14906</v>
      </c>
      <c r="G772" s="58">
        <v>3150</v>
      </c>
      <c r="H772" s="58">
        <v>2769</v>
      </c>
      <c r="I772" s="58">
        <v>15243</v>
      </c>
      <c r="J772" s="58">
        <v>2</v>
      </c>
      <c r="K772" s="1">
        <f t="shared" si="78"/>
        <v>457023.45</v>
      </c>
      <c r="L772" s="1">
        <f t="shared" si="79"/>
        <v>2769</v>
      </c>
      <c r="M772" s="1">
        <f>VLOOKUP(B772,'[1]Срок Годности'!$A$2:$B$4,2,0)</f>
        <v>1000</v>
      </c>
      <c r="N772" s="60">
        <f t="shared" si="80"/>
        <v>3150</v>
      </c>
      <c r="O772" s="1" t="str">
        <f t="shared" si="81"/>
        <v>24 2012</v>
      </c>
      <c r="P772" s="1">
        <f t="shared" si="82"/>
        <v>22</v>
      </c>
      <c r="Q772" s="1">
        <f t="shared" ca="1" si="83"/>
        <v>4059</v>
      </c>
      <c r="S772" s="1">
        <f t="shared" si="77"/>
        <v>15241</v>
      </c>
    </row>
    <row r="773" spans="1:19" x14ac:dyDescent="0.2">
      <c r="A773" s="57" t="s">
        <v>230</v>
      </c>
      <c r="B773" s="57" t="s">
        <v>237</v>
      </c>
      <c r="C773" s="57" t="s">
        <v>238</v>
      </c>
      <c r="D773" s="58">
        <v>165.05</v>
      </c>
      <c r="E773" s="59">
        <v>41075</v>
      </c>
      <c r="F773" s="58">
        <v>15243</v>
      </c>
      <c r="G773" s="58">
        <v>2833</v>
      </c>
      <c r="H773" s="58">
        <v>2849</v>
      </c>
      <c r="I773" s="58">
        <v>15164</v>
      </c>
      <c r="J773" s="58">
        <v>0</v>
      </c>
      <c r="K773" s="1">
        <f t="shared" si="78"/>
        <v>470227.45</v>
      </c>
      <c r="L773" s="1">
        <f t="shared" si="79"/>
        <v>2849</v>
      </c>
      <c r="M773" s="1">
        <f>VLOOKUP(B773,'[1]Срок Годности'!$A$2:$B$4,2,0)</f>
        <v>1000</v>
      </c>
      <c r="N773" s="60">
        <f t="shared" si="80"/>
        <v>2833</v>
      </c>
      <c r="O773" s="1" t="str">
        <f t="shared" si="81"/>
        <v>24 2012</v>
      </c>
      <c r="P773" s="1">
        <f t="shared" si="82"/>
        <v>22</v>
      </c>
      <c r="Q773" s="1">
        <f t="shared" ca="1" si="83"/>
        <v>4058</v>
      </c>
      <c r="S773" s="1">
        <f t="shared" si="77"/>
        <v>15164</v>
      </c>
    </row>
    <row r="774" spans="1:19" x14ac:dyDescent="0.2">
      <c r="A774" s="57" t="s">
        <v>230</v>
      </c>
      <c r="B774" s="57" t="s">
        <v>237</v>
      </c>
      <c r="C774" s="57" t="s">
        <v>238</v>
      </c>
      <c r="D774" s="58">
        <v>165.05</v>
      </c>
      <c r="E774" s="59">
        <v>41076</v>
      </c>
      <c r="F774" s="58">
        <v>15164</v>
      </c>
      <c r="G774" s="58">
        <v>2579</v>
      </c>
      <c r="H774" s="58">
        <v>3247</v>
      </c>
      <c r="I774" s="58">
        <v>14446</v>
      </c>
      <c r="J774" s="58">
        <v>0</v>
      </c>
      <c r="K774" s="1">
        <f t="shared" si="78"/>
        <v>535917.35000000009</v>
      </c>
      <c r="L774" s="1">
        <f t="shared" si="79"/>
        <v>3247</v>
      </c>
      <c r="M774" s="1">
        <f>VLOOKUP(B774,'[1]Срок Годности'!$A$2:$B$4,2,0)</f>
        <v>1000</v>
      </c>
      <c r="N774" s="60">
        <f t="shared" si="80"/>
        <v>2579</v>
      </c>
      <c r="O774" s="1" t="str">
        <f t="shared" si="81"/>
        <v>24 2012</v>
      </c>
      <c r="P774" s="1">
        <f t="shared" si="82"/>
        <v>22</v>
      </c>
      <c r="Q774" s="1">
        <f t="shared" ca="1" si="83"/>
        <v>4057</v>
      </c>
      <c r="S774" s="1">
        <f t="shared" si="77"/>
        <v>14446</v>
      </c>
    </row>
    <row r="775" spans="1:19" x14ac:dyDescent="0.2">
      <c r="A775" s="57" t="s">
        <v>230</v>
      </c>
      <c r="B775" s="57" t="s">
        <v>237</v>
      </c>
      <c r="C775" s="57" t="s">
        <v>238</v>
      </c>
      <c r="D775" s="58">
        <v>165.05</v>
      </c>
      <c r="E775" s="59">
        <v>41077</v>
      </c>
      <c r="F775" s="58">
        <v>14446</v>
      </c>
      <c r="G775" s="58">
        <v>3064</v>
      </c>
      <c r="H775" s="58">
        <v>3135</v>
      </c>
      <c r="I775" s="58">
        <v>14358</v>
      </c>
      <c r="J775" s="58">
        <v>0</v>
      </c>
      <c r="K775" s="1">
        <f t="shared" si="78"/>
        <v>517431.75000000006</v>
      </c>
      <c r="L775" s="1">
        <f t="shared" si="79"/>
        <v>3135</v>
      </c>
      <c r="M775" s="1">
        <f>VLOOKUP(B775,'[1]Срок Годности'!$A$2:$B$4,2,0)</f>
        <v>1000</v>
      </c>
      <c r="N775" s="60">
        <f t="shared" si="80"/>
        <v>0</v>
      </c>
      <c r="O775" s="1" t="str">
        <f t="shared" si="81"/>
        <v>25 2012</v>
      </c>
      <c r="P775" s="1">
        <f t="shared" si="82"/>
        <v>22</v>
      </c>
      <c r="Q775" s="1">
        <f t="shared" ca="1" si="83"/>
        <v>4056</v>
      </c>
      <c r="S775" s="1">
        <f t="shared" ref="S775:S838" si="84">I775-J775</f>
        <v>14358</v>
      </c>
    </row>
    <row r="776" spans="1:19" x14ac:dyDescent="0.2">
      <c r="A776" s="57" t="s">
        <v>230</v>
      </c>
      <c r="B776" s="57" t="s">
        <v>237</v>
      </c>
      <c r="C776" s="57" t="s">
        <v>238</v>
      </c>
      <c r="D776" s="58">
        <v>165.05</v>
      </c>
      <c r="E776" s="59">
        <v>41078</v>
      </c>
      <c r="F776" s="58">
        <v>14358</v>
      </c>
      <c r="G776" s="58">
        <v>3359</v>
      </c>
      <c r="H776" s="58">
        <v>2998</v>
      </c>
      <c r="I776" s="58">
        <v>14705</v>
      </c>
      <c r="J776" s="58">
        <v>0</v>
      </c>
      <c r="K776" s="1">
        <f t="shared" ref="K776:K839" si="85">H776*D776</f>
        <v>494819.9</v>
      </c>
      <c r="L776" s="1">
        <f t="shared" ref="L776:L839" si="86">IF(H776&gt;1000,H776,"")</f>
        <v>2998</v>
      </c>
      <c r="M776" s="1">
        <f>VLOOKUP(B776,'[1]Срок Годности'!$A$2:$B$4,2,0)</f>
        <v>1000</v>
      </c>
      <c r="N776" s="60">
        <f t="shared" ref="N776:N839" si="87">IF(WEEKDAY(E776) = 1, 0, G776)</f>
        <v>3359</v>
      </c>
      <c r="O776" s="1" t="str">
        <f t="shared" ref="O776:O839" si="88">WEEKNUM(E776) &amp; " " &amp; YEAR(E776)</f>
        <v>25 2012</v>
      </c>
      <c r="P776" s="1">
        <f t="shared" ref="P776:P839" si="89">LEN(C776)</f>
        <v>22</v>
      </c>
      <c r="Q776" s="1">
        <f t="shared" ref="Q776:Q839" ca="1" si="90">DATEDIF(E776,NOW(),"D")</f>
        <v>4055</v>
      </c>
      <c r="S776" s="1">
        <f t="shared" si="84"/>
        <v>14705</v>
      </c>
    </row>
    <row r="777" spans="1:19" x14ac:dyDescent="0.2">
      <c r="A777" s="57" t="s">
        <v>230</v>
      </c>
      <c r="B777" s="57" t="s">
        <v>237</v>
      </c>
      <c r="C777" s="57" t="s">
        <v>238</v>
      </c>
      <c r="D777" s="58">
        <v>165.05</v>
      </c>
      <c r="E777" s="59">
        <v>41079</v>
      </c>
      <c r="F777" s="58">
        <v>14705</v>
      </c>
      <c r="G777" s="58">
        <v>4335</v>
      </c>
      <c r="H777" s="58">
        <v>3025</v>
      </c>
      <c r="I777" s="58">
        <v>15972</v>
      </c>
      <c r="J777" s="58">
        <v>0</v>
      </c>
      <c r="K777" s="1">
        <f t="shared" si="85"/>
        <v>499276.25000000006</v>
      </c>
      <c r="L777" s="1">
        <f t="shared" si="86"/>
        <v>3025</v>
      </c>
      <c r="M777" s="1">
        <f>VLOOKUP(B777,'[1]Срок Годности'!$A$2:$B$4,2,0)</f>
        <v>1000</v>
      </c>
      <c r="N777" s="60">
        <f t="shared" si="87"/>
        <v>4335</v>
      </c>
      <c r="O777" s="1" t="str">
        <f t="shared" si="88"/>
        <v>25 2012</v>
      </c>
      <c r="P777" s="1">
        <f t="shared" si="89"/>
        <v>22</v>
      </c>
      <c r="Q777" s="1">
        <f t="shared" ca="1" si="90"/>
        <v>4054</v>
      </c>
      <c r="S777" s="1">
        <f t="shared" si="84"/>
        <v>15972</v>
      </c>
    </row>
    <row r="778" spans="1:19" x14ac:dyDescent="0.2">
      <c r="A778" s="57" t="s">
        <v>230</v>
      </c>
      <c r="B778" s="57" t="s">
        <v>237</v>
      </c>
      <c r="C778" s="57" t="s">
        <v>238</v>
      </c>
      <c r="D778" s="58">
        <v>165.05</v>
      </c>
      <c r="E778" s="59">
        <v>41080</v>
      </c>
      <c r="F778" s="58">
        <v>15972</v>
      </c>
      <c r="G778" s="58">
        <v>2722</v>
      </c>
      <c r="H778" s="58">
        <v>3224</v>
      </c>
      <c r="I778" s="58">
        <v>15444</v>
      </c>
      <c r="J778" s="58">
        <v>0</v>
      </c>
      <c r="K778" s="1">
        <f t="shared" si="85"/>
        <v>532121.20000000007</v>
      </c>
      <c r="L778" s="1">
        <f t="shared" si="86"/>
        <v>3224</v>
      </c>
      <c r="M778" s="1">
        <f>VLOOKUP(B778,'[1]Срок Годности'!$A$2:$B$4,2,0)</f>
        <v>1000</v>
      </c>
      <c r="N778" s="60">
        <f t="shared" si="87"/>
        <v>2722</v>
      </c>
      <c r="O778" s="1" t="str">
        <f t="shared" si="88"/>
        <v>25 2012</v>
      </c>
      <c r="P778" s="1">
        <f t="shared" si="89"/>
        <v>22</v>
      </c>
      <c r="Q778" s="1">
        <f t="shared" ca="1" si="90"/>
        <v>4053</v>
      </c>
      <c r="S778" s="1">
        <f t="shared" si="84"/>
        <v>15444</v>
      </c>
    </row>
    <row r="779" spans="1:19" x14ac:dyDescent="0.2">
      <c r="A779" s="57" t="s">
        <v>230</v>
      </c>
      <c r="B779" s="57" t="s">
        <v>237</v>
      </c>
      <c r="C779" s="57" t="s">
        <v>238</v>
      </c>
      <c r="D779" s="58">
        <v>165.05</v>
      </c>
      <c r="E779" s="59">
        <v>41081</v>
      </c>
      <c r="F779" s="58">
        <v>15444</v>
      </c>
      <c r="G779" s="58">
        <v>2580</v>
      </c>
      <c r="H779" s="58">
        <v>3182</v>
      </c>
      <c r="I779" s="58">
        <v>14831</v>
      </c>
      <c r="J779" s="58">
        <v>0</v>
      </c>
      <c r="K779" s="1">
        <f t="shared" si="85"/>
        <v>525189.10000000009</v>
      </c>
      <c r="L779" s="1">
        <f t="shared" si="86"/>
        <v>3182</v>
      </c>
      <c r="M779" s="1">
        <f>VLOOKUP(B779,'[1]Срок Годности'!$A$2:$B$4,2,0)</f>
        <v>1000</v>
      </c>
      <c r="N779" s="60">
        <f t="shared" si="87"/>
        <v>2580</v>
      </c>
      <c r="O779" s="1" t="str">
        <f t="shared" si="88"/>
        <v>25 2012</v>
      </c>
      <c r="P779" s="1">
        <f t="shared" si="89"/>
        <v>22</v>
      </c>
      <c r="Q779" s="1">
        <f t="shared" ca="1" si="90"/>
        <v>4052</v>
      </c>
      <c r="S779" s="1">
        <f t="shared" si="84"/>
        <v>14831</v>
      </c>
    </row>
    <row r="780" spans="1:19" x14ac:dyDescent="0.2">
      <c r="A780" s="57" t="s">
        <v>230</v>
      </c>
      <c r="B780" s="57" t="s">
        <v>237</v>
      </c>
      <c r="C780" s="57" t="s">
        <v>238</v>
      </c>
      <c r="D780" s="58">
        <v>165.05</v>
      </c>
      <c r="E780" s="59">
        <v>41082</v>
      </c>
      <c r="F780" s="58">
        <v>14831</v>
      </c>
      <c r="G780" s="58">
        <v>2819</v>
      </c>
      <c r="H780" s="58">
        <v>3316</v>
      </c>
      <c r="I780" s="58">
        <v>14307</v>
      </c>
      <c r="J780" s="58">
        <v>0</v>
      </c>
      <c r="K780" s="1">
        <f t="shared" si="85"/>
        <v>547305.80000000005</v>
      </c>
      <c r="L780" s="1">
        <f t="shared" si="86"/>
        <v>3316</v>
      </c>
      <c r="M780" s="1">
        <f>VLOOKUP(B780,'[1]Срок Годности'!$A$2:$B$4,2,0)</f>
        <v>1000</v>
      </c>
      <c r="N780" s="60">
        <f t="shared" si="87"/>
        <v>2819</v>
      </c>
      <c r="O780" s="1" t="str">
        <f t="shared" si="88"/>
        <v>25 2012</v>
      </c>
      <c r="P780" s="1">
        <f t="shared" si="89"/>
        <v>22</v>
      </c>
      <c r="Q780" s="1">
        <f t="shared" ca="1" si="90"/>
        <v>4051</v>
      </c>
      <c r="S780" s="1">
        <f t="shared" si="84"/>
        <v>14307</v>
      </c>
    </row>
    <row r="781" spans="1:19" x14ac:dyDescent="0.2">
      <c r="A781" s="57" t="s">
        <v>230</v>
      </c>
      <c r="B781" s="57" t="s">
        <v>237</v>
      </c>
      <c r="C781" s="57" t="s">
        <v>238</v>
      </c>
      <c r="D781" s="58">
        <v>165.05</v>
      </c>
      <c r="E781" s="59">
        <v>41083</v>
      </c>
      <c r="F781" s="58">
        <v>14307</v>
      </c>
      <c r="G781" s="58">
        <v>3328</v>
      </c>
      <c r="H781" s="58">
        <v>3553</v>
      </c>
      <c r="I781" s="58">
        <v>14070</v>
      </c>
      <c r="J781" s="58">
        <v>0</v>
      </c>
      <c r="K781" s="1">
        <f t="shared" si="85"/>
        <v>586422.65</v>
      </c>
      <c r="L781" s="1">
        <f t="shared" si="86"/>
        <v>3553</v>
      </c>
      <c r="M781" s="1">
        <f>VLOOKUP(B781,'[1]Срок Годности'!$A$2:$B$4,2,0)</f>
        <v>1000</v>
      </c>
      <c r="N781" s="60">
        <f t="shared" si="87"/>
        <v>3328</v>
      </c>
      <c r="O781" s="1" t="str">
        <f t="shared" si="88"/>
        <v>25 2012</v>
      </c>
      <c r="P781" s="1">
        <f t="shared" si="89"/>
        <v>22</v>
      </c>
      <c r="Q781" s="1">
        <f t="shared" ca="1" si="90"/>
        <v>4050</v>
      </c>
      <c r="S781" s="1">
        <f t="shared" si="84"/>
        <v>14070</v>
      </c>
    </row>
    <row r="782" spans="1:19" x14ac:dyDescent="0.2">
      <c r="A782" s="57" t="s">
        <v>230</v>
      </c>
      <c r="B782" s="57" t="s">
        <v>237</v>
      </c>
      <c r="C782" s="57" t="s">
        <v>238</v>
      </c>
      <c r="D782" s="58">
        <v>165.05</v>
      </c>
      <c r="E782" s="59">
        <v>41084</v>
      </c>
      <c r="F782" s="58">
        <v>14070</v>
      </c>
      <c r="G782" s="58">
        <v>3446</v>
      </c>
      <c r="H782" s="58">
        <v>3619</v>
      </c>
      <c r="I782" s="58">
        <v>13869</v>
      </c>
      <c r="J782" s="58">
        <v>0</v>
      </c>
      <c r="K782" s="1">
        <f t="shared" si="85"/>
        <v>597315.95000000007</v>
      </c>
      <c r="L782" s="1">
        <f t="shared" si="86"/>
        <v>3619</v>
      </c>
      <c r="M782" s="1">
        <f>VLOOKUP(B782,'[1]Срок Годности'!$A$2:$B$4,2,0)</f>
        <v>1000</v>
      </c>
      <c r="N782" s="60">
        <f t="shared" si="87"/>
        <v>0</v>
      </c>
      <c r="O782" s="1" t="str">
        <f t="shared" si="88"/>
        <v>26 2012</v>
      </c>
      <c r="P782" s="1">
        <f t="shared" si="89"/>
        <v>22</v>
      </c>
      <c r="Q782" s="1">
        <f t="shared" ca="1" si="90"/>
        <v>4049</v>
      </c>
      <c r="S782" s="1">
        <f t="shared" si="84"/>
        <v>13869</v>
      </c>
    </row>
    <row r="783" spans="1:19" x14ac:dyDescent="0.2">
      <c r="A783" s="57" t="s">
        <v>230</v>
      </c>
      <c r="B783" s="57" t="s">
        <v>237</v>
      </c>
      <c r="C783" s="57" t="s">
        <v>238</v>
      </c>
      <c r="D783" s="58">
        <v>165.05</v>
      </c>
      <c r="E783" s="59">
        <v>41085</v>
      </c>
      <c r="F783" s="58">
        <v>13869</v>
      </c>
      <c r="G783" s="58">
        <v>3720</v>
      </c>
      <c r="H783" s="58">
        <v>3105</v>
      </c>
      <c r="I783" s="58">
        <v>14409</v>
      </c>
      <c r="J783" s="58">
        <v>0</v>
      </c>
      <c r="K783" s="1">
        <f t="shared" si="85"/>
        <v>512480.25000000006</v>
      </c>
      <c r="L783" s="1">
        <f t="shared" si="86"/>
        <v>3105</v>
      </c>
      <c r="M783" s="1">
        <f>VLOOKUP(B783,'[1]Срок Годности'!$A$2:$B$4,2,0)</f>
        <v>1000</v>
      </c>
      <c r="N783" s="60">
        <f t="shared" si="87"/>
        <v>3720</v>
      </c>
      <c r="O783" s="1" t="str">
        <f t="shared" si="88"/>
        <v>26 2012</v>
      </c>
      <c r="P783" s="1">
        <f t="shared" si="89"/>
        <v>22</v>
      </c>
      <c r="Q783" s="1">
        <f t="shared" ca="1" si="90"/>
        <v>4048</v>
      </c>
      <c r="S783" s="1">
        <f t="shared" si="84"/>
        <v>14409</v>
      </c>
    </row>
    <row r="784" spans="1:19" x14ac:dyDescent="0.2">
      <c r="A784" s="57" t="s">
        <v>230</v>
      </c>
      <c r="B784" s="57" t="s">
        <v>237</v>
      </c>
      <c r="C784" s="57" t="s">
        <v>238</v>
      </c>
      <c r="D784" s="58">
        <v>165.05</v>
      </c>
      <c r="E784" s="59">
        <v>41086</v>
      </c>
      <c r="F784" s="58">
        <v>14409</v>
      </c>
      <c r="G784" s="58">
        <v>3711</v>
      </c>
      <c r="H784" s="58">
        <v>3126</v>
      </c>
      <c r="I784" s="58">
        <v>14959</v>
      </c>
      <c r="J784" s="58">
        <v>0</v>
      </c>
      <c r="K784" s="1">
        <f t="shared" si="85"/>
        <v>515946.30000000005</v>
      </c>
      <c r="L784" s="1">
        <f t="shared" si="86"/>
        <v>3126</v>
      </c>
      <c r="M784" s="1">
        <f>VLOOKUP(B784,'[1]Срок Годности'!$A$2:$B$4,2,0)</f>
        <v>1000</v>
      </c>
      <c r="N784" s="60">
        <f t="shared" si="87"/>
        <v>3711</v>
      </c>
      <c r="O784" s="1" t="str">
        <f t="shared" si="88"/>
        <v>26 2012</v>
      </c>
      <c r="P784" s="1">
        <f t="shared" si="89"/>
        <v>22</v>
      </c>
      <c r="Q784" s="1">
        <f t="shared" ca="1" si="90"/>
        <v>4047</v>
      </c>
      <c r="S784" s="1">
        <f t="shared" si="84"/>
        <v>14959</v>
      </c>
    </row>
    <row r="785" spans="1:19" x14ac:dyDescent="0.2">
      <c r="A785" s="57" t="s">
        <v>230</v>
      </c>
      <c r="B785" s="57" t="s">
        <v>237</v>
      </c>
      <c r="C785" s="57" t="s">
        <v>238</v>
      </c>
      <c r="D785" s="58">
        <v>165.05</v>
      </c>
      <c r="E785" s="59">
        <v>41087</v>
      </c>
      <c r="F785" s="58">
        <v>14959</v>
      </c>
      <c r="G785" s="58">
        <v>3059</v>
      </c>
      <c r="H785" s="58">
        <v>2840</v>
      </c>
      <c r="I785" s="58">
        <v>15152</v>
      </c>
      <c r="J785" s="58">
        <v>0</v>
      </c>
      <c r="K785" s="1">
        <f t="shared" si="85"/>
        <v>468742.00000000006</v>
      </c>
      <c r="L785" s="1">
        <f t="shared" si="86"/>
        <v>2840</v>
      </c>
      <c r="M785" s="1">
        <f>VLOOKUP(B785,'[1]Срок Годности'!$A$2:$B$4,2,0)</f>
        <v>1000</v>
      </c>
      <c r="N785" s="60">
        <f t="shared" si="87"/>
        <v>3059</v>
      </c>
      <c r="O785" s="1" t="str">
        <f t="shared" si="88"/>
        <v>26 2012</v>
      </c>
      <c r="P785" s="1">
        <f t="shared" si="89"/>
        <v>22</v>
      </c>
      <c r="Q785" s="1">
        <f t="shared" ca="1" si="90"/>
        <v>4046</v>
      </c>
      <c r="S785" s="1">
        <f t="shared" si="84"/>
        <v>15152</v>
      </c>
    </row>
    <row r="786" spans="1:19" x14ac:dyDescent="0.2">
      <c r="A786" s="57" t="s">
        <v>230</v>
      </c>
      <c r="B786" s="57" t="s">
        <v>237</v>
      </c>
      <c r="C786" s="57" t="s">
        <v>238</v>
      </c>
      <c r="D786" s="58">
        <v>165.05</v>
      </c>
      <c r="E786" s="59">
        <v>41088</v>
      </c>
      <c r="F786" s="58">
        <v>15152</v>
      </c>
      <c r="G786" s="58">
        <v>3529</v>
      </c>
      <c r="H786" s="58">
        <v>2960</v>
      </c>
      <c r="I786" s="58">
        <v>15725</v>
      </c>
      <c r="J786" s="58">
        <v>0</v>
      </c>
      <c r="K786" s="1">
        <f t="shared" si="85"/>
        <v>488548.00000000006</v>
      </c>
      <c r="L786" s="1">
        <f t="shared" si="86"/>
        <v>2960</v>
      </c>
      <c r="M786" s="1">
        <f>VLOOKUP(B786,'[1]Срок Годности'!$A$2:$B$4,2,0)</f>
        <v>1000</v>
      </c>
      <c r="N786" s="60">
        <f t="shared" si="87"/>
        <v>3529</v>
      </c>
      <c r="O786" s="1" t="str">
        <f t="shared" si="88"/>
        <v>26 2012</v>
      </c>
      <c r="P786" s="1">
        <f t="shared" si="89"/>
        <v>22</v>
      </c>
      <c r="Q786" s="1">
        <f t="shared" ca="1" si="90"/>
        <v>4045</v>
      </c>
      <c r="S786" s="1">
        <f t="shared" si="84"/>
        <v>15725</v>
      </c>
    </row>
    <row r="787" spans="1:19" x14ac:dyDescent="0.2">
      <c r="A787" s="57" t="s">
        <v>230</v>
      </c>
      <c r="B787" s="57" t="s">
        <v>237</v>
      </c>
      <c r="C787" s="57" t="s">
        <v>238</v>
      </c>
      <c r="D787" s="58">
        <v>165.05</v>
      </c>
      <c r="E787" s="59">
        <v>41089</v>
      </c>
      <c r="F787" s="58">
        <v>15725</v>
      </c>
      <c r="G787" s="58">
        <v>2529</v>
      </c>
      <c r="H787" s="58">
        <v>3076</v>
      </c>
      <c r="I787" s="58">
        <v>15167</v>
      </c>
      <c r="J787" s="58">
        <v>0</v>
      </c>
      <c r="K787" s="1">
        <f t="shared" si="85"/>
        <v>507693.80000000005</v>
      </c>
      <c r="L787" s="1">
        <f t="shared" si="86"/>
        <v>3076</v>
      </c>
      <c r="M787" s="1">
        <f>VLOOKUP(B787,'[1]Срок Годности'!$A$2:$B$4,2,0)</f>
        <v>1000</v>
      </c>
      <c r="N787" s="60">
        <f t="shared" si="87"/>
        <v>2529</v>
      </c>
      <c r="O787" s="1" t="str">
        <f t="shared" si="88"/>
        <v>26 2012</v>
      </c>
      <c r="P787" s="1">
        <f t="shared" si="89"/>
        <v>22</v>
      </c>
      <c r="Q787" s="1">
        <f t="shared" ca="1" si="90"/>
        <v>4044</v>
      </c>
      <c r="S787" s="1">
        <f t="shared" si="84"/>
        <v>15167</v>
      </c>
    </row>
    <row r="788" spans="1:19" x14ac:dyDescent="0.2">
      <c r="A788" s="57" t="s">
        <v>230</v>
      </c>
      <c r="B788" s="57" t="s">
        <v>237</v>
      </c>
      <c r="C788" s="57" t="s">
        <v>238</v>
      </c>
      <c r="D788" s="58">
        <v>165.05</v>
      </c>
      <c r="E788" s="59">
        <v>41090</v>
      </c>
      <c r="F788" s="58">
        <v>15167</v>
      </c>
      <c r="G788" s="58">
        <v>2718</v>
      </c>
      <c r="H788" s="58">
        <v>3760</v>
      </c>
      <c r="I788" s="58">
        <v>14191</v>
      </c>
      <c r="J788" s="58">
        <v>1</v>
      </c>
      <c r="K788" s="1">
        <f t="shared" si="85"/>
        <v>620588</v>
      </c>
      <c r="L788" s="1">
        <f t="shared" si="86"/>
        <v>3760</v>
      </c>
      <c r="M788" s="1">
        <f>VLOOKUP(B788,'[1]Срок Годности'!$A$2:$B$4,2,0)</f>
        <v>1000</v>
      </c>
      <c r="N788" s="60">
        <f t="shared" si="87"/>
        <v>2718</v>
      </c>
      <c r="O788" s="1" t="str">
        <f t="shared" si="88"/>
        <v>26 2012</v>
      </c>
      <c r="P788" s="1">
        <f t="shared" si="89"/>
        <v>22</v>
      </c>
      <c r="Q788" s="1">
        <f t="shared" ca="1" si="90"/>
        <v>4043</v>
      </c>
      <c r="S788" s="1">
        <f t="shared" si="84"/>
        <v>14190</v>
      </c>
    </row>
    <row r="789" spans="1:19" x14ac:dyDescent="0.2">
      <c r="A789" s="57" t="s">
        <v>230</v>
      </c>
      <c r="B789" s="57" t="s">
        <v>237</v>
      </c>
      <c r="C789" s="57" t="s">
        <v>238</v>
      </c>
      <c r="D789" s="58">
        <v>165.05</v>
      </c>
      <c r="E789" s="59">
        <v>41091</v>
      </c>
      <c r="F789" s="58">
        <v>14191</v>
      </c>
      <c r="G789" s="58">
        <v>2462</v>
      </c>
      <c r="H789" s="58">
        <v>3322</v>
      </c>
      <c r="I789" s="58">
        <v>13347</v>
      </c>
      <c r="J789" s="58">
        <v>0</v>
      </c>
      <c r="K789" s="1">
        <f t="shared" si="85"/>
        <v>548296.10000000009</v>
      </c>
      <c r="L789" s="1">
        <f t="shared" si="86"/>
        <v>3322</v>
      </c>
      <c r="M789" s="1">
        <f>VLOOKUP(B789,'[1]Срок Годности'!$A$2:$B$4,2,0)</f>
        <v>1000</v>
      </c>
      <c r="N789" s="60">
        <f t="shared" si="87"/>
        <v>0</v>
      </c>
      <c r="O789" s="1" t="str">
        <f t="shared" si="88"/>
        <v>27 2012</v>
      </c>
      <c r="P789" s="1">
        <f t="shared" si="89"/>
        <v>22</v>
      </c>
      <c r="Q789" s="1">
        <f t="shared" ca="1" si="90"/>
        <v>4042</v>
      </c>
      <c r="S789" s="1">
        <f t="shared" si="84"/>
        <v>13347</v>
      </c>
    </row>
    <row r="790" spans="1:19" x14ac:dyDescent="0.2">
      <c r="A790" s="57" t="s">
        <v>230</v>
      </c>
      <c r="B790" s="57" t="s">
        <v>237</v>
      </c>
      <c r="C790" s="57" t="s">
        <v>238</v>
      </c>
      <c r="D790" s="58">
        <v>165.05</v>
      </c>
      <c r="E790" s="59">
        <v>41092</v>
      </c>
      <c r="F790" s="58">
        <v>13347</v>
      </c>
      <c r="G790" s="58">
        <v>4126</v>
      </c>
      <c r="H790" s="58">
        <v>3069</v>
      </c>
      <c r="I790" s="58">
        <v>14363</v>
      </c>
      <c r="J790" s="58">
        <v>0</v>
      </c>
      <c r="K790" s="1">
        <f t="shared" si="85"/>
        <v>506538.45</v>
      </c>
      <c r="L790" s="1">
        <f t="shared" si="86"/>
        <v>3069</v>
      </c>
      <c r="M790" s="1">
        <f>VLOOKUP(B790,'[1]Срок Годности'!$A$2:$B$4,2,0)</f>
        <v>1000</v>
      </c>
      <c r="N790" s="60">
        <f t="shared" si="87"/>
        <v>4126</v>
      </c>
      <c r="O790" s="1" t="str">
        <f t="shared" si="88"/>
        <v>27 2012</v>
      </c>
      <c r="P790" s="1">
        <f t="shared" si="89"/>
        <v>22</v>
      </c>
      <c r="Q790" s="1">
        <f t="shared" ca="1" si="90"/>
        <v>4041</v>
      </c>
      <c r="S790" s="1">
        <f t="shared" si="84"/>
        <v>14363</v>
      </c>
    </row>
    <row r="791" spans="1:19" x14ac:dyDescent="0.2">
      <c r="A791" s="57" t="s">
        <v>230</v>
      </c>
      <c r="B791" s="57" t="s">
        <v>237</v>
      </c>
      <c r="C791" s="57" t="s">
        <v>238</v>
      </c>
      <c r="D791" s="58">
        <v>165.05</v>
      </c>
      <c r="E791" s="59">
        <v>41093</v>
      </c>
      <c r="F791" s="58">
        <v>14363</v>
      </c>
      <c r="G791" s="58">
        <v>3257</v>
      </c>
      <c r="H791" s="58">
        <v>2997</v>
      </c>
      <c r="I791" s="58">
        <v>14559</v>
      </c>
      <c r="J791" s="58">
        <v>0</v>
      </c>
      <c r="K791" s="1">
        <f t="shared" si="85"/>
        <v>494654.85000000003</v>
      </c>
      <c r="L791" s="1">
        <f t="shared" si="86"/>
        <v>2997</v>
      </c>
      <c r="M791" s="1">
        <f>VLOOKUP(B791,'[1]Срок Годности'!$A$2:$B$4,2,0)</f>
        <v>1000</v>
      </c>
      <c r="N791" s="60">
        <f t="shared" si="87"/>
        <v>3257</v>
      </c>
      <c r="O791" s="1" t="str">
        <f t="shared" si="88"/>
        <v>27 2012</v>
      </c>
      <c r="P791" s="1">
        <f t="shared" si="89"/>
        <v>22</v>
      </c>
      <c r="Q791" s="1">
        <f t="shared" ca="1" si="90"/>
        <v>4040</v>
      </c>
      <c r="S791" s="1">
        <f t="shared" si="84"/>
        <v>14559</v>
      </c>
    </row>
    <row r="792" spans="1:19" x14ac:dyDescent="0.2">
      <c r="A792" s="57" t="s">
        <v>230</v>
      </c>
      <c r="B792" s="57" t="s">
        <v>237</v>
      </c>
      <c r="C792" s="57" t="s">
        <v>238</v>
      </c>
      <c r="D792" s="58">
        <v>165.05</v>
      </c>
      <c r="E792" s="59">
        <v>41094</v>
      </c>
      <c r="F792" s="58">
        <v>14559</v>
      </c>
      <c r="G792" s="58">
        <v>2776</v>
      </c>
      <c r="H792" s="58">
        <v>2840</v>
      </c>
      <c r="I792" s="58">
        <v>14471</v>
      </c>
      <c r="J792" s="58">
        <v>0</v>
      </c>
      <c r="K792" s="1">
        <f t="shared" si="85"/>
        <v>468742.00000000006</v>
      </c>
      <c r="L792" s="1">
        <f t="shared" si="86"/>
        <v>2840</v>
      </c>
      <c r="M792" s="1">
        <f>VLOOKUP(B792,'[1]Срок Годности'!$A$2:$B$4,2,0)</f>
        <v>1000</v>
      </c>
      <c r="N792" s="60">
        <f t="shared" si="87"/>
        <v>2776</v>
      </c>
      <c r="O792" s="1" t="str">
        <f t="shared" si="88"/>
        <v>27 2012</v>
      </c>
      <c r="P792" s="1">
        <f t="shared" si="89"/>
        <v>22</v>
      </c>
      <c r="Q792" s="1">
        <f t="shared" ca="1" si="90"/>
        <v>4039</v>
      </c>
      <c r="S792" s="1">
        <f t="shared" si="84"/>
        <v>14471</v>
      </c>
    </row>
    <row r="793" spans="1:19" x14ac:dyDescent="0.2">
      <c r="A793" s="57" t="s">
        <v>230</v>
      </c>
      <c r="B793" s="57" t="s">
        <v>237</v>
      </c>
      <c r="C793" s="57" t="s">
        <v>238</v>
      </c>
      <c r="D793" s="58">
        <v>165.05</v>
      </c>
      <c r="E793" s="59">
        <v>41095</v>
      </c>
      <c r="F793" s="58">
        <v>14471</v>
      </c>
      <c r="G793" s="58">
        <v>3063</v>
      </c>
      <c r="H793" s="58">
        <v>2849</v>
      </c>
      <c r="I793" s="58">
        <v>14616</v>
      </c>
      <c r="J793" s="58">
        <v>0</v>
      </c>
      <c r="K793" s="1">
        <f t="shared" si="85"/>
        <v>470227.45</v>
      </c>
      <c r="L793" s="1">
        <f t="shared" si="86"/>
        <v>2849</v>
      </c>
      <c r="M793" s="1">
        <f>VLOOKUP(B793,'[1]Срок Годности'!$A$2:$B$4,2,0)</f>
        <v>1000</v>
      </c>
      <c r="N793" s="60">
        <f t="shared" si="87"/>
        <v>3063</v>
      </c>
      <c r="O793" s="1" t="str">
        <f t="shared" si="88"/>
        <v>27 2012</v>
      </c>
      <c r="P793" s="1">
        <f t="shared" si="89"/>
        <v>22</v>
      </c>
      <c r="Q793" s="1">
        <f t="shared" ca="1" si="90"/>
        <v>4038</v>
      </c>
      <c r="S793" s="1">
        <f t="shared" si="84"/>
        <v>14616</v>
      </c>
    </row>
    <row r="794" spans="1:19" x14ac:dyDescent="0.2">
      <c r="A794" s="57" t="s">
        <v>230</v>
      </c>
      <c r="B794" s="57" t="s">
        <v>237</v>
      </c>
      <c r="C794" s="57" t="s">
        <v>238</v>
      </c>
      <c r="D794" s="58">
        <v>165.05</v>
      </c>
      <c r="E794" s="59">
        <v>41096</v>
      </c>
      <c r="F794" s="58">
        <v>14616</v>
      </c>
      <c r="G794" s="58">
        <v>2513</v>
      </c>
      <c r="H794" s="58">
        <v>2880</v>
      </c>
      <c r="I794" s="58">
        <v>14187</v>
      </c>
      <c r="J794" s="58">
        <v>0</v>
      </c>
      <c r="K794" s="1">
        <f t="shared" si="85"/>
        <v>475344.00000000006</v>
      </c>
      <c r="L794" s="1">
        <f t="shared" si="86"/>
        <v>2880</v>
      </c>
      <c r="M794" s="1">
        <f>VLOOKUP(B794,'[1]Срок Годности'!$A$2:$B$4,2,0)</f>
        <v>1000</v>
      </c>
      <c r="N794" s="60">
        <f t="shared" si="87"/>
        <v>2513</v>
      </c>
      <c r="O794" s="1" t="str">
        <f t="shared" si="88"/>
        <v>27 2012</v>
      </c>
      <c r="P794" s="1">
        <f t="shared" si="89"/>
        <v>22</v>
      </c>
      <c r="Q794" s="1">
        <f t="shared" ca="1" si="90"/>
        <v>4037</v>
      </c>
      <c r="S794" s="1">
        <f t="shared" si="84"/>
        <v>14187</v>
      </c>
    </row>
    <row r="795" spans="1:19" x14ac:dyDescent="0.2">
      <c r="A795" s="57" t="s">
        <v>230</v>
      </c>
      <c r="B795" s="57" t="s">
        <v>237</v>
      </c>
      <c r="C795" s="57" t="s">
        <v>238</v>
      </c>
      <c r="D795" s="58">
        <v>165.05</v>
      </c>
      <c r="E795" s="59">
        <v>41097</v>
      </c>
      <c r="F795" s="58">
        <v>14187</v>
      </c>
      <c r="G795" s="58">
        <v>3068</v>
      </c>
      <c r="H795" s="58">
        <v>3143</v>
      </c>
      <c r="I795" s="58">
        <v>14085</v>
      </c>
      <c r="J795" s="58">
        <v>0</v>
      </c>
      <c r="K795" s="1">
        <f t="shared" si="85"/>
        <v>518752.15</v>
      </c>
      <c r="L795" s="1">
        <f t="shared" si="86"/>
        <v>3143</v>
      </c>
      <c r="M795" s="1">
        <f>VLOOKUP(B795,'[1]Срок Годности'!$A$2:$B$4,2,0)</f>
        <v>1000</v>
      </c>
      <c r="N795" s="60">
        <f t="shared" si="87"/>
        <v>3068</v>
      </c>
      <c r="O795" s="1" t="str">
        <f t="shared" si="88"/>
        <v>27 2012</v>
      </c>
      <c r="P795" s="1">
        <f t="shared" si="89"/>
        <v>22</v>
      </c>
      <c r="Q795" s="1">
        <f t="shared" ca="1" si="90"/>
        <v>4036</v>
      </c>
      <c r="S795" s="1">
        <f t="shared" si="84"/>
        <v>14085</v>
      </c>
    </row>
    <row r="796" spans="1:19" x14ac:dyDescent="0.2">
      <c r="A796" s="57" t="s">
        <v>230</v>
      </c>
      <c r="B796" s="57" t="s">
        <v>237</v>
      </c>
      <c r="C796" s="57" t="s">
        <v>238</v>
      </c>
      <c r="D796" s="58">
        <v>165.05</v>
      </c>
      <c r="E796" s="59">
        <v>41098</v>
      </c>
      <c r="F796" s="58">
        <v>14085</v>
      </c>
      <c r="G796" s="58">
        <v>2926</v>
      </c>
      <c r="H796" s="58">
        <v>2759</v>
      </c>
      <c r="I796" s="58">
        <v>14144</v>
      </c>
      <c r="J796" s="58">
        <v>0</v>
      </c>
      <c r="K796" s="1">
        <f t="shared" si="85"/>
        <v>455372.95</v>
      </c>
      <c r="L796" s="1">
        <f t="shared" si="86"/>
        <v>2759</v>
      </c>
      <c r="M796" s="1">
        <f>VLOOKUP(B796,'[1]Срок Годности'!$A$2:$B$4,2,0)</f>
        <v>1000</v>
      </c>
      <c r="N796" s="60">
        <f t="shared" si="87"/>
        <v>0</v>
      </c>
      <c r="O796" s="1" t="str">
        <f t="shared" si="88"/>
        <v>28 2012</v>
      </c>
      <c r="P796" s="1">
        <f t="shared" si="89"/>
        <v>22</v>
      </c>
      <c r="Q796" s="1">
        <f t="shared" ca="1" si="90"/>
        <v>4035</v>
      </c>
      <c r="S796" s="1">
        <f t="shared" si="84"/>
        <v>14144</v>
      </c>
    </row>
    <row r="797" spans="1:19" x14ac:dyDescent="0.2">
      <c r="A797" s="57" t="s">
        <v>230</v>
      </c>
      <c r="B797" s="57" t="s">
        <v>237</v>
      </c>
      <c r="C797" s="57" t="s">
        <v>238</v>
      </c>
      <c r="D797" s="58">
        <v>165.05</v>
      </c>
      <c r="E797" s="59">
        <v>41099</v>
      </c>
      <c r="F797" s="58">
        <v>14144</v>
      </c>
      <c r="G797" s="58">
        <v>3050</v>
      </c>
      <c r="H797" s="58">
        <v>2530</v>
      </c>
      <c r="I797" s="58">
        <v>14611</v>
      </c>
      <c r="J797" s="58">
        <v>0</v>
      </c>
      <c r="K797" s="1">
        <f t="shared" si="85"/>
        <v>417576.5</v>
      </c>
      <c r="L797" s="1">
        <f t="shared" si="86"/>
        <v>2530</v>
      </c>
      <c r="M797" s="1">
        <f>VLOOKUP(B797,'[1]Срок Годности'!$A$2:$B$4,2,0)</f>
        <v>1000</v>
      </c>
      <c r="N797" s="60">
        <f t="shared" si="87"/>
        <v>3050</v>
      </c>
      <c r="O797" s="1" t="str">
        <f t="shared" si="88"/>
        <v>28 2012</v>
      </c>
      <c r="P797" s="1">
        <f t="shared" si="89"/>
        <v>22</v>
      </c>
      <c r="Q797" s="1">
        <f t="shared" ca="1" si="90"/>
        <v>4034</v>
      </c>
      <c r="S797" s="1">
        <f t="shared" si="84"/>
        <v>14611</v>
      </c>
    </row>
    <row r="798" spans="1:19" x14ac:dyDescent="0.2">
      <c r="A798" s="57" t="s">
        <v>230</v>
      </c>
      <c r="B798" s="57" t="s">
        <v>237</v>
      </c>
      <c r="C798" s="57" t="s">
        <v>238</v>
      </c>
      <c r="D798" s="58">
        <v>165.05</v>
      </c>
      <c r="E798" s="59">
        <v>41100</v>
      </c>
      <c r="F798" s="58">
        <v>14611</v>
      </c>
      <c r="G798" s="58">
        <v>2350</v>
      </c>
      <c r="H798" s="58">
        <v>2408</v>
      </c>
      <c r="I798" s="58">
        <v>14476</v>
      </c>
      <c r="J798" s="58">
        <v>0</v>
      </c>
      <c r="K798" s="1">
        <f t="shared" si="85"/>
        <v>397440.4</v>
      </c>
      <c r="L798" s="1">
        <f t="shared" si="86"/>
        <v>2408</v>
      </c>
      <c r="M798" s="1">
        <f>VLOOKUP(B798,'[1]Срок Годности'!$A$2:$B$4,2,0)</f>
        <v>1000</v>
      </c>
      <c r="N798" s="60">
        <f t="shared" si="87"/>
        <v>2350</v>
      </c>
      <c r="O798" s="1" t="str">
        <f t="shared" si="88"/>
        <v>28 2012</v>
      </c>
      <c r="P798" s="1">
        <f t="shared" si="89"/>
        <v>22</v>
      </c>
      <c r="Q798" s="1">
        <f t="shared" ca="1" si="90"/>
        <v>4033</v>
      </c>
      <c r="S798" s="1">
        <f t="shared" si="84"/>
        <v>14476</v>
      </c>
    </row>
    <row r="799" spans="1:19" x14ac:dyDescent="0.2">
      <c r="A799" s="57" t="s">
        <v>230</v>
      </c>
      <c r="B799" s="57" t="s">
        <v>237</v>
      </c>
      <c r="C799" s="57" t="s">
        <v>238</v>
      </c>
      <c r="D799" s="58">
        <v>165.05</v>
      </c>
      <c r="E799" s="59">
        <v>41101</v>
      </c>
      <c r="F799" s="58">
        <v>14476</v>
      </c>
      <c r="G799" s="58">
        <v>2125</v>
      </c>
      <c r="H799" s="58">
        <v>2178</v>
      </c>
      <c r="I799" s="58">
        <v>14331</v>
      </c>
      <c r="J799" s="58">
        <v>0</v>
      </c>
      <c r="K799" s="1">
        <f t="shared" si="85"/>
        <v>359478.9</v>
      </c>
      <c r="L799" s="1">
        <f t="shared" si="86"/>
        <v>2178</v>
      </c>
      <c r="M799" s="1">
        <f>VLOOKUP(B799,'[1]Срок Годности'!$A$2:$B$4,2,0)</f>
        <v>1000</v>
      </c>
      <c r="N799" s="60">
        <f t="shared" si="87"/>
        <v>2125</v>
      </c>
      <c r="O799" s="1" t="str">
        <f t="shared" si="88"/>
        <v>28 2012</v>
      </c>
      <c r="P799" s="1">
        <f t="shared" si="89"/>
        <v>22</v>
      </c>
      <c r="Q799" s="1">
        <f t="shared" ca="1" si="90"/>
        <v>4032</v>
      </c>
      <c r="S799" s="1">
        <f t="shared" si="84"/>
        <v>14331</v>
      </c>
    </row>
    <row r="800" spans="1:19" x14ac:dyDescent="0.2">
      <c r="A800" s="57" t="s">
        <v>230</v>
      </c>
      <c r="B800" s="57" t="s">
        <v>237</v>
      </c>
      <c r="C800" s="57" t="s">
        <v>238</v>
      </c>
      <c r="D800" s="58">
        <v>165.05</v>
      </c>
      <c r="E800" s="59">
        <v>41102</v>
      </c>
      <c r="F800" s="58">
        <v>14331</v>
      </c>
      <c r="G800" s="58">
        <v>2057</v>
      </c>
      <c r="H800" s="58">
        <v>2178</v>
      </c>
      <c r="I800" s="58">
        <v>14113</v>
      </c>
      <c r="J800" s="58">
        <v>0</v>
      </c>
      <c r="K800" s="1">
        <f t="shared" si="85"/>
        <v>359478.9</v>
      </c>
      <c r="L800" s="1">
        <f t="shared" si="86"/>
        <v>2178</v>
      </c>
      <c r="M800" s="1">
        <f>VLOOKUP(B800,'[1]Срок Годности'!$A$2:$B$4,2,0)</f>
        <v>1000</v>
      </c>
      <c r="N800" s="60">
        <f t="shared" si="87"/>
        <v>2057</v>
      </c>
      <c r="O800" s="1" t="str">
        <f t="shared" si="88"/>
        <v>28 2012</v>
      </c>
      <c r="P800" s="1">
        <f t="shared" si="89"/>
        <v>22</v>
      </c>
      <c r="Q800" s="1">
        <f t="shared" ca="1" si="90"/>
        <v>4031</v>
      </c>
      <c r="S800" s="1">
        <f t="shared" si="84"/>
        <v>14113</v>
      </c>
    </row>
    <row r="801" spans="1:19" x14ac:dyDescent="0.2">
      <c r="A801" s="57" t="s">
        <v>230</v>
      </c>
      <c r="B801" s="57" t="s">
        <v>237</v>
      </c>
      <c r="C801" s="57" t="s">
        <v>238</v>
      </c>
      <c r="D801" s="58">
        <v>165.05</v>
      </c>
      <c r="E801" s="59">
        <v>41103</v>
      </c>
      <c r="F801" s="58">
        <v>14113</v>
      </c>
      <c r="G801" s="58">
        <v>1920</v>
      </c>
      <c r="H801" s="58">
        <v>2182</v>
      </c>
      <c r="I801" s="58">
        <v>13773</v>
      </c>
      <c r="J801" s="58">
        <v>0</v>
      </c>
      <c r="K801" s="1">
        <f t="shared" si="85"/>
        <v>360139.10000000003</v>
      </c>
      <c r="L801" s="1">
        <f t="shared" si="86"/>
        <v>2182</v>
      </c>
      <c r="M801" s="1">
        <f>VLOOKUP(B801,'[1]Срок Годности'!$A$2:$B$4,2,0)</f>
        <v>1000</v>
      </c>
      <c r="N801" s="60">
        <f t="shared" si="87"/>
        <v>1920</v>
      </c>
      <c r="O801" s="1" t="str">
        <f t="shared" si="88"/>
        <v>28 2012</v>
      </c>
      <c r="P801" s="1">
        <f t="shared" si="89"/>
        <v>22</v>
      </c>
      <c r="Q801" s="1">
        <f t="shared" ca="1" si="90"/>
        <v>4030</v>
      </c>
      <c r="S801" s="1">
        <f t="shared" si="84"/>
        <v>13773</v>
      </c>
    </row>
    <row r="802" spans="1:19" x14ac:dyDescent="0.2">
      <c r="A802" s="57" t="s">
        <v>230</v>
      </c>
      <c r="B802" s="57" t="s">
        <v>237</v>
      </c>
      <c r="C802" s="57" t="s">
        <v>238</v>
      </c>
      <c r="D802" s="58">
        <v>165.05</v>
      </c>
      <c r="E802" s="59">
        <v>41104</v>
      </c>
      <c r="F802" s="58">
        <v>13773</v>
      </c>
      <c r="G802" s="58">
        <v>1672</v>
      </c>
      <c r="H802" s="58">
        <v>2396</v>
      </c>
      <c r="I802" s="58">
        <v>12965</v>
      </c>
      <c r="J802" s="58">
        <v>0</v>
      </c>
      <c r="K802" s="1">
        <f t="shared" si="85"/>
        <v>395459.80000000005</v>
      </c>
      <c r="L802" s="1">
        <f t="shared" si="86"/>
        <v>2396</v>
      </c>
      <c r="M802" s="1">
        <f>VLOOKUP(B802,'[1]Срок Годности'!$A$2:$B$4,2,0)</f>
        <v>1000</v>
      </c>
      <c r="N802" s="60">
        <f t="shared" si="87"/>
        <v>1672</v>
      </c>
      <c r="O802" s="1" t="str">
        <f t="shared" si="88"/>
        <v>28 2012</v>
      </c>
      <c r="P802" s="1">
        <f t="shared" si="89"/>
        <v>22</v>
      </c>
      <c r="Q802" s="1">
        <f t="shared" ca="1" si="90"/>
        <v>4029</v>
      </c>
      <c r="S802" s="1">
        <f t="shared" si="84"/>
        <v>12965</v>
      </c>
    </row>
    <row r="803" spans="1:19" x14ac:dyDescent="0.2">
      <c r="A803" s="57" t="s">
        <v>230</v>
      </c>
      <c r="B803" s="57" t="s">
        <v>237</v>
      </c>
      <c r="C803" s="57" t="s">
        <v>238</v>
      </c>
      <c r="D803" s="58">
        <v>165.05</v>
      </c>
      <c r="E803" s="59">
        <v>41105</v>
      </c>
      <c r="F803" s="58">
        <v>12965</v>
      </c>
      <c r="G803" s="58">
        <v>1850</v>
      </c>
      <c r="H803" s="58">
        <v>2280</v>
      </c>
      <c r="I803" s="58">
        <v>12503</v>
      </c>
      <c r="J803" s="58">
        <v>0</v>
      </c>
      <c r="K803" s="1">
        <f t="shared" si="85"/>
        <v>376314</v>
      </c>
      <c r="L803" s="1">
        <f t="shared" si="86"/>
        <v>2280</v>
      </c>
      <c r="M803" s="1">
        <f>VLOOKUP(B803,'[1]Срок Годности'!$A$2:$B$4,2,0)</f>
        <v>1000</v>
      </c>
      <c r="N803" s="60">
        <f t="shared" si="87"/>
        <v>0</v>
      </c>
      <c r="O803" s="1" t="str">
        <f t="shared" si="88"/>
        <v>29 2012</v>
      </c>
      <c r="P803" s="1">
        <f t="shared" si="89"/>
        <v>22</v>
      </c>
      <c r="Q803" s="1">
        <f t="shared" ca="1" si="90"/>
        <v>4028</v>
      </c>
      <c r="S803" s="1">
        <f t="shared" si="84"/>
        <v>12503</v>
      </c>
    </row>
    <row r="804" spans="1:19" x14ac:dyDescent="0.2">
      <c r="A804" s="57" t="s">
        <v>230</v>
      </c>
      <c r="B804" s="57" t="s">
        <v>237</v>
      </c>
      <c r="C804" s="57" t="s">
        <v>238</v>
      </c>
      <c r="D804" s="58">
        <v>165.05</v>
      </c>
      <c r="E804" s="59">
        <v>41106</v>
      </c>
      <c r="F804" s="58">
        <v>12503</v>
      </c>
      <c r="G804" s="58">
        <v>1845</v>
      </c>
      <c r="H804" s="58">
        <v>2319</v>
      </c>
      <c r="I804" s="58">
        <v>11961</v>
      </c>
      <c r="J804" s="58">
        <v>0</v>
      </c>
      <c r="K804" s="1">
        <f t="shared" si="85"/>
        <v>382750.95</v>
      </c>
      <c r="L804" s="1">
        <f t="shared" si="86"/>
        <v>2319</v>
      </c>
      <c r="M804" s="1">
        <f>VLOOKUP(B804,'[1]Срок Годности'!$A$2:$B$4,2,0)</f>
        <v>1000</v>
      </c>
      <c r="N804" s="60">
        <f t="shared" si="87"/>
        <v>1845</v>
      </c>
      <c r="O804" s="1" t="str">
        <f t="shared" si="88"/>
        <v>29 2012</v>
      </c>
      <c r="P804" s="1">
        <f t="shared" si="89"/>
        <v>22</v>
      </c>
      <c r="Q804" s="1">
        <f t="shared" ca="1" si="90"/>
        <v>4027</v>
      </c>
      <c r="S804" s="1">
        <f t="shared" si="84"/>
        <v>11961</v>
      </c>
    </row>
    <row r="805" spans="1:19" x14ac:dyDescent="0.2">
      <c r="A805" s="57" t="s">
        <v>230</v>
      </c>
      <c r="B805" s="57" t="s">
        <v>237</v>
      </c>
      <c r="C805" s="57" t="s">
        <v>238</v>
      </c>
      <c r="D805" s="58">
        <v>165.05</v>
      </c>
      <c r="E805" s="59">
        <v>41107</v>
      </c>
      <c r="F805" s="58">
        <v>11961</v>
      </c>
      <c r="G805" s="58">
        <v>1928</v>
      </c>
      <c r="H805" s="58">
        <v>2030</v>
      </c>
      <c r="I805" s="58">
        <v>11811</v>
      </c>
      <c r="J805" s="58">
        <v>0</v>
      </c>
      <c r="K805" s="1">
        <f t="shared" si="85"/>
        <v>335051.5</v>
      </c>
      <c r="L805" s="1">
        <f t="shared" si="86"/>
        <v>2030</v>
      </c>
      <c r="M805" s="1">
        <f>VLOOKUP(B805,'[1]Срок Годности'!$A$2:$B$4,2,0)</f>
        <v>1000</v>
      </c>
      <c r="N805" s="60">
        <f t="shared" si="87"/>
        <v>1928</v>
      </c>
      <c r="O805" s="1" t="str">
        <f t="shared" si="88"/>
        <v>29 2012</v>
      </c>
      <c r="P805" s="1">
        <f t="shared" si="89"/>
        <v>22</v>
      </c>
      <c r="Q805" s="1">
        <f t="shared" ca="1" si="90"/>
        <v>4026</v>
      </c>
      <c r="S805" s="1">
        <f t="shared" si="84"/>
        <v>11811</v>
      </c>
    </row>
    <row r="806" spans="1:19" x14ac:dyDescent="0.2">
      <c r="A806" s="57" t="s">
        <v>232</v>
      </c>
      <c r="B806" s="57" t="s">
        <v>225</v>
      </c>
      <c r="C806" s="57" t="s">
        <v>226</v>
      </c>
      <c r="D806" s="58">
        <v>317.08</v>
      </c>
      <c r="E806" s="59">
        <v>41061</v>
      </c>
      <c r="F806" s="58">
        <v>424</v>
      </c>
      <c r="G806" s="58">
        <v>36</v>
      </c>
      <c r="H806" s="58">
        <v>69</v>
      </c>
      <c r="I806" s="58">
        <v>391</v>
      </c>
      <c r="J806" s="58">
        <v>0</v>
      </c>
      <c r="K806" s="1">
        <f t="shared" si="85"/>
        <v>21878.52</v>
      </c>
      <c r="L806" s="1" t="str">
        <f t="shared" si="86"/>
        <v/>
      </c>
      <c r="M806" s="1">
        <f>VLOOKUP(B806,'[1]Срок Годности'!$A$2:$B$4,2,0)</f>
        <v>500</v>
      </c>
      <c r="N806" s="60">
        <f t="shared" si="87"/>
        <v>36</v>
      </c>
      <c r="O806" s="1" t="str">
        <f t="shared" si="88"/>
        <v>22 2012</v>
      </c>
      <c r="P806" s="1">
        <f t="shared" si="89"/>
        <v>23</v>
      </c>
      <c r="Q806" s="1">
        <f t="shared" ca="1" si="90"/>
        <v>4072</v>
      </c>
      <c r="S806" s="1">
        <f t="shared" si="84"/>
        <v>391</v>
      </c>
    </row>
    <row r="807" spans="1:19" x14ac:dyDescent="0.2">
      <c r="A807" s="57" t="s">
        <v>232</v>
      </c>
      <c r="B807" s="57" t="s">
        <v>225</v>
      </c>
      <c r="C807" s="57" t="s">
        <v>226</v>
      </c>
      <c r="D807" s="58">
        <v>317.08</v>
      </c>
      <c r="E807" s="59">
        <v>41062</v>
      </c>
      <c r="F807" s="58">
        <v>391</v>
      </c>
      <c r="G807" s="58">
        <v>17</v>
      </c>
      <c r="H807" s="58">
        <v>57</v>
      </c>
      <c r="I807" s="58">
        <v>348</v>
      </c>
      <c r="J807" s="58">
        <v>0</v>
      </c>
      <c r="K807" s="1">
        <f t="shared" si="85"/>
        <v>18073.559999999998</v>
      </c>
      <c r="L807" s="1" t="str">
        <f t="shared" si="86"/>
        <v/>
      </c>
      <c r="M807" s="1">
        <f>VLOOKUP(B807,'[1]Срок Годности'!$A$2:$B$4,2,0)</f>
        <v>500</v>
      </c>
      <c r="N807" s="60">
        <f t="shared" si="87"/>
        <v>17</v>
      </c>
      <c r="O807" s="1" t="str">
        <f t="shared" si="88"/>
        <v>22 2012</v>
      </c>
      <c r="P807" s="1">
        <f t="shared" si="89"/>
        <v>23</v>
      </c>
      <c r="Q807" s="1">
        <f t="shared" ca="1" si="90"/>
        <v>4071</v>
      </c>
      <c r="S807" s="1">
        <f t="shared" si="84"/>
        <v>348</v>
      </c>
    </row>
    <row r="808" spans="1:19" x14ac:dyDescent="0.2">
      <c r="A808" s="57" t="s">
        <v>232</v>
      </c>
      <c r="B808" s="57" t="s">
        <v>225</v>
      </c>
      <c r="C808" s="57" t="s">
        <v>226</v>
      </c>
      <c r="D808" s="58">
        <v>317.08</v>
      </c>
      <c r="E808" s="59">
        <v>41063</v>
      </c>
      <c r="F808" s="58">
        <v>348</v>
      </c>
      <c r="G808" s="58">
        <v>26</v>
      </c>
      <c r="H808" s="58">
        <v>48</v>
      </c>
      <c r="I808" s="58">
        <v>326</v>
      </c>
      <c r="J808" s="58">
        <v>0</v>
      </c>
      <c r="K808" s="1">
        <f t="shared" si="85"/>
        <v>15219.84</v>
      </c>
      <c r="L808" s="1" t="str">
        <f t="shared" si="86"/>
        <v/>
      </c>
      <c r="M808" s="1">
        <f>VLOOKUP(B808,'[1]Срок Годности'!$A$2:$B$4,2,0)</f>
        <v>500</v>
      </c>
      <c r="N808" s="60">
        <f t="shared" si="87"/>
        <v>0</v>
      </c>
      <c r="O808" s="1" t="str">
        <f t="shared" si="88"/>
        <v>23 2012</v>
      </c>
      <c r="P808" s="1">
        <f t="shared" si="89"/>
        <v>23</v>
      </c>
      <c r="Q808" s="1">
        <f t="shared" ca="1" si="90"/>
        <v>4070</v>
      </c>
      <c r="S808" s="1">
        <f t="shared" si="84"/>
        <v>326</v>
      </c>
    </row>
    <row r="809" spans="1:19" x14ac:dyDescent="0.2">
      <c r="A809" s="57" t="s">
        <v>232</v>
      </c>
      <c r="B809" s="57" t="s">
        <v>225</v>
      </c>
      <c r="C809" s="57" t="s">
        <v>226</v>
      </c>
      <c r="D809" s="58">
        <v>317.08</v>
      </c>
      <c r="E809" s="59">
        <v>41064</v>
      </c>
      <c r="F809" s="58">
        <v>326</v>
      </c>
      <c r="G809" s="58">
        <v>121</v>
      </c>
      <c r="H809" s="58">
        <v>45</v>
      </c>
      <c r="I809" s="58">
        <v>402</v>
      </c>
      <c r="J809" s="58">
        <v>0</v>
      </c>
      <c r="K809" s="1">
        <f t="shared" si="85"/>
        <v>14268.599999999999</v>
      </c>
      <c r="L809" s="1" t="str">
        <f t="shared" si="86"/>
        <v/>
      </c>
      <c r="M809" s="1">
        <f>VLOOKUP(B809,'[1]Срок Годности'!$A$2:$B$4,2,0)</f>
        <v>500</v>
      </c>
      <c r="N809" s="60">
        <f t="shared" si="87"/>
        <v>121</v>
      </c>
      <c r="O809" s="1" t="str">
        <f t="shared" si="88"/>
        <v>23 2012</v>
      </c>
      <c r="P809" s="1">
        <f t="shared" si="89"/>
        <v>23</v>
      </c>
      <c r="Q809" s="1">
        <f t="shared" ca="1" si="90"/>
        <v>4069</v>
      </c>
      <c r="S809" s="1">
        <f t="shared" si="84"/>
        <v>402</v>
      </c>
    </row>
    <row r="810" spans="1:19" x14ac:dyDescent="0.2">
      <c r="A810" s="57" t="s">
        <v>232</v>
      </c>
      <c r="B810" s="57" t="s">
        <v>225</v>
      </c>
      <c r="C810" s="57" t="s">
        <v>226</v>
      </c>
      <c r="D810" s="58">
        <v>317.08</v>
      </c>
      <c r="E810" s="59">
        <v>41065</v>
      </c>
      <c r="F810" s="58">
        <v>402</v>
      </c>
      <c r="G810" s="58">
        <v>113</v>
      </c>
      <c r="H810" s="58">
        <v>40</v>
      </c>
      <c r="I810" s="58">
        <v>475</v>
      </c>
      <c r="J810" s="58">
        <v>0</v>
      </c>
      <c r="K810" s="1">
        <f t="shared" si="85"/>
        <v>12683.199999999999</v>
      </c>
      <c r="L810" s="1" t="str">
        <f t="shared" si="86"/>
        <v/>
      </c>
      <c r="M810" s="1">
        <f>VLOOKUP(B810,'[1]Срок Годности'!$A$2:$B$4,2,0)</f>
        <v>500</v>
      </c>
      <c r="N810" s="60">
        <f t="shared" si="87"/>
        <v>113</v>
      </c>
      <c r="O810" s="1" t="str">
        <f t="shared" si="88"/>
        <v>23 2012</v>
      </c>
      <c r="P810" s="1">
        <f t="shared" si="89"/>
        <v>23</v>
      </c>
      <c r="Q810" s="1">
        <f t="shared" ca="1" si="90"/>
        <v>4068</v>
      </c>
      <c r="S810" s="1">
        <f t="shared" si="84"/>
        <v>475</v>
      </c>
    </row>
    <row r="811" spans="1:19" x14ac:dyDescent="0.2">
      <c r="A811" s="57" t="s">
        <v>232</v>
      </c>
      <c r="B811" s="57" t="s">
        <v>225</v>
      </c>
      <c r="C811" s="57" t="s">
        <v>226</v>
      </c>
      <c r="D811" s="58">
        <v>317.08</v>
      </c>
      <c r="E811" s="59">
        <v>41066</v>
      </c>
      <c r="F811" s="58">
        <v>475</v>
      </c>
      <c r="G811" s="58">
        <v>119</v>
      </c>
      <c r="H811" s="58">
        <v>48</v>
      </c>
      <c r="I811" s="58">
        <v>546</v>
      </c>
      <c r="J811" s="58">
        <v>0</v>
      </c>
      <c r="K811" s="1">
        <f t="shared" si="85"/>
        <v>15219.84</v>
      </c>
      <c r="L811" s="1" t="str">
        <f t="shared" si="86"/>
        <v/>
      </c>
      <c r="M811" s="1">
        <f>VLOOKUP(B811,'[1]Срок Годности'!$A$2:$B$4,2,0)</f>
        <v>500</v>
      </c>
      <c r="N811" s="60">
        <f t="shared" si="87"/>
        <v>119</v>
      </c>
      <c r="O811" s="1" t="str">
        <f t="shared" si="88"/>
        <v>23 2012</v>
      </c>
      <c r="P811" s="1">
        <f t="shared" si="89"/>
        <v>23</v>
      </c>
      <c r="Q811" s="1">
        <f t="shared" ca="1" si="90"/>
        <v>4067</v>
      </c>
      <c r="S811" s="1">
        <f t="shared" si="84"/>
        <v>546</v>
      </c>
    </row>
    <row r="812" spans="1:19" x14ac:dyDescent="0.2">
      <c r="A812" s="57" t="s">
        <v>232</v>
      </c>
      <c r="B812" s="57" t="s">
        <v>225</v>
      </c>
      <c r="C812" s="57" t="s">
        <v>226</v>
      </c>
      <c r="D812" s="58">
        <v>317.08</v>
      </c>
      <c r="E812" s="59">
        <v>41067</v>
      </c>
      <c r="F812" s="58">
        <v>546</v>
      </c>
      <c r="G812" s="58">
        <v>3</v>
      </c>
      <c r="H812" s="58">
        <v>63</v>
      </c>
      <c r="I812" s="58">
        <v>484</v>
      </c>
      <c r="J812" s="58">
        <v>0</v>
      </c>
      <c r="K812" s="1">
        <f t="shared" si="85"/>
        <v>19976.039999999997</v>
      </c>
      <c r="L812" s="1" t="str">
        <f t="shared" si="86"/>
        <v/>
      </c>
      <c r="M812" s="1">
        <f>VLOOKUP(B812,'[1]Срок Годности'!$A$2:$B$4,2,0)</f>
        <v>500</v>
      </c>
      <c r="N812" s="60">
        <f t="shared" si="87"/>
        <v>3</v>
      </c>
      <c r="O812" s="1" t="str">
        <f t="shared" si="88"/>
        <v>23 2012</v>
      </c>
      <c r="P812" s="1">
        <f t="shared" si="89"/>
        <v>23</v>
      </c>
      <c r="Q812" s="1">
        <f t="shared" ca="1" si="90"/>
        <v>4066</v>
      </c>
      <c r="S812" s="1">
        <f t="shared" si="84"/>
        <v>484</v>
      </c>
    </row>
    <row r="813" spans="1:19" x14ac:dyDescent="0.2">
      <c r="A813" s="57" t="s">
        <v>232</v>
      </c>
      <c r="B813" s="57" t="s">
        <v>225</v>
      </c>
      <c r="C813" s="57" t="s">
        <v>226</v>
      </c>
      <c r="D813" s="58">
        <v>317.08</v>
      </c>
      <c r="E813" s="59">
        <v>41068</v>
      </c>
      <c r="F813" s="58">
        <v>484</v>
      </c>
      <c r="G813" s="58">
        <v>15</v>
      </c>
      <c r="H813" s="58">
        <v>92</v>
      </c>
      <c r="I813" s="58">
        <v>403</v>
      </c>
      <c r="J813" s="58">
        <v>0</v>
      </c>
      <c r="K813" s="1">
        <f t="shared" si="85"/>
        <v>29171.359999999997</v>
      </c>
      <c r="L813" s="1" t="str">
        <f t="shared" si="86"/>
        <v/>
      </c>
      <c r="M813" s="1">
        <f>VLOOKUP(B813,'[1]Срок Годности'!$A$2:$B$4,2,0)</f>
        <v>500</v>
      </c>
      <c r="N813" s="60">
        <f t="shared" si="87"/>
        <v>15</v>
      </c>
      <c r="O813" s="1" t="str">
        <f t="shared" si="88"/>
        <v>23 2012</v>
      </c>
      <c r="P813" s="1">
        <f t="shared" si="89"/>
        <v>23</v>
      </c>
      <c r="Q813" s="1">
        <f t="shared" ca="1" si="90"/>
        <v>4065</v>
      </c>
      <c r="S813" s="1">
        <f t="shared" si="84"/>
        <v>403</v>
      </c>
    </row>
    <row r="814" spans="1:19" x14ac:dyDescent="0.2">
      <c r="A814" s="57" t="s">
        <v>232</v>
      </c>
      <c r="B814" s="57" t="s">
        <v>225</v>
      </c>
      <c r="C814" s="57" t="s">
        <v>226</v>
      </c>
      <c r="D814" s="58">
        <v>317.08</v>
      </c>
      <c r="E814" s="59">
        <v>41069</v>
      </c>
      <c r="F814" s="58">
        <v>403</v>
      </c>
      <c r="G814" s="58">
        <v>39</v>
      </c>
      <c r="H814" s="58">
        <v>87</v>
      </c>
      <c r="I814" s="58">
        <v>354</v>
      </c>
      <c r="J814" s="58">
        <v>0</v>
      </c>
      <c r="K814" s="1">
        <f t="shared" si="85"/>
        <v>27585.96</v>
      </c>
      <c r="L814" s="1" t="str">
        <f t="shared" si="86"/>
        <v/>
      </c>
      <c r="M814" s="1">
        <f>VLOOKUP(B814,'[1]Срок Годности'!$A$2:$B$4,2,0)</f>
        <v>500</v>
      </c>
      <c r="N814" s="60">
        <f t="shared" si="87"/>
        <v>39</v>
      </c>
      <c r="O814" s="1" t="str">
        <f t="shared" si="88"/>
        <v>23 2012</v>
      </c>
      <c r="P814" s="1">
        <f t="shared" si="89"/>
        <v>23</v>
      </c>
      <c r="Q814" s="1">
        <f t="shared" ca="1" si="90"/>
        <v>4064</v>
      </c>
      <c r="S814" s="1">
        <f t="shared" si="84"/>
        <v>354</v>
      </c>
    </row>
    <row r="815" spans="1:19" x14ac:dyDescent="0.2">
      <c r="A815" s="57" t="s">
        <v>232</v>
      </c>
      <c r="B815" s="57" t="s">
        <v>225</v>
      </c>
      <c r="C815" s="57" t="s">
        <v>226</v>
      </c>
      <c r="D815" s="58">
        <v>317.08</v>
      </c>
      <c r="E815" s="59">
        <v>41070</v>
      </c>
      <c r="F815" s="58">
        <v>354</v>
      </c>
      <c r="G815" s="58">
        <v>167</v>
      </c>
      <c r="H815" s="58">
        <v>52</v>
      </c>
      <c r="I815" s="58">
        <v>468</v>
      </c>
      <c r="J815" s="58">
        <v>0</v>
      </c>
      <c r="K815" s="1">
        <f t="shared" si="85"/>
        <v>16488.16</v>
      </c>
      <c r="L815" s="1" t="str">
        <f t="shared" si="86"/>
        <v/>
      </c>
      <c r="M815" s="1">
        <f>VLOOKUP(B815,'[1]Срок Годности'!$A$2:$B$4,2,0)</f>
        <v>500</v>
      </c>
      <c r="N815" s="60">
        <f t="shared" si="87"/>
        <v>0</v>
      </c>
      <c r="O815" s="1" t="str">
        <f t="shared" si="88"/>
        <v>24 2012</v>
      </c>
      <c r="P815" s="1">
        <f t="shared" si="89"/>
        <v>23</v>
      </c>
      <c r="Q815" s="1">
        <f t="shared" ca="1" si="90"/>
        <v>4063</v>
      </c>
      <c r="S815" s="1">
        <f t="shared" si="84"/>
        <v>468</v>
      </c>
    </row>
    <row r="816" spans="1:19" x14ac:dyDescent="0.2">
      <c r="A816" s="57" t="s">
        <v>232</v>
      </c>
      <c r="B816" s="57" t="s">
        <v>225</v>
      </c>
      <c r="C816" s="57" t="s">
        <v>226</v>
      </c>
      <c r="D816" s="58">
        <v>317.08</v>
      </c>
      <c r="E816" s="59">
        <v>41071</v>
      </c>
      <c r="F816" s="58">
        <v>468</v>
      </c>
      <c r="G816" s="58">
        <v>4</v>
      </c>
      <c r="H816" s="58">
        <v>56</v>
      </c>
      <c r="I816" s="58">
        <v>414</v>
      </c>
      <c r="J816" s="58">
        <v>0</v>
      </c>
      <c r="K816" s="1">
        <f t="shared" si="85"/>
        <v>17756.48</v>
      </c>
      <c r="L816" s="1" t="str">
        <f t="shared" si="86"/>
        <v/>
      </c>
      <c r="M816" s="1">
        <f>VLOOKUP(B816,'[1]Срок Годности'!$A$2:$B$4,2,0)</f>
        <v>500</v>
      </c>
      <c r="N816" s="60">
        <f t="shared" si="87"/>
        <v>4</v>
      </c>
      <c r="O816" s="1" t="str">
        <f t="shared" si="88"/>
        <v>24 2012</v>
      </c>
      <c r="P816" s="1">
        <f t="shared" si="89"/>
        <v>23</v>
      </c>
      <c r="Q816" s="1">
        <f t="shared" ca="1" si="90"/>
        <v>4062</v>
      </c>
      <c r="S816" s="1">
        <f t="shared" si="84"/>
        <v>414</v>
      </c>
    </row>
    <row r="817" spans="1:19" x14ac:dyDescent="0.2">
      <c r="A817" s="57" t="s">
        <v>232</v>
      </c>
      <c r="B817" s="57" t="s">
        <v>225</v>
      </c>
      <c r="C817" s="57" t="s">
        <v>226</v>
      </c>
      <c r="D817" s="58">
        <v>317.08</v>
      </c>
      <c r="E817" s="59">
        <v>41072</v>
      </c>
      <c r="F817" s="58">
        <v>414</v>
      </c>
      <c r="G817" s="58">
        <v>130</v>
      </c>
      <c r="H817" s="58">
        <v>39</v>
      </c>
      <c r="I817" s="58">
        <v>503</v>
      </c>
      <c r="J817" s="58">
        <v>0</v>
      </c>
      <c r="K817" s="1">
        <f t="shared" si="85"/>
        <v>12366.119999999999</v>
      </c>
      <c r="L817" s="1" t="str">
        <f t="shared" si="86"/>
        <v/>
      </c>
      <c r="M817" s="1">
        <f>VLOOKUP(B817,'[1]Срок Годности'!$A$2:$B$4,2,0)</f>
        <v>500</v>
      </c>
      <c r="N817" s="60">
        <f t="shared" si="87"/>
        <v>130</v>
      </c>
      <c r="O817" s="1" t="str">
        <f t="shared" si="88"/>
        <v>24 2012</v>
      </c>
      <c r="P817" s="1">
        <f t="shared" si="89"/>
        <v>23</v>
      </c>
      <c r="Q817" s="1">
        <f t="shared" ca="1" si="90"/>
        <v>4061</v>
      </c>
      <c r="S817" s="1">
        <f t="shared" si="84"/>
        <v>503</v>
      </c>
    </row>
    <row r="818" spans="1:19" x14ac:dyDescent="0.2">
      <c r="A818" s="57" t="s">
        <v>232</v>
      </c>
      <c r="B818" s="57" t="s">
        <v>225</v>
      </c>
      <c r="C818" s="57" t="s">
        <v>226</v>
      </c>
      <c r="D818" s="58">
        <v>317.08</v>
      </c>
      <c r="E818" s="59">
        <v>41073</v>
      </c>
      <c r="F818" s="58">
        <v>503</v>
      </c>
      <c r="G818" s="58">
        <v>0</v>
      </c>
      <c r="H818" s="58">
        <v>49</v>
      </c>
      <c r="I818" s="58">
        <v>453</v>
      </c>
      <c r="J818" s="58">
        <v>0</v>
      </c>
      <c r="K818" s="1">
        <f t="shared" si="85"/>
        <v>15536.92</v>
      </c>
      <c r="L818" s="1" t="str">
        <f t="shared" si="86"/>
        <v/>
      </c>
      <c r="M818" s="1">
        <f>VLOOKUP(B818,'[1]Срок Годности'!$A$2:$B$4,2,0)</f>
        <v>500</v>
      </c>
      <c r="N818" s="60">
        <f t="shared" si="87"/>
        <v>0</v>
      </c>
      <c r="O818" s="1" t="str">
        <f t="shared" si="88"/>
        <v>24 2012</v>
      </c>
      <c r="P818" s="1">
        <f t="shared" si="89"/>
        <v>23</v>
      </c>
      <c r="Q818" s="1">
        <f t="shared" ca="1" si="90"/>
        <v>4060</v>
      </c>
      <c r="S818" s="1">
        <f t="shared" si="84"/>
        <v>453</v>
      </c>
    </row>
    <row r="819" spans="1:19" x14ac:dyDescent="0.2">
      <c r="A819" s="57" t="s">
        <v>232</v>
      </c>
      <c r="B819" s="57" t="s">
        <v>225</v>
      </c>
      <c r="C819" s="57" t="s">
        <v>226</v>
      </c>
      <c r="D819" s="58">
        <v>317.08</v>
      </c>
      <c r="E819" s="59">
        <v>41074</v>
      </c>
      <c r="F819" s="58">
        <v>453</v>
      </c>
      <c r="G819" s="58">
        <v>76</v>
      </c>
      <c r="H819" s="58">
        <v>48</v>
      </c>
      <c r="I819" s="58">
        <v>477</v>
      </c>
      <c r="J819" s="58">
        <v>0</v>
      </c>
      <c r="K819" s="1">
        <f t="shared" si="85"/>
        <v>15219.84</v>
      </c>
      <c r="L819" s="1" t="str">
        <f t="shared" si="86"/>
        <v/>
      </c>
      <c r="M819" s="1">
        <f>VLOOKUP(B819,'[1]Срок Годности'!$A$2:$B$4,2,0)</f>
        <v>500</v>
      </c>
      <c r="N819" s="60">
        <f t="shared" si="87"/>
        <v>76</v>
      </c>
      <c r="O819" s="1" t="str">
        <f t="shared" si="88"/>
        <v>24 2012</v>
      </c>
      <c r="P819" s="1">
        <f t="shared" si="89"/>
        <v>23</v>
      </c>
      <c r="Q819" s="1">
        <f t="shared" ca="1" si="90"/>
        <v>4059</v>
      </c>
      <c r="S819" s="1">
        <f t="shared" si="84"/>
        <v>477</v>
      </c>
    </row>
    <row r="820" spans="1:19" x14ac:dyDescent="0.2">
      <c r="A820" s="57" t="s">
        <v>232</v>
      </c>
      <c r="B820" s="57" t="s">
        <v>225</v>
      </c>
      <c r="C820" s="57" t="s">
        <v>226</v>
      </c>
      <c r="D820" s="58">
        <v>317.08</v>
      </c>
      <c r="E820" s="59">
        <v>41075</v>
      </c>
      <c r="F820" s="58">
        <v>477</v>
      </c>
      <c r="G820" s="58">
        <v>22</v>
      </c>
      <c r="H820" s="58">
        <v>77</v>
      </c>
      <c r="I820" s="58">
        <v>422</v>
      </c>
      <c r="J820" s="58">
        <v>0</v>
      </c>
      <c r="K820" s="1">
        <f t="shared" si="85"/>
        <v>24415.16</v>
      </c>
      <c r="L820" s="1" t="str">
        <f t="shared" si="86"/>
        <v/>
      </c>
      <c r="M820" s="1">
        <f>VLOOKUP(B820,'[1]Срок Годности'!$A$2:$B$4,2,0)</f>
        <v>500</v>
      </c>
      <c r="N820" s="60">
        <f t="shared" si="87"/>
        <v>22</v>
      </c>
      <c r="O820" s="1" t="str">
        <f t="shared" si="88"/>
        <v>24 2012</v>
      </c>
      <c r="P820" s="1">
        <f t="shared" si="89"/>
        <v>23</v>
      </c>
      <c r="Q820" s="1">
        <f t="shared" ca="1" si="90"/>
        <v>4058</v>
      </c>
      <c r="S820" s="1">
        <f t="shared" si="84"/>
        <v>422</v>
      </c>
    </row>
    <row r="821" spans="1:19" x14ac:dyDescent="0.2">
      <c r="A821" s="57" t="s">
        <v>232</v>
      </c>
      <c r="B821" s="57" t="s">
        <v>225</v>
      </c>
      <c r="C821" s="57" t="s">
        <v>226</v>
      </c>
      <c r="D821" s="58">
        <v>317.08</v>
      </c>
      <c r="E821" s="59">
        <v>41076</v>
      </c>
      <c r="F821" s="58">
        <v>422</v>
      </c>
      <c r="G821" s="58">
        <v>65</v>
      </c>
      <c r="H821" s="58">
        <v>76</v>
      </c>
      <c r="I821" s="58">
        <v>408</v>
      </c>
      <c r="J821" s="58">
        <v>0</v>
      </c>
      <c r="K821" s="1">
        <f t="shared" si="85"/>
        <v>24098.079999999998</v>
      </c>
      <c r="L821" s="1" t="str">
        <f t="shared" si="86"/>
        <v/>
      </c>
      <c r="M821" s="1">
        <f>VLOOKUP(B821,'[1]Срок Годности'!$A$2:$B$4,2,0)</f>
        <v>500</v>
      </c>
      <c r="N821" s="60">
        <f t="shared" si="87"/>
        <v>65</v>
      </c>
      <c r="O821" s="1" t="str">
        <f t="shared" si="88"/>
        <v>24 2012</v>
      </c>
      <c r="P821" s="1">
        <f t="shared" si="89"/>
        <v>23</v>
      </c>
      <c r="Q821" s="1">
        <f t="shared" ca="1" si="90"/>
        <v>4057</v>
      </c>
      <c r="S821" s="1">
        <f t="shared" si="84"/>
        <v>408</v>
      </c>
    </row>
    <row r="822" spans="1:19" x14ac:dyDescent="0.2">
      <c r="A822" s="57" t="s">
        <v>232</v>
      </c>
      <c r="B822" s="57" t="s">
        <v>225</v>
      </c>
      <c r="C822" s="57" t="s">
        <v>226</v>
      </c>
      <c r="D822" s="58">
        <v>317.08</v>
      </c>
      <c r="E822" s="59">
        <v>41077</v>
      </c>
      <c r="F822" s="58">
        <v>408</v>
      </c>
      <c r="G822" s="58">
        <v>24</v>
      </c>
      <c r="H822" s="58">
        <v>53</v>
      </c>
      <c r="I822" s="58">
        <v>379</v>
      </c>
      <c r="J822" s="58">
        <v>0</v>
      </c>
      <c r="K822" s="1">
        <f t="shared" si="85"/>
        <v>16805.239999999998</v>
      </c>
      <c r="L822" s="1" t="str">
        <f t="shared" si="86"/>
        <v/>
      </c>
      <c r="M822" s="1">
        <f>VLOOKUP(B822,'[1]Срок Годности'!$A$2:$B$4,2,0)</f>
        <v>500</v>
      </c>
      <c r="N822" s="60">
        <f t="shared" si="87"/>
        <v>0</v>
      </c>
      <c r="O822" s="1" t="str">
        <f t="shared" si="88"/>
        <v>25 2012</v>
      </c>
      <c r="P822" s="1">
        <f t="shared" si="89"/>
        <v>23</v>
      </c>
      <c r="Q822" s="1">
        <f t="shared" ca="1" si="90"/>
        <v>4056</v>
      </c>
      <c r="S822" s="1">
        <f t="shared" si="84"/>
        <v>379</v>
      </c>
    </row>
    <row r="823" spans="1:19" x14ac:dyDescent="0.2">
      <c r="A823" s="57" t="s">
        <v>232</v>
      </c>
      <c r="B823" s="57" t="s">
        <v>225</v>
      </c>
      <c r="C823" s="57" t="s">
        <v>226</v>
      </c>
      <c r="D823" s="58">
        <v>317.08</v>
      </c>
      <c r="E823" s="59">
        <v>41078</v>
      </c>
      <c r="F823" s="58">
        <v>379</v>
      </c>
      <c r="G823" s="58">
        <v>94</v>
      </c>
      <c r="H823" s="58">
        <v>60</v>
      </c>
      <c r="I823" s="58">
        <v>409</v>
      </c>
      <c r="J823" s="58">
        <v>0</v>
      </c>
      <c r="K823" s="1">
        <f t="shared" si="85"/>
        <v>19024.8</v>
      </c>
      <c r="L823" s="1" t="str">
        <f t="shared" si="86"/>
        <v/>
      </c>
      <c r="M823" s="1">
        <f>VLOOKUP(B823,'[1]Срок Годности'!$A$2:$B$4,2,0)</f>
        <v>500</v>
      </c>
      <c r="N823" s="60">
        <f t="shared" si="87"/>
        <v>94</v>
      </c>
      <c r="O823" s="1" t="str">
        <f t="shared" si="88"/>
        <v>25 2012</v>
      </c>
      <c r="P823" s="1">
        <f t="shared" si="89"/>
        <v>23</v>
      </c>
      <c r="Q823" s="1">
        <f t="shared" ca="1" si="90"/>
        <v>4055</v>
      </c>
      <c r="S823" s="1">
        <f t="shared" si="84"/>
        <v>409</v>
      </c>
    </row>
    <row r="824" spans="1:19" x14ac:dyDescent="0.2">
      <c r="A824" s="57" t="s">
        <v>232</v>
      </c>
      <c r="B824" s="57" t="s">
        <v>225</v>
      </c>
      <c r="C824" s="57" t="s">
        <v>226</v>
      </c>
      <c r="D824" s="58">
        <v>317.08</v>
      </c>
      <c r="E824" s="59">
        <v>41079</v>
      </c>
      <c r="F824" s="58">
        <v>409</v>
      </c>
      <c r="G824" s="58">
        <v>50</v>
      </c>
      <c r="H824" s="58">
        <v>61</v>
      </c>
      <c r="I824" s="58">
        <v>397</v>
      </c>
      <c r="J824" s="58">
        <v>0</v>
      </c>
      <c r="K824" s="1">
        <f t="shared" si="85"/>
        <v>19341.879999999997</v>
      </c>
      <c r="L824" s="1" t="str">
        <f t="shared" si="86"/>
        <v/>
      </c>
      <c r="M824" s="1">
        <f>VLOOKUP(B824,'[1]Срок Годности'!$A$2:$B$4,2,0)</f>
        <v>500</v>
      </c>
      <c r="N824" s="60">
        <f t="shared" si="87"/>
        <v>50</v>
      </c>
      <c r="O824" s="1" t="str">
        <f t="shared" si="88"/>
        <v>25 2012</v>
      </c>
      <c r="P824" s="1">
        <f t="shared" si="89"/>
        <v>23</v>
      </c>
      <c r="Q824" s="1">
        <f t="shared" ca="1" si="90"/>
        <v>4054</v>
      </c>
      <c r="S824" s="1">
        <f t="shared" si="84"/>
        <v>397</v>
      </c>
    </row>
    <row r="825" spans="1:19" x14ac:dyDescent="0.2">
      <c r="A825" s="57" t="s">
        <v>232</v>
      </c>
      <c r="B825" s="57" t="s">
        <v>225</v>
      </c>
      <c r="C825" s="57" t="s">
        <v>226</v>
      </c>
      <c r="D825" s="58">
        <v>317.08</v>
      </c>
      <c r="E825" s="59">
        <v>41080</v>
      </c>
      <c r="F825" s="58">
        <v>397</v>
      </c>
      <c r="G825" s="58">
        <v>25</v>
      </c>
      <c r="H825" s="58">
        <v>70</v>
      </c>
      <c r="I825" s="58">
        <v>350</v>
      </c>
      <c r="J825" s="58">
        <v>0</v>
      </c>
      <c r="K825" s="1">
        <f t="shared" si="85"/>
        <v>22195.599999999999</v>
      </c>
      <c r="L825" s="1" t="str">
        <f t="shared" si="86"/>
        <v/>
      </c>
      <c r="M825" s="1">
        <f>VLOOKUP(B825,'[1]Срок Годности'!$A$2:$B$4,2,0)</f>
        <v>500</v>
      </c>
      <c r="N825" s="60">
        <f t="shared" si="87"/>
        <v>25</v>
      </c>
      <c r="O825" s="1" t="str">
        <f t="shared" si="88"/>
        <v>25 2012</v>
      </c>
      <c r="P825" s="1">
        <f t="shared" si="89"/>
        <v>23</v>
      </c>
      <c r="Q825" s="1">
        <f t="shared" ca="1" si="90"/>
        <v>4053</v>
      </c>
      <c r="S825" s="1">
        <f t="shared" si="84"/>
        <v>350</v>
      </c>
    </row>
    <row r="826" spans="1:19" x14ac:dyDescent="0.2">
      <c r="A826" s="57" t="s">
        <v>232</v>
      </c>
      <c r="B826" s="57" t="s">
        <v>225</v>
      </c>
      <c r="C826" s="57" t="s">
        <v>226</v>
      </c>
      <c r="D826" s="58">
        <v>317.08</v>
      </c>
      <c r="E826" s="59">
        <v>41081</v>
      </c>
      <c r="F826" s="58">
        <v>350</v>
      </c>
      <c r="G826" s="58">
        <v>2</v>
      </c>
      <c r="H826" s="58">
        <v>69</v>
      </c>
      <c r="I826" s="58">
        <v>281</v>
      </c>
      <c r="J826" s="58">
        <v>0</v>
      </c>
      <c r="K826" s="1">
        <f t="shared" si="85"/>
        <v>21878.52</v>
      </c>
      <c r="L826" s="1" t="str">
        <f t="shared" si="86"/>
        <v/>
      </c>
      <c r="M826" s="1">
        <f>VLOOKUP(B826,'[1]Срок Годности'!$A$2:$B$4,2,0)</f>
        <v>500</v>
      </c>
      <c r="N826" s="60">
        <f t="shared" si="87"/>
        <v>2</v>
      </c>
      <c r="O826" s="1" t="str">
        <f t="shared" si="88"/>
        <v>25 2012</v>
      </c>
      <c r="P826" s="1">
        <f t="shared" si="89"/>
        <v>23</v>
      </c>
      <c r="Q826" s="1">
        <f t="shared" ca="1" si="90"/>
        <v>4052</v>
      </c>
      <c r="S826" s="1">
        <f t="shared" si="84"/>
        <v>281</v>
      </c>
    </row>
    <row r="827" spans="1:19" x14ac:dyDescent="0.2">
      <c r="A827" s="57" t="s">
        <v>232</v>
      </c>
      <c r="B827" s="57" t="s">
        <v>225</v>
      </c>
      <c r="C827" s="57" t="s">
        <v>226</v>
      </c>
      <c r="D827" s="58">
        <v>317.08</v>
      </c>
      <c r="E827" s="59">
        <v>41082</v>
      </c>
      <c r="F827" s="58">
        <v>281</v>
      </c>
      <c r="G827" s="58">
        <v>208</v>
      </c>
      <c r="H827" s="58">
        <v>56</v>
      </c>
      <c r="I827" s="58">
        <v>431</v>
      </c>
      <c r="J827" s="58">
        <v>0</v>
      </c>
      <c r="K827" s="1">
        <f t="shared" si="85"/>
        <v>17756.48</v>
      </c>
      <c r="L827" s="1" t="str">
        <f t="shared" si="86"/>
        <v/>
      </c>
      <c r="M827" s="1">
        <f>VLOOKUP(B827,'[1]Срок Годности'!$A$2:$B$4,2,0)</f>
        <v>500</v>
      </c>
      <c r="N827" s="60">
        <f t="shared" si="87"/>
        <v>208</v>
      </c>
      <c r="O827" s="1" t="str">
        <f t="shared" si="88"/>
        <v>25 2012</v>
      </c>
      <c r="P827" s="1">
        <f t="shared" si="89"/>
        <v>23</v>
      </c>
      <c r="Q827" s="1">
        <f t="shared" ca="1" si="90"/>
        <v>4051</v>
      </c>
      <c r="S827" s="1">
        <f t="shared" si="84"/>
        <v>431</v>
      </c>
    </row>
    <row r="828" spans="1:19" x14ac:dyDescent="0.2">
      <c r="A828" s="57" t="s">
        <v>232</v>
      </c>
      <c r="B828" s="57" t="s">
        <v>225</v>
      </c>
      <c r="C828" s="57" t="s">
        <v>226</v>
      </c>
      <c r="D828" s="58">
        <v>317.08</v>
      </c>
      <c r="E828" s="59">
        <v>41083</v>
      </c>
      <c r="F828" s="58">
        <v>431</v>
      </c>
      <c r="G828" s="58">
        <v>6</v>
      </c>
      <c r="H828" s="58">
        <v>40</v>
      </c>
      <c r="I828" s="58">
        <v>388</v>
      </c>
      <c r="J828" s="58">
        <v>0</v>
      </c>
      <c r="K828" s="1">
        <f t="shared" si="85"/>
        <v>12683.199999999999</v>
      </c>
      <c r="L828" s="1" t="str">
        <f t="shared" si="86"/>
        <v/>
      </c>
      <c r="M828" s="1">
        <f>VLOOKUP(B828,'[1]Срок Годности'!$A$2:$B$4,2,0)</f>
        <v>500</v>
      </c>
      <c r="N828" s="60">
        <f t="shared" si="87"/>
        <v>6</v>
      </c>
      <c r="O828" s="1" t="str">
        <f t="shared" si="88"/>
        <v>25 2012</v>
      </c>
      <c r="P828" s="1">
        <f t="shared" si="89"/>
        <v>23</v>
      </c>
      <c r="Q828" s="1">
        <f t="shared" ca="1" si="90"/>
        <v>4050</v>
      </c>
      <c r="S828" s="1">
        <f t="shared" si="84"/>
        <v>388</v>
      </c>
    </row>
    <row r="829" spans="1:19" x14ac:dyDescent="0.2">
      <c r="A829" s="57" t="s">
        <v>232</v>
      </c>
      <c r="B829" s="57" t="s">
        <v>225</v>
      </c>
      <c r="C829" s="57" t="s">
        <v>226</v>
      </c>
      <c r="D829" s="58">
        <v>317.08</v>
      </c>
      <c r="E829" s="59">
        <v>41084</v>
      </c>
      <c r="F829" s="58">
        <v>388</v>
      </c>
      <c r="G829" s="58">
        <v>69</v>
      </c>
      <c r="H829" s="58">
        <v>80</v>
      </c>
      <c r="I829" s="58">
        <v>381</v>
      </c>
      <c r="J829" s="58">
        <v>0</v>
      </c>
      <c r="K829" s="1">
        <f t="shared" si="85"/>
        <v>25366.399999999998</v>
      </c>
      <c r="L829" s="1" t="str">
        <f t="shared" si="86"/>
        <v/>
      </c>
      <c r="M829" s="1">
        <f>VLOOKUP(B829,'[1]Срок Годности'!$A$2:$B$4,2,0)</f>
        <v>500</v>
      </c>
      <c r="N829" s="60">
        <f t="shared" si="87"/>
        <v>0</v>
      </c>
      <c r="O829" s="1" t="str">
        <f t="shared" si="88"/>
        <v>26 2012</v>
      </c>
      <c r="P829" s="1">
        <f t="shared" si="89"/>
        <v>23</v>
      </c>
      <c r="Q829" s="1">
        <f t="shared" ca="1" si="90"/>
        <v>4049</v>
      </c>
      <c r="S829" s="1">
        <f t="shared" si="84"/>
        <v>381</v>
      </c>
    </row>
    <row r="830" spans="1:19" x14ac:dyDescent="0.2">
      <c r="A830" s="57" t="s">
        <v>232</v>
      </c>
      <c r="B830" s="57" t="s">
        <v>225</v>
      </c>
      <c r="C830" s="57" t="s">
        <v>226</v>
      </c>
      <c r="D830" s="58">
        <v>317.08</v>
      </c>
      <c r="E830" s="59">
        <v>41085</v>
      </c>
      <c r="F830" s="58">
        <v>381</v>
      </c>
      <c r="G830" s="58">
        <v>19</v>
      </c>
      <c r="H830" s="58">
        <v>72</v>
      </c>
      <c r="I830" s="58">
        <v>324</v>
      </c>
      <c r="J830" s="58">
        <v>0</v>
      </c>
      <c r="K830" s="1">
        <f t="shared" si="85"/>
        <v>22829.759999999998</v>
      </c>
      <c r="L830" s="1" t="str">
        <f t="shared" si="86"/>
        <v/>
      </c>
      <c r="M830" s="1">
        <f>VLOOKUP(B830,'[1]Срок Годности'!$A$2:$B$4,2,0)</f>
        <v>500</v>
      </c>
      <c r="N830" s="60">
        <f t="shared" si="87"/>
        <v>19</v>
      </c>
      <c r="O830" s="1" t="str">
        <f t="shared" si="88"/>
        <v>26 2012</v>
      </c>
      <c r="P830" s="1">
        <f t="shared" si="89"/>
        <v>23</v>
      </c>
      <c r="Q830" s="1">
        <f t="shared" ca="1" si="90"/>
        <v>4048</v>
      </c>
      <c r="S830" s="1">
        <f t="shared" si="84"/>
        <v>324</v>
      </c>
    </row>
    <row r="831" spans="1:19" x14ac:dyDescent="0.2">
      <c r="A831" s="57" t="s">
        <v>232</v>
      </c>
      <c r="B831" s="57" t="s">
        <v>225</v>
      </c>
      <c r="C831" s="57" t="s">
        <v>226</v>
      </c>
      <c r="D831" s="58">
        <v>317.08</v>
      </c>
      <c r="E831" s="59">
        <v>41086</v>
      </c>
      <c r="F831" s="58">
        <v>324</v>
      </c>
      <c r="G831" s="58">
        <v>126</v>
      </c>
      <c r="H831" s="58">
        <v>58</v>
      </c>
      <c r="I831" s="58">
        <v>391</v>
      </c>
      <c r="J831" s="58">
        <v>0</v>
      </c>
      <c r="K831" s="1">
        <f t="shared" si="85"/>
        <v>18390.64</v>
      </c>
      <c r="L831" s="1" t="str">
        <f t="shared" si="86"/>
        <v/>
      </c>
      <c r="M831" s="1">
        <f>VLOOKUP(B831,'[1]Срок Годности'!$A$2:$B$4,2,0)</f>
        <v>500</v>
      </c>
      <c r="N831" s="60">
        <f t="shared" si="87"/>
        <v>126</v>
      </c>
      <c r="O831" s="1" t="str">
        <f t="shared" si="88"/>
        <v>26 2012</v>
      </c>
      <c r="P831" s="1">
        <f t="shared" si="89"/>
        <v>23</v>
      </c>
      <c r="Q831" s="1">
        <f t="shared" ca="1" si="90"/>
        <v>4047</v>
      </c>
      <c r="S831" s="1">
        <f t="shared" si="84"/>
        <v>391</v>
      </c>
    </row>
    <row r="832" spans="1:19" x14ac:dyDescent="0.2">
      <c r="A832" s="57" t="s">
        <v>232</v>
      </c>
      <c r="B832" s="57" t="s">
        <v>225</v>
      </c>
      <c r="C832" s="57" t="s">
        <v>226</v>
      </c>
      <c r="D832" s="58">
        <v>317.08</v>
      </c>
      <c r="E832" s="59">
        <v>41087</v>
      </c>
      <c r="F832" s="58">
        <v>391</v>
      </c>
      <c r="G832" s="58">
        <v>21</v>
      </c>
      <c r="H832" s="58">
        <v>88</v>
      </c>
      <c r="I832" s="58">
        <v>322</v>
      </c>
      <c r="J832" s="58">
        <v>0</v>
      </c>
      <c r="K832" s="1">
        <f t="shared" si="85"/>
        <v>27903.039999999997</v>
      </c>
      <c r="L832" s="1" t="str">
        <f t="shared" si="86"/>
        <v/>
      </c>
      <c r="M832" s="1">
        <f>VLOOKUP(B832,'[1]Срок Годности'!$A$2:$B$4,2,0)</f>
        <v>500</v>
      </c>
      <c r="N832" s="60">
        <f t="shared" si="87"/>
        <v>21</v>
      </c>
      <c r="O832" s="1" t="str">
        <f t="shared" si="88"/>
        <v>26 2012</v>
      </c>
      <c r="P832" s="1">
        <f t="shared" si="89"/>
        <v>23</v>
      </c>
      <c r="Q832" s="1">
        <f t="shared" ca="1" si="90"/>
        <v>4046</v>
      </c>
      <c r="S832" s="1">
        <f t="shared" si="84"/>
        <v>322</v>
      </c>
    </row>
    <row r="833" spans="1:19" x14ac:dyDescent="0.2">
      <c r="A833" s="57" t="s">
        <v>232</v>
      </c>
      <c r="B833" s="57" t="s">
        <v>225</v>
      </c>
      <c r="C833" s="57" t="s">
        <v>226</v>
      </c>
      <c r="D833" s="58">
        <v>317.08</v>
      </c>
      <c r="E833" s="59">
        <v>41088</v>
      </c>
      <c r="F833" s="58">
        <v>322</v>
      </c>
      <c r="G833" s="58">
        <v>146</v>
      </c>
      <c r="H833" s="58">
        <v>70</v>
      </c>
      <c r="I833" s="58">
        <v>398</v>
      </c>
      <c r="J833" s="58">
        <v>0</v>
      </c>
      <c r="K833" s="1">
        <f t="shared" si="85"/>
        <v>22195.599999999999</v>
      </c>
      <c r="L833" s="1" t="str">
        <f t="shared" si="86"/>
        <v/>
      </c>
      <c r="M833" s="1">
        <f>VLOOKUP(B833,'[1]Срок Годности'!$A$2:$B$4,2,0)</f>
        <v>500</v>
      </c>
      <c r="N833" s="60">
        <f t="shared" si="87"/>
        <v>146</v>
      </c>
      <c r="O833" s="1" t="str">
        <f t="shared" si="88"/>
        <v>26 2012</v>
      </c>
      <c r="P833" s="1">
        <f t="shared" si="89"/>
        <v>23</v>
      </c>
      <c r="Q833" s="1">
        <f t="shared" ca="1" si="90"/>
        <v>4045</v>
      </c>
      <c r="S833" s="1">
        <f t="shared" si="84"/>
        <v>398</v>
      </c>
    </row>
    <row r="834" spans="1:19" x14ac:dyDescent="0.2">
      <c r="A834" s="57" t="s">
        <v>232</v>
      </c>
      <c r="B834" s="57" t="s">
        <v>225</v>
      </c>
      <c r="C834" s="57" t="s">
        <v>226</v>
      </c>
      <c r="D834" s="58">
        <v>317.08</v>
      </c>
      <c r="E834" s="59">
        <v>41089</v>
      </c>
      <c r="F834" s="58">
        <v>398</v>
      </c>
      <c r="G834" s="58">
        <v>3</v>
      </c>
      <c r="H834" s="58">
        <v>58</v>
      </c>
      <c r="I834" s="58">
        <v>343</v>
      </c>
      <c r="J834" s="58">
        <v>0</v>
      </c>
      <c r="K834" s="1">
        <f t="shared" si="85"/>
        <v>18390.64</v>
      </c>
      <c r="L834" s="1" t="str">
        <f t="shared" si="86"/>
        <v/>
      </c>
      <c r="M834" s="1">
        <f>VLOOKUP(B834,'[1]Срок Годности'!$A$2:$B$4,2,0)</f>
        <v>500</v>
      </c>
      <c r="N834" s="60">
        <f t="shared" si="87"/>
        <v>3</v>
      </c>
      <c r="O834" s="1" t="str">
        <f t="shared" si="88"/>
        <v>26 2012</v>
      </c>
      <c r="P834" s="1">
        <f t="shared" si="89"/>
        <v>23</v>
      </c>
      <c r="Q834" s="1">
        <f t="shared" ca="1" si="90"/>
        <v>4044</v>
      </c>
      <c r="S834" s="1">
        <f t="shared" si="84"/>
        <v>343</v>
      </c>
    </row>
    <row r="835" spans="1:19" x14ac:dyDescent="0.2">
      <c r="A835" s="57" t="s">
        <v>232</v>
      </c>
      <c r="B835" s="57" t="s">
        <v>225</v>
      </c>
      <c r="C835" s="57" t="s">
        <v>226</v>
      </c>
      <c r="D835" s="58">
        <v>317.08</v>
      </c>
      <c r="E835" s="59">
        <v>41090</v>
      </c>
      <c r="F835" s="58">
        <v>343</v>
      </c>
      <c r="G835" s="58">
        <v>181</v>
      </c>
      <c r="H835" s="58">
        <v>55</v>
      </c>
      <c r="I835" s="58">
        <v>469</v>
      </c>
      <c r="J835" s="58">
        <v>0</v>
      </c>
      <c r="K835" s="1">
        <f t="shared" si="85"/>
        <v>17439.399999999998</v>
      </c>
      <c r="L835" s="1" t="str">
        <f t="shared" si="86"/>
        <v/>
      </c>
      <c r="M835" s="1">
        <f>VLOOKUP(B835,'[1]Срок Годности'!$A$2:$B$4,2,0)</f>
        <v>500</v>
      </c>
      <c r="N835" s="60">
        <f t="shared" si="87"/>
        <v>181</v>
      </c>
      <c r="O835" s="1" t="str">
        <f t="shared" si="88"/>
        <v>26 2012</v>
      </c>
      <c r="P835" s="1">
        <f t="shared" si="89"/>
        <v>23</v>
      </c>
      <c r="Q835" s="1">
        <f t="shared" ca="1" si="90"/>
        <v>4043</v>
      </c>
      <c r="S835" s="1">
        <f t="shared" si="84"/>
        <v>469</v>
      </c>
    </row>
    <row r="836" spans="1:19" x14ac:dyDescent="0.2">
      <c r="A836" s="57" t="s">
        <v>232</v>
      </c>
      <c r="B836" s="57" t="s">
        <v>225</v>
      </c>
      <c r="C836" s="57" t="s">
        <v>226</v>
      </c>
      <c r="D836" s="58">
        <v>317.08</v>
      </c>
      <c r="E836" s="59">
        <v>41091</v>
      </c>
      <c r="F836" s="58">
        <v>469</v>
      </c>
      <c r="G836" s="58">
        <v>49</v>
      </c>
      <c r="H836" s="58">
        <v>61</v>
      </c>
      <c r="I836" s="58">
        <v>457</v>
      </c>
      <c r="J836" s="58">
        <v>0</v>
      </c>
      <c r="K836" s="1">
        <f t="shared" si="85"/>
        <v>19341.879999999997</v>
      </c>
      <c r="L836" s="1" t="str">
        <f t="shared" si="86"/>
        <v/>
      </c>
      <c r="M836" s="1">
        <f>VLOOKUP(B836,'[1]Срок Годности'!$A$2:$B$4,2,0)</f>
        <v>500</v>
      </c>
      <c r="N836" s="60">
        <f t="shared" si="87"/>
        <v>0</v>
      </c>
      <c r="O836" s="1" t="str">
        <f t="shared" si="88"/>
        <v>27 2012</v>
      </c>
      <c r="P836" s="1">
        <f t="shared" si="89"/>
        <v>23</v>
      </c>
      <c r="Q836" s="1">
        <f t="shared" ca="1" si="90"/>
        <v>4042</v>
      </c>
      <c r="S836" s="1">
        <f t="shared" si="84"/>
        <v>457</v>
      </c>
    </row>
    <row r="837" spans="1:19" x14ac:dyDescent="0.2">
      <c r="A837" s="57" t="s">
        <v>232</v>
      </c>
      <c r="B837" s="57" t="s">
        <v>225</v>
      </c>
      <c r="C837" s="57" t="s">
        <v>226</v>
      </c>
      <c r="D837" s="58">
        <v>317.08</v>
      </c>
      <c r="E837" s="59">
        <v>41092</v>
      </c>
      <c r="F837" s="58">
        <v>457</v>
      </c>
      <c r="G837" s="58">
        <v>126</v>
      </c>
      <c r="H837" s="58">
        <v>62</v>
      </c>
      <c r="I837" s="58">
        <v>520</v>
      </c>
      <c r="J837" s="58">
        <v>0</v>
      </c>
      <c r="K837" s="1">
        <f t="shared" si="85"/>
        <v>19658.96</v>
      </c>
      <c r="L837" s="1" t="str">
        <f t="shared" si="86"/>
        <v/>
      </c>
      <c r="M837" s="1">
        <f>VLOOKUP(B837,'[1]Срок Годности'!$A$2:$B$4,2,0)</f>
        <v>500</v>
      </c>
      <c r="N837" s="60">
        <f t="shared" si="87"/>
        <v>126</v>
      </c>
      <c r="O837" s="1" t="str">
        <f t="shared" si="88"/>
        <v>27 2012</v>
      </c>
      <c r="P837" s="1">
        <f t="shared" si="89"/>
        <v>23</v>
      </c>
      <c r="Q837" s="1">
        <f t="shared" ca="1" si="90"/>
        <v>4041</v>
      </c>
      <c r="S837" s="1">
        <f t="shared" si="84"/>
        <v>520</v>
      </c>
    </row>
    <row r="838" spans="1:19" x14ac:dyDescent="0.2">
      <c r="A838" s="57" t="s">
        <v>232</v>
      </c>
      <c r="B838" s="57" t="s">
        <v>225</v>
      </c>
      <c r="C838" s="57" t="s">
        <v>226</v>
      </c>
      <c r="D838" s="58">
        <v>317.08</v>
      </c>
      <c r="E838" s="59">
        <v>41093</v>
      </c>
      <c r="F838" s="58">
        <v>520</v>
      </c>
      <c r="G838" s="58">
        <v>167</v>
      </c>
      <c r="H838" s="58">
        <v>81</v>
      </c>
      <c r="I838" s="58">
        <v>606</v>
      </c>
      <c r="J838" s="58">
        <v>0</v>
      </c>
      <c r="K838" s="1">
        <f t="shared" si="85"/>
        <v>25683.48</v>
      </c>
      <c r="L838" s="1" t="str">
        <f t="shared" si="86"/>
        <v/>
      </c>
      <c r="M838" s="1">
        <f>VLOOKUP(B838,'[1]Срок Годности'!$A$2:$B$4,2,0)</f>
        <v>500</v>
      </c>
      <c r="N838" s="60">
        <f t="shared" si="87"/>
        <v>167</v>
      </c>
      <c r="O838" s="1" t="str">
        <f t="shared" si="88"/>
        <v>27 2012</v>
      </c>
      <c r="P838" s="1">
        <f t="shared" si="89"/>
        <v>23</v>
      </c>
      <c r="Q838" s="1">
        <f t="shared" ca="1" si="90"/>
        <v>4040</v>
      </c>
      <c r="S838" s="1">
        <f t="shared" si="84"/>
        <v>606</v>
      </c>
    </row>
    <row r="839" spans="1:19" x14ac:dyDescent="0.2">
      <c r="A839" s="57" t="s">
        <v>232</v>
      </c>
      <c r="B839" s="57" t="s">
        <v>225</v>
      </c>
      <c r="C839" s="57" t="s">
        <v>226</v>
      </c>
      <c r="D839" s="58">
        <v>317.08</v>
      </c>
      <c r="E839" s="59">
        <v>41094</v>
      </c>
      <c r="F839" s="58">
        <v>606</v>
      </c>
      <c r="G839" s="58">
        <v>158</v>
      </c>
      <c r="H839" s="58">
        <v>54</v>
      </c>
      <c r="I839" s="58">
        <v>710</v>
      </c>
      <c r="J839" s="58">
        <v>0</v>
      </c>
      <c r="K839" s="1">
        <f t="shared" si="85"/>
        <v>17122.32</v>
      </c>
      <c r="L839" s="1" t="str">
        <f t="shared" si="86"/>
        <v/>
      </c>
      <c r="M839" s="1">
        <f>VLOOKUP(B839,'[1]Срок Годности'!$A$2:$B$4,2,0)</f>
        <v>500</v>
      </c>
      <c r="N839" s="60">
        <f t="shared" si="87"/>
        <v>158</v>
      </c>
      <c r="O839" s="1" t="str">
        <f t="shared" si="88"/>
        <v>27 2012</v>
      </c>
      <c r="P839" s="1">
        <f t="shared" si="89"/>
        <v>23</v>
      </c>
      <c r="Q839" s="1">
        <f t="shared" ca="1" si="90"/>
        <v>4039</v>
      </c>
      <c r="S839" s="1">
        <f t="shared" ref="S839:S902" si="91">I839-J839</f>
        <v>710</v>
      </c>
    </row>
    <row r="840" spans="1:19" x14ac:dyDescent="0.2">
      <c r="A840" s="57" t="s">
        <v>232</v>
      </c>
      <c r="B840" s="57" t="s">
        <v>225</v>
      </c>
      <c r="C840" s="57" t="s">
        <v>226</v>
      </c>
      <c r="D840" s="58">
        <v>317.08</v>
      </c>
      <c r="E840" s="59">
        <v>41095</v>
      </c>
      <c r="F840" s="58">
        <v>710</v>
      </c>
      <c r="G840" s="58">
        <v>-2</v>
      </c>
      <c r="H840" s="58">
        <v>62</v>
      </c>
      <c r="I840" s="58">
        <v>640</v>
      </c>
      <c r="J840" s="58">
        <v>0</v>
      </c>
      <c r="K840" s="1">
        <f t="shared" ref="K840:K903" si="92">H840*D840</f>
        <v>19658.96</v>
      </c>
      <c r="L840" s="1" t="str">
        <f t="shared" ref="L840:L903" si="93">IF(H840&gt;1000,H840,"")</f>
        <v/>
      </c>
      <c r="M840" s="1">
        <f>VLOOKUP(B840,'[1]Срок Годности'!$A$2:$B$4,2,0)</f>
        <v>500</v>
      </c>
      <c r="N840" s="60">
        <f t="shared" ref="N840:N903" si="94">IF(WEEKDAY(E840) = 1, 0, G840)</f>
        <v>-2</v>
      </c>
      <c r="O840" s="1" t="str">
        <f t="shared" ref="O840:O903" si="95">WEEKNUM(E840) &amp; " " &amp; YEAR(E840)</f>
        <v>27 2012</v>
      </c>
      <c r="P840" s="1">
        <f t="shared" ref="P840:P903" si="96">LEN(C840)</f>
        <v>23</v>
      </c>
      <c r="Q840" s="1">
        <f t="shared" ref="Q840:Q903" ca="1" si="97">DATEDIF(E840,NOW(),"D")</f>
        <v>4038</v>
      </c>
      <c r="S840" s="1">
        <f t="shared" si="91"/>
        <v>640</v>
      </c>
    </row>
    <row r="841" spans="1:19" x14ac:dyDescent="0.2">
      <c r="A841" s="57" t="s">
        <v>232</v>
      </c>
      <c r="B841" s="57" t="s">
        <v>225</v>
      </c>
      <c r="C841" s="57" t="s">
        <v>226</v>
      </c>
      <c r="D841" s="58">
        <v>317.08</v>
      </c>
      <c r="E841" s="59">
        <v>41096</v>
      </c>
      <c r="F841" s="58">
        <v>640</v>
      </c>
      <c r="G841" s="58">
        <v>64</v>
      </c>
      <c r="H841" s="58">
        <v>70</v>
      </c>
      <c r="I841" s="58">
        <v>631</v>
      </c>
      <c r="J841" s="58">
        <v>0</v>
      </c>
      <c r="K841" s="1">
        <f t="shared" si="92"/>
        <v>22195.599999999999</v>
      </c>
      <c r="L841" s="1" t="str">
        <f t="shared" si="93"/>
        <v/>
      </c>
      <c r="M841" s="1">
        <f>VLOOKUP(B841,'[1]Срок Годности'!$A$2:$B$4,2,0)</f>
        <v>500</v>
      </c>
      <c r="N841" s="60">
        <f t="shared" si="94"/>
        <v>64</v>
      </c>
      <c r="O841" s="1" t="str">
        <f t="shared" si="95"/>
        <v>27 2012</v>
      </c>
      <c r="P841" s="1">
        <f t="shared" si="96"/>
        <v>23</v>
      </c>
      <c r="Q841" s="1">
        <f t="shared" ca="1" si="97"/>
        <v>4037</v>
      </c>
      <c r="S841" s="1">
        <f t="shared" si="91"/>
        <v>631</v>
      </c>
    </row>
    <row r="842" spans="1:19" x14ac:dyDescent="0.2">
      <c r="A842" s="57" t="s">
        <v>232</v>
      </c>
      <c r="B842" s="57" t="s">
        <v>225</v>
      </c>
      <c r="C842" s="57" t="s">
        <v>226</v>
      </c>
      <c r="D842" s="58">
        <v>317.08</v>
      </c>
      <c r="E842" s="59">
        <v>41097</v>
      </c>
      <c r="F842" s="58">
        <v>631</v>
      </c>
      <c r="G842" s="58">
        <v>51</v>
      </c>
      <c r="H842" s="58">
        <v>80</v>
      </c>
      <c r="I842" s="58">
        <v>598</v>
      </c>
      <c r="J842" s="58">
        <v>0</v>
      </c>
      <c r="K842" s="1">
        <f t="shared" si="92"/>
        <v>25366.399999999998</v>
      </c>
      <c r="L842" s="1" t="str">
        <f t="shared" si="93"/>
        <v/>
      </c>
      <c r="M842" s="1">
        <f>VLOOKUP(B842,'[1]Срок Годности'!$A$2:$B$4,2,0)</f>
        <v>500</v>
      </c>
      <c r="N842" s="60">
        <f t="shared" si="94"/>
        <v>51</v>
      </c>
      <c r="O842" s="1" t="str">
        <f t="shared" si="95"/>
        <v>27 2012</v>
      </c>
      <c r="P842" s="1">
        <f t="shared" si="96"/>
        <v>23</v>
      </c>
      <c r="Q842" s="1">
        <f t="shared" ca="1" si="97"/>
        <v>4036</v>
      </c>
      <c r="S842" s="1">
        <f t="shared" si="91"/>
        <v>598</v>
      </c>
    </row>
    <row r="843" spans="1:19" x14ac:dyDescent="0.2">
      <c r="A843" s="57" t="s">
        <v>232</v>
      </c>
      <c r="B843" s="57" t="s">
        <v>225</v>
      </c>
      <c r="C843" s="57" t="s">
        <v>226</v>
      </c>
      <c r="D843" s="58">
        <v>317.08</v>
      </c>
      <c r="E843" s="59">
        <v>41098</v>
      </c>
      <c r="F843" s="58">
        <v>598</v>
      </c>
      <c r="G843" s="58">
        <v>96</v>
      </c>
      <c r="H843" s="58">
        <v>97</v>
      </c>
      <c r="I843" s="58">
        <v>590</v>
      </c>
      <c r="J843" s="58">
        <v>0</v>
      </c>
      <c r="K843" s="1">
        <f t="shared" si="92"/>
        <v>30756.76</v>
      </c>
      <c r="L843" s="1" t="str">
        <f t="shared" si="93"/>
        <v/>
      </c>
      <c r="M843" s="1">
        <f>VLOOKUP(B843,'[1]Срок Годности'!$A$2:$B$4,2,0)</f>
        <v>500</v>
      </c>
      <c r="N843" s="60">
        <f t="shared" si="94"/>
        <v>0</v>
      </c>
      <c r="O843" s="1" t="str">
        <f t="shared" si="95"/>
        <v>28 2012</v>
      </c>
      <c r="P843" s="1">
        <f t="shared" si="96"/>
        <v>23</v>
      </c>
      <c r="Q843" s="1">
        <f t="shared" ca="1" si="97"/>
        <v>4035</v>
      </c>
      <c r="S843" s="1">
        <f t="shared" si="91"/>
        <v>590</v>
      </c>
    </row>
    <row r="844" spans="1:19" x14ac:dyDescent="0.2">
      <c r="A844" s="57" t="s">
        <v>232</v>
      </c>
      <c r="B844" s="57" t="s">
        <v>225</v>
      </c>
      <c r="C844" s="57" t="s">
        <v>226</v>
      </c>
      <c r="D844" s="58">
        <v>317.08</v>
      </c>
      <c r="E844" s="59">
        <v>41099</v>
      </c>
      <c r="F844" s="58">
        <v>590</v>
      </c>
      <c r="G844" s="58">
        <v>32</v>
      </c>
      <c r="H844" s="58">
        <v>117</v>
      </c>
      <c r="I844" s="58">
        <v>504</v>
      </c>
      <c r="J844" s="58">
        <v>0</v>
      </c>
      <c r="K844" s="1">
        <f t="shared" si="92"/>
        <v>37098.36</v>
      </c>
      <c r="L844" s="1" t="str">
        <f t="shared" si="93"/>
        <v/>
      </c>
      <c r="M844" s="1">
        <f>VLOOKUP(B844,'[1]Срок Годности'!$A$2:$B$4,2,0)</f>
        <v>500</v>
      </c>
      <c r="N844" s="60">
        <f t="shared" si="94"/>
        <v>32</v>
      </c>
      <c r="O844" s="1" t="str">
        <f t="shared" si="95"/>
        <v>28 2012</v>
      </c>
      <c r="P844" s="1">
        <f t="shared" si="96"/>
        <v>23</v>
      </c>
      <c r="Q844" s="1">
        <f t="shared" ca="1" si="97"/>
        <v>4034</v>
      </c>
      <c r="S844" s="1">
        <f t="shared" si="91"/>
        <v>504</v>
      </c>
    </row>
    <row r="845" spans="1:19" x14ac:dyDescent="0.2">
      <c r="A845" s="57" t="s">
        <v>232</v>
      </c>
      <c r="B845" s="57" t="s">
        <v>225</v>
      </c>
      <c r="C845" s="57" t="s">
        <v>226</v>
      </c>
      <c r="D845" s="58">
        <v>317.08</v>
      </c>
      <c r="E845" s="59">
        <v>41100</v>
      </c>
      <c r="F845" s="58">
        <v>504</v>
      </c>
      <c r="G845" s="58">
        <v>179</v>
      </c>
      <c r="H845" s="58">
        <v>68</v>
      </c>
      <c r="I845" s="58">
        <v>613</v>
      </c>
      <c r="J845" s="58">
        <v>0</v>
      </c>
      <c r="K845" s="1">
        <f t="shared" si="92"/>
        <v>21561.439999999999</v>
      </c>
      <c r="L845" s="1" t="str">
        <f t="shared" si="93"/>
        <v/>
      </c>
      <c r="M845" s="1">
        <f>VLOOKUP(B845,'[1]Срок Годности'!$A$2:$B$4,2,0)</f>
        <v>500</v>
      </c>
      <c r="N845" s="60">
        <f t="shared" si="94"/>
        <v>179</v>
      </c>
      <c r="O845" s="1" t="str">
        <f t="shared" si="95"/>
        <v>28 2012</v>
      </c>
      <c r="P845" s="1">
        <f t="shared" si="96"/>
        <v>23</v>
      </c>
      <c r="Q845" s="1">
        <f t="shared" ca="1" si="97"/>
        <v>4033</v>
      </c>
      <c r="S845" s="1">
        <f t="shared" si="91"/>
        <v>613</v>
      </c>
    </row>
    <row r="846" spans="1:19" x14ac:dyDescent="0.2">
      <c r="A846" s="57" t="s">
        <v>232</v>
      </c>
      <c r="B846" s="57" t="s">
        <v>225</v>
      </c>
      <c r="C846" s="57" t="s">
        <v>226</v>
      </c>
      <c r="D846" s="58">
        <v>317.08</v>
      </c>
      <c r="E846" s="59">
        <v>41101</v>
      </c>
      <c r="F846" s="58">
        <v>613</v>
      </c>
      <c r="G846" s="58">
        <v>28</v>
      </c>
      <c r="H846" s="58">
        <v>94</v>
      </c>
      <c r="I846" s="58">
        <v>542</v>
      </c>
      <c r="J846" s="58">
        <v>0</v>
      </c>
      <c r="K846" s="1">
        <f t="shared" si="92"/>
        <v>29805.519999999997</v>
      </c>
      <c r="L846" s="1" t="str">
        <f t="shared" si="93"/>
        <v/>
      </c>
      <c r="M846" s="1">
        <f>VLOOKUP(B846,'[1]Срок Годности'!$A$2:$B$4,2,0)</f>
        <v>500</v>
      </c>
      <c r="N846" s="60">
        <f t="shared" si="94"/>
        <v>28</v>
      </c>
      <c r="O846" s="1" t="str">
        <f t="shared" si="95"/>
        <v>28 2012</v>
      </c>
      <c r="P846" s="1">
        <f t="shared" si="96"/>
        <v>23</v>
      </c>
      <c r="Q846" s="1">
        <f t="shared" ca="1" si="97"/>
        <v>4032</v>
      </c>
      <c r="S846" s="1">
        <f t="shared" si="91"/>
        <v>542</v>
      </c>
    </row>
    <row r="847" spans="1:19" x14ac:dyDescent="0.2">
      <c r="A847" s="57" t="s">
        <v>232</v>
      </c>
      <c r="B847" s="57" t="s">
        <v>225</v>
      </c>
      <c r="C847" s="57" t="s">
        <v>226</v>
      </c>
      <c r="D847" s="58">
        <v>317.08</v>
      </c>
      <c r="E847" s="59">
        <v>41102</v>
      </c>
      <c r="F847" s="58">
        <v>542</v>
      </c>
      <c r="G847" s="58">
        <v>19</v>
      </c>
      <c r="H847" s="58">
        <v>116</v>
      </c>
      <c r="I847" s="58">
        <v>444</v>
      </c>
      <c r="J847" s="58">
        <v>0</v>
      </c>
      <c r="K847" s="1">
        <f t="shared" si="92"/>
        <v>36781.279999999999</v>
      </c>
      <c r="L847" s="1" t="str">
        <f t="shared" si="93"/>
        <v/>
      </c>
      <c r="M847" s="1">
        <f>VLOOKUP(B847,'[1]Срок Годности'!$A$2:$B$4,2,0)</f>
        <v>500</v>
      </c>
      <c r="N847" s="60">
        <f t="shared" si="94"/>
        <v>19</v>
      </c>
      <c r="O847" s="1" t="str">
        <f t="shared" si="95"/>
        <v>28 2012</v>
      </c>
      <c r="P847" s="1">
        <f t="shared" si="96"/>
        <v>23</v>
      </c>
      <c r="Q847" s="1">
        <f t="shared" ca="1" si="97"/>
        <v>4031</v>
      </c>
      <c r="S847" s="1">
        <f t="shared" si="91"/>
        <v>444</v>
      </c>
    </row>
    <row r="848" spans="1:19" x14ac:dyDescent="0.2">
      <c r="A848" s="57" t="s">
        <v>232</v>
      </c>
      <c r="B848" s="57" t="s">
        <v>225</v>
      </c>
      <c r="C848" s="57" t="s">
        <v>226</v>
      </c>
      <c r="D848" s="58">
        <v>317.08</v>
      </c>
      <c r="E848" s="59">
        <v>41103</v>
      </c>
      <c r="F848" s="58">
        <v>444</v>
      </c>
      <c r="G848" s="58">
        <v>41</v>
      </c>
      <c r="H848" s="58">
        <v>105</v>
      </c>
      <c r="I848" s="58">
        <v>380</v>
      </c>
      <c r="J848" s="58">
        <v>0</v>
      </c>
      <c r="K848" s="1">
        <f t="shared" si="92"/>
        <v>33293.4</v>
      </c>
      <c r="L848" s="1" t="str">
        <f t="shared" si="93"/>
        <v/>
      </c>
      <c r="M848" s="1">
        <f>VLOOKUP(B848,'[1]Срок Годности'!$A$2:$B$4,2,0)</f>
        <v>500</v>
      </c>
      <c r="N848" s="60">
        <f t="shared" si="94"/>
        <v>41</v>
      </c>
      <c r="O848" s="1" t="str">
        <f t="shared" si="95"/>
        <v>28 2012</v>
      </c>
      <c r="P848" s="1">
        <f t="shared" si="96"/>
        <v>23</v>
      </c>
      <c r="Q848" s="1">
        <f t="shared" ca="1" si="97"/>
        <v>4030</v>
      </c>
      <c r="S848" s="1">
        <f t="shared" si="91"/>
        <v>380</v>
      </c>
    </row>
    <row r="849" spans="1:19" x14ac:dyDescent="0.2">
      <c r="A849" s="57" t="s">
        <v>232</v>
      </c>
      <c r="B849" s="57" t="s">
        <v>225</v>
      </c>
      <c r="C849" s="57" t="s">
        <v>226</v>
      </c>
      <c r="D849" s="58">
        <v>317.08</v>
      </c>
      <c r="E849" s="59">
        <v>41104</v>
      </c>
      <c r="F849" s="58">
        <v>380</v>
      </c>
      <c r="G849" s="58">
        <v>147</v>
      </c>
      <c r="H849" s="58">
        <v>59</v>
      </c>
      <c r="I849" s="58">
        <v>467</v>
      </c>
      <c r="J849" s="58">
        <v>0</v>
      </c>
      <c r="K849" s="1">
        <f t="shared" si="92"/>
        <v>18707.719999999998</v>
      </c>
      <c r="L849" s="1" t="str">
        <f t="shared" si="93"/>
        <v/>
      </c>
      <c r="M849" s="1">
        <f>VLOOKUP(B849,'[1]Срок Годности'!$A$2:$B$4,2,0)</f>
        <v>500</v>
      </c>
      <c r="N849" s="60">
        <f t="shared" si="94"/>
        <v>147</v>
      </c>
      <c r="O849" s="1" t="str">
        <f t="shared" si="95"/>
        <v>28 2012</v>
      </c>
      <c r="P849" s="1">
        <f t="shared" si="96"/>
        <v>23</v>
      </c>
      <c r="Q849" s="1">
        <f t="shared" ca="1" si="97"/>
        <v>4029</v>
      </c>
      <c r="S849" s="1">
        <f t="shared" si="91"/>
        <v>467</v>
      </c>
    </row>
    <row r="850" spans="1:19" x14ac:dyDescent="0.2">
      <c r="A850" s="57" t="s">
        <v>232</v>
      </c>
      <c r="B850" s="57" t="s">
        <v>225</v>
      </c>
      <c r="C850" s="57" t="s">
        <v>226</v>
      </c>
      <c r="D850" s="58">
        <v>317.08</v>
      </c>
      <c r="E850" s="59">
        <v>41105</v>
      </c>
      <c r="F850" s="58">
        <v>467</v>
      </c>
      <c r="G850" s="58">
        <v>67</v>
      </c>
      <c r="H850" s="58">
        <v>74</v>
      </c>
      <c r="I850" s="58">
        <v>461</v>
      </c>
      <c r="J850" s="58">
        <v>0</v>
      </c>
      <c r="K850" s="1">
        <f t="shared" si="92"/>
        <v>23463.919999999998</v>
      </c>
      <c r="L850" s="1" t="str">
        <f t="shared" si="93"/>
        <v/>
      </c>
      <c r="M850" s="1">
        <f>VLOOKUP(B850,'[1]Срок Годности'!$A$2:$B$4,2,0)</f>
        <v>500</v>
      </c>
      <c r="N850" s="60">
        <f t="shared" si="94"/>
        <v>0</v>
      </c>
      <c r="O850" s="1" t="str">
        <f t="shared" si="95"/>
        <v>29 2012</v>
      </c>
      <c r="P850" s="1">
        <f t="shared" si="96"/>
        <v>23</v>
      </c>
      <c r="Q850" s="1">
        <f t="shared" ca="1" si="97"/>
        <v>4028</v>
      </c>
      <c r="S850" s="1">
        <f t="shared" si="91"/>
        <v>461</v>
      </c>
    </row>
    <row r="851" spans="1:19" x14ac:dyDescent="0.2">
      <c r="A851" s="57" t="s">
        <v>232</v>
      </c>
      <c r="B851" s="57" t="s">
        <v>225</v>
      </c>
      <c r="C851" s="57" t="s">
        <v>226</v>
      </c>
      <c r="D851" s="58">
        <v>317.08</v>
      </c>
      <c r="E851" s="59">
        <v>41106</v>
      </c>
      <c r="F851" s="58">
        <v>461</v>
      </c>
      <c r="G851" s="58">
        <v>88</v>
      </c>
      <c r="H851" s="58">
        <v>125</v>
      </c>
      <c r="I851" s="58">
        <v>421</v>
      </c>
      <c r="J851" s="58">
        <v>0</v>
      </c>
      <c r="K851" s="1">
        <f t="shared" si="92"/>
        <v>39635</v>
      </c>
      <c r="L851" s="1" t="str">
        <f t="shared" si="93"/>
        <v/>
      </c>
      <c r="M851" s="1">
        <f>VLOOKUP(B851,'[1]Срок Годности'!$A$2:$B$4,2,0)</f>
        <v>500</v>
      </c>
      <c r="N851" s="60">
        <f t="shared" si="94"/>
        <v>88</v>
      </c>
      <c r="O851" s="1" t="str">
        <f t="shared" si="95"/>
        <v>29 2012</v>
      </c>
      <c r="P851" s="1">
        <f t="shared" si="96"/>
        <v>23</v>
      </c>
      <c r="Q851" s="1">
        <f t="shared" ca="1" si="97"/>
        <v>4027</v>
      </c>
      <c r="S851" s="1">
        <f t="shared" si="91"/>
        <v>421</v>
      </c>
    </row>
    <row r="852" spans="1:19" x14ac:dyDescent="0.2">
      <c r="A852" s="57" t="s">
        <v>232</v>
      </c>
      <c r="B852" s="57" t="s">
        <v>225</v>
      </c>
      <c r="C852" s="57" t="s">
        <v>226</v>
      </c>
      <c r="D852" s="58">
        <v>317.08</v>
      </c>
      <c r="E852" s="59">
        <v>41107</v>
      </c>
      <c r="F852" s="58">
        <v>421</v>
      </c>
      <c r="G852" s="58">
        <v>187</v>
      </c>
      <c r="H852" s="58">
        <v>86</v>
      </c>
      <c r="I852" s="58">
        <v>518</v>
      </c>
      <c r="J852" s="58">
        <v>0</v>
      </c>
      <c r="K852" s="1">
        <f t="shared" si="92"/>
        <v>27268.879999999997</v>
      </c>
      <c r="L852" s="1" t="str">
        <f t="shared" si="93"/>
        <v/>
      </c>
      <c r="M852" s="1">
        <f>VLOOKUP(B852,'[1]Срок Годности'!$A$2:$B$4,2,0)</f>
        <v>500</v>
      </c>
      <c r="N852" s="60">
        <f t="shared" si="94"/>
        <v>187</v>
      </c>
      <c r="O852" s="1" t="str">
        <f t="shared" si="95"/>
        <v>29 2012</v>
      </c>
      <c r="P852" s="1">
        <f t="shared" si="96"/>
        <v>23</v>
      </c>
      <c r="Q852" s="1">
        <f t="shared" ca="1" si="97"/>
        <v>4026</v>
      </c>
      <c r="S852" s="1">
        <f t="shared" si="91"/>
        <v>518</v>
      </c>
    </row>
    <row r="853" spans="1:19" x14ac:dyDescent="0.2">
      <c r="A853" s="57" t="s">
        <v>232</v>
      </c>
      <c r="B853" s="57" t="s">
        <v>244</v>
      </c>
      <c r="C853" s="57" t="s">
        <v>245</v>
      </c>
      <c r="D853" s="58">
        <v>33.659999999999997</v>
      </c>
      <c r="E853" s="59">
        <v>41061</v>
      </c>
      <c r="F853" s="58">
        <v>115253</v>
      </c>
      <c r="G853" s="58">
        <v>2662</v>
      </c>
      <c r="H853" s="58">
        <v>20212</v>
      </c>
      <c r="I853" s="58">
        <v>97633</v>
      </c>
      <c r="J853" s="58">
        <v>1</v>
      </c>
      <c r="K853" s="1">
        <f t="shared" si="92"/>
        <v>680335.91999999993</v>
      </c>
      <c r="L853" s="1">
        <f t="shared" si="93"/>
        <v>20212</v>
      </c>
      <c r="M853" s="1">
        <f>VLOOKUP(B853,'[1]Срок Годности'!$A$2:$B$4,2,0)</f>
        <v>1500</v>
      </c>
      <c r="N853" s="60">
        <f t="shared" si="94"/>
        <v>2662</v>
      </c>
      <c r="O853" s="1" t="str">
        <f t="shared" si="95"/>
        <v>22 2012</v>
      </c>
      <c r="P853" s="1">
        <f t="shared" si="96"/>
        <v>21</v>
      </c>
      <c r="Q853" s="1">
        <f t="shared" ca="1" si="97"/>
        <v>4072</v>
      </c>
      <c r="S853" s="1">
        <f t="shared" si="91"/>
        <v>97632</v>
      </c>
    </row>
    <row r="854" spans="1:19" x14ac:dyDescent="0.2">
      <c r="A854" s="57" t="s">
        <v>232</v>
      </c>
      <c r="B854" s="57" t="s">
        <v>244</v>
      </c>
      <c r="C854" s="57" t="s">
        <v>245</v>
      </c>
      <c r="D854" s="58">
        <v>33.659999999999997</v>
      </c>
      <c r="E854" s="59">
        <v>41062</v>
      </c>
      <c r="F854" s="58">
        <v>97633</v>
      </c>
      <c r="G854" s="58">
        <v>36214</v>
      </c>
      <c r="H854" s="58">
        <v>17903</v>
      </c>
      <c r="I854" s="58">
        <v>115840</v>
      </c>
      <c r="J854" s="58">
        <v>0</v>
      </c>
      <c r="K854" s="1">
        <f t="shared" si="92"/>
        <v>602614.98</v>
      </c>
      <c r="L854" s="1">
        <f t="shared" si="93"/>
        <v>17903</v>
      </c>
      <c r="M854" s="1">
        <f>VLOOKUP(B854,'[1]Срок Годности'!$A$2:$B$4,2,0)</f>
        <v>1500</v>
      </c>
      <c r="N854" s="60">
        <f t="shared" si="94"/>
        <v>36214</v>
      </c>
      <c r="O854" s="1" t="str">
        <f t="shared" si="95"/>
        <v>22 2012</v>
      </c>
      <c r="P854" s="1">
        <f t="shared" si="96"/>
        <v>21</v>
      </c>
      <c r="Q854" s="1">
        <f t="shared" ca="1" si="97"/>
        <v>4071</v>
      </c>
      <c r="S854" s="1">
        <f t="shared" si="91"/>
        <v>115840</v>
      </c>
    </row>
    <row r="855" spans="1:19" x14ac:dyDescent="0.2">
      <c r="A855" s="57" t="s">
        <v>232</v>
      </c>
      <c r="B855" s="57" t="s">
        <v>244</v>
      </c>
      <c r="C855" s="57" t="s">
        <v>245</v>
      </c>
      <c r="D855" s="58">
        <v>33.659999999999997</v>
      </c>
      <c r="E855" s="59">
        <v>41063</v>
      </c>
      <c r="F855" s="58">
        <v>115840</v>
      </c>
      <c r="G855" s="58">
        <v>39005</v>
      </c>
      <c r="H855" s="58">
        <v>20991</v>
      </c>
      <c r="I855" s="58">
        <v>133677</v>
      </c>
      <c r="J855" s="58">
        <v>0</v>
      </c>
      <c r="K855" s="1">
        <f t="shared" si="92"/>
        <v>706557.05999999994</v>
      </c>
      <c r="L855" s="1">
        <f t="shared" si="93"/>
        <v>20991</v>
      </c>
      <c r="M855" s="1">
        <f>VLOOKUP(B855,'[1]Срок Годности'!$A$2:$B$4,2,0)</f>
        <v>1500</v>
      </c>
      <c r="N855" s="60">
        <f t="shared" si="94"/>
        <v>0</v>
      </c>
      <c r="O855" s="1" t="str">
        <f t="shared" si="95"/>
        <v>23 2012</v>
      </c>
      <c r="P855" s="1">
        <f t="shared" si="96"/>
        <v>21</v>
      </c>
      <c r="Q855" s="1">
        <f t="shared" ca="1" si="97"/>
        <v>4070</v>
      </c>
      <c r="S855" s="1">
        <f t="shared" si="91"/>
        <v>133677</v>
      </c>
    </row>
    <row r="856" spans="1:19" x14ac:dyDescent="0.2">
      <c r="A856" s="57" t="s">
        <v>232</v>
      </c>
      <c r="B856" s="57" t="s">
        <v>244</v>
      </c>
      <c r="C856" s="57" t="s">
        <v>245</v>
      </c>
      <c r="D856" s="58">
        <v>33.659999999999997</v>
      </c>
      <c r="E856" s="59">
        <v>41064</v>
      </c>
      <c r="F856" s="58">
        <v>133677</v>
      </c>
      <c r="G856" s="58">
        <v>18390</v>
      </c>
      <c r="H856" s="58">
        <v>25279</v>
      </c>
      <c r="I856" s="58">
        <v>126656</v>
      </c>
      <c r="J856" s="58">
        <v>0</v>
      </c>
      <c r="K856" s="1">
        <f t="shared" si="92"/>
        <v>850891.1399999999</v>
      </c>
      <c r="L856" s="1">
        <f t="shared" si="93"/>
        <v>25279</v>
      </c>
      <c r="M856" s="1">
        <f>VLOOKUP(B856,'[1]Срок Годности'!$A$2:$B$4,2,0)</f>
        <v>1500</v>
      </c>
      <c r="N856" s="60">
        <f t="shared" si="94"/>
        <v>18390</v>
      </c>
      <c r="O856" s="1" t="str">
        <f t="shared" si="95"/>
        <v>23 2012</v>
      </c>
      <c r="P856" s="1">
        <f t="shared" si="96"/>
        <v>21</v>
      </c>
      <c r="Q856" s="1">
        <f t="shared" ca="1" si="97"/>
        <v>4069</v>
      </c>
      <c r="S856" s="1">
        <f t="shared" si="91"/>
        <v>126656</v>
      </c>
    </row>
    <row r="857" spans="1:19" x14ac:dyDescent="0.2">
      <c r="A857" s="57" t="s">
        <v>232</v>
      </c>
      <c r="B857" s="57" t="s">
        <v>244</v>
      </c>
      <c r="C857" s="57" t="s">
        <v>245</v>
      </c>
      <c r="D857" s="58">
        <v>33.659999999999997</v>
      </c>
      <c r="E857" s="59">
        <v>41065</v>
      </c>
      <c r="F857" s="58">
        <v>126656</v>
      </c>
      <c r="G857" s="58">
        <v>18172</v>
      </c>
      <c r="H857" s="58">
        <v>24438</v>
      </c>
      <c r="I857" s="58">
        <v>120160</v>
      </c>
      <c r="J857" s="58">
        <v>5</v>
      </c>
      <c r="K857" s="1">
        <f t="shared" si="92"/>
        <v>822583.08</v>
      </c>
      <c r="L857" s="1">
        <f t="shared" si="93"/>
        <v>24438</v>
      </c>
      <c r="M857" s="1">
        <f>VLOOKUP(B857,'[1]Срок Годности'!$A$2:$B$4,2,0)</f>
        <v>1500</v>
      </c>
      <c r="N857" s="60">
        <f t="shared" si="94"/>
        <v>18172</v>
      </c>
      <c r="O857" s="1" t="str">
        <f t="shared" si="95"/>
        <v>23 2012</v>
      </c>
      <c r="P857" s="1">
        <f t="shared" si="96"/>
        <v>21</v>
      </c>
      <c r="Q857" s="1">
        <f t="shared" ca="1" si="97"/>
        <v>4068</v>
      </c>
      <c r="S857" s="1">
        <f t="shared" si="91"/>
        <v>120155</v>
      </c>
    </row>
    <row r="858" spans="1:19" x14ac:dyDescent="0.2">
      <c r="A858" s="57" t="s">
        <v>232</v>
      </c>
      <c r="B858" s="57" t="s">
        <v>244</v>
      </c>
      <c r="C858" s="57" t="s">
        <v>245</v>
      </c>
      <c r="D858" s="58">
        <v>33.659999999999997</v>
      </c>
      <c r="E858" s="59">
        <v>41066</v>
      </c>
      <c r="F858" s="58">
        <v>120160</v>
      </c>
      <c r="G858" s="58">
        <v>33438</v>
      </c>
      <c r="H858" s="58">
        <v>23787</v>
      </c>
      <c r="I858" s="58">
        <v>129428</v>
      </c>
      <c r="J858" s="58">
        <v>1</v>
      </c>
      <c r="K858" s="1">
        <f t="shared" si="92"/>
        <v>800670.41999999993</v>
      </c>
      <c r="L858" s="1">
        <f t="shared" si="93"/>
        <v>23787</v>
      </c>
      <c r="M858" s="1">
        <f>VLOOKUP(B858,'[1]Срок Годности'!$A$2:$B$4,2,0)</f>
        <v>1500</v>
      </c>
      <c r="N858" s="60">
        <f t="shared" si="94"/>
        <v>33438</v>
      </c>
      <c r="O858" s="1" t="str">
        <f t="shared" si="95"/>
        <v>23 2012</v>
      </c>
      <c r="P858" s="1">
        <f t="shared" si="96"/>
        <v>21</v>
      </c>
      <c r="Q858" s="1">
        <f t="shared" ca="1" si="97"/>
        <v>4067</v>
      </c>
      <c r="S858" s="1">
        <f t="shared" si="91"/>
        <v>129427</v>
      </c>
    </row>
    <row r="859" spans="1:19" x14ac:dyDescent="0.2">
      <c r="A859" s="57" t="s">
        <v>232</v>
      </c>
      <c r="B859" s="57" t="s">
        <v>244</v>
      </c>
      <c r="C859" s="57" t="s">
        <v>245</v>
      </c>
      <c r="D859" s="58">
        <v>33.659999999999997</v>
      </c>
      <c r="E859" s="59">
        <v>41067</v>
      </c>
      <c r="F859" s="58">
        <v>129428</v>
      </c>
      <c r="G859" s="58">
        <v>35011</v>
      </c>
      <c r="H859" s="58">
        <v>23926</v>
      </c>
      <c r="I859" s="58">
        <v>140158</v>
      </c>
      <c r="J859" s="58">
        <v>0</v>
      </c>
      <c r="K859" s="1">
        <f t="shared" si="92"/>
        <v>805349.15999999992</v>
      </c>
      <c r="L859" s="1">
        <f t="shared" si="93"/>
        <v>23926</v>
      </c>
      <c r="M859" s="1">
        <f>VLOOKUP(B859,'[1]Срок Годности'!$A$2:$B$4,2,0)</f>
        <v>1500</v>
      </c>
      <c r="N859" s="60">
        <f t="shared" si="94"/>
        <v>35011</v>
      </c>
      <c r="O859" s="1" t="str">
        <f t="shared" si="95"/>
        <v>23 2012</v>
      </c>
      <c r="P859" s="1">
        <f t="shared" si="96"/>
        <v>21</v>
      </c>
      <c r="Q859" s="1">
        <f t="shared" ca="1" si="97"/>
        <v>4066</v>
      </c>
      <c r="S859" s="1">
        <f t="shared" si="91"/>
        <v>140158</v>
      </c>
    </row>
    <row r="860" spans="1:19" x14ac:dyDescent="0.2">
      <c r="A860" s="57" t="s">
        <v>232</v>
      </c>
      <c r="B860" s="57" t="s">
        <v>244</v>
      </c>
      <c r="C860" s="57" t="s">
        <v>245</v>
      </c>
      <c r="D860" s="58">
        <v>33.659999999999997</v>
      </c>
      <c r="E860" s="59">
        <v>41068</v>
      </c>
      <c r="F860" s="58">
        <v>140158</v>
      </c>
      <c r="G860" s="58">
        <v>27858</v>
      </c>
      <c r="H860" s="58">
        <v>25931</v>
      </c>
      <c r="I860" s="58">
        <v>141681</v>
      </c>
      <c r="J860" s="58">
        <v>0</v>
      </c>
      <c r="K860" s="1">
        <f t="shared" si="92"/>
        <v>872837.46</v>
      </c>
      <c r="L860" s="1">
        <f t="shared" si="93"/>
        <v>25931</v>
      </c>
      <c r="M860" s="1">
        <f>VLOOKUP(B860,'[1]Срок Годности'!$A$2:$B$4,2,0)</f>
        <v>1500</v>
      </c>
      <c r="N860" s="60">
        <f t="shared" si="94"/>
        <v>27858</v>
      </c>
      <c r="O860" s="1" t="str">
        <f t="shared" si="95"/>
        <v>23 2012</v>
      </c>
      <c r="P860" s="1">
        <f t="shared" si="96"/>
        <v>21</v>
      </c>
      <c r="Q860" s="1">
        <f t="shared" ca="1" si="97"/>
        <v>4065</v>
      </c>
      <c r="S860" s="1">
        <f t="shared" si="91"/>
        <v>141681</v>
      </c>
    </row>
    <row r="861" spans="1:19" x14ac:dyDescent="0.2">
      <c r="A861" s="57" t="s">
        <v>232</v>
      </c>
      <c r="B861" s="57" t="s">
        <v>244</v>
      </c>
      <c r="C861" s="57" t="s">
        <v>245</v>
      </c>
      <c r="D861" s="58">
        <v>33.659999999999997</v>
      </c>
      <c r="E861" s="59">
        <v>41069</v>
      </c>
      <c r="F861" s="58">
        <v>141681</v>
      </c>
      <c r="G861" s="58">
        <v>29661</v>
      </c>
      <c r="H861" s="58">
        <v>22916</v>
      </c>
      <c r="I861" s="58">
        <v>148286</v>
      </c>
      <c r="J861" s="58">
        <v>0</v>
      </c>
      <c r="K861" s="1">
        <f t="shared" si="92"/>
        <v>771352.55999999994</v>
      </c>
      <c r="L861" s="1">
        <f t="shared" si="93"/>
        <v>22916</v>
      </c>
      <c r="M861" s="1">
        <f>VLOOKUP(B861,'[1]Срок Годности'!$A$2:$B$4,2,0)</f>
        <v>1500</v>
      </c>
      <c r="N861" s="60">
        <f t="shared" si="94"/>
        <v>29661</v>
      </c>
      <c r="O861" s="1" t="str">
        <f t="shared" si="95"/>
        <v>23 2012</v>
      </c>
      <c r="P861" s="1">
        <f t="shared" si="96"/>
        <v>21</v>
      </c>
      <c r="Q861" s="1">
        <f t="shared" ca="1" si="97"/>
        <v>4064</v>
      </c>
      <c r="S861" s="1">
        <f t="shared" si="91"/>
        <v>148286</v>
      </c>
    </row>
    <row r="862" spans="1:19" x14ac:dyDescent="0.2">
      <c r="A862" s="57" t="s">
        <v>232</v>
      </c>
      <c r="B862" s="57" t="s">
        <v>244</v>
      </c>
      <c r="C862" s="57" t="s">
        <v>245</v>
      </c>
      <c r="D862" s="58">
        <v>33.659999999999997</v>
      </c>
      <c r="E862" s="59">
        <v>41070</v>
      </c>
      <c r="F862" s="58">
        <v>148286</v>
      </c>
      <c r="G862" s="58">
        <v>20889</v>
      </c>
      <c r="H862" s="58">
        <v>19797</v>
      </c>
      <c r="I862" s="58">
        <v>149196</v>
      </c>
      <c r="J862" s="58">
        <v>5</v>
      </c>
      <c r="K862" s="1">
        <f t="shared" si="92"/>
        <v>666367.0199999999</v>
      </c>
      <c r="L862" s="1">
        <f t="shared" si="93"/>
        <v>19797</v>
      </c>
      <c r="M862" s="1">
        <f>VLOOKUP(B862,'[1]Срок Годности'!$A$2:$B$4,2,0)</f>
        <v>1500</v>
      </c>
      <c r="N862" s="60">
        <f t="shared" si="94"/>
        <v>0</v>
      </c>
      <c r="O862" s="1" t="str">
        <f t="shared" si="95"/>
        <v>24 2012</v>
      </c>
      <c r="P862" s="1">
        <f t="shared" si="96"/>
        <v>21</v>
      </c>
      <c r="Q862" s="1">
        <f t="shared" ca="1" si="97"/>
        <v>4063</v>
      </c>
      <c r="S862" s="1">
        <f t="shared" si="91"/>
        <v>149191</v>
      </c>
    </row>
    <row r="863" spans="1:19" x14ac:dyDescent="0.2">
      <c r="A863" s="57" t="s">
        <v>232</v>
      </c>
      <c r="B863" s="57" t="s">
        <v>244</v>
      </c>
      <c r="C863" s="57" t="s">
        <v>245</v>
      </c>
      <c r="D863" s="58">
        <v>33.659999999999997</v>
      </c>
      <c r="E863" s="59">
        <v>41071</v>
      </c>
      <c r="F863" s="58">
        <v>149196</v>
      </c>
      <c r="G863" s="58">
        <v>18791</v>
      </c>
      <c r="H863" s="58">
        <v>15229</v>
      </c>
      <c r="I863" s="58">
        <v>152654</v>
      </c>
      <c r="J863" s="58">
        <v>0</v>
      </c>
      <c r="K863" s="1">
        <f t="shared" si="92"/>
        <v>512608.13999999996</v>
      </c>
      <c r="L863" s="1">
        <f t="shared" si="93"/>
        <v>15229</v>
      </c>
      <c r="M863" s="1">
        <f>VLOOKUP(B863,'[1]Срок Годности'!$A$2:$B$4,2,0)</f>
        <v>1500</v>
      </c>
      <c r="N863" s="60">
        <f t="shared" si="94"/>
        <v>18791</v>
      </c>
      <c r="O863" s="1" t="str">
        <f t="shared" si="95"/>
        <v>24 2012</v>
      </c>
      <c r="P863" s="1">
        <f t="shared" si="96"/>
        <v>21</v>
      </c>
      <c r="Q863" s="1">
        <f t="shared" ca="1" si="97"/>
        <v>4062</v>
      </c>
      <c r="S863" s="1">
        <f t="shared" si="91"/>
        <v>152654</v>
      </c>
    </row>
    <row r="864" spans="1:19" x14ac:dyDescent="0.2">
      <c r="A864" s="57" t="s">
        <v>232</v>
      </c>
      <c r="B864" s="57" t="s">
        <v>244</v>
      </c>
      <c r="C864" s="57" t="s">
        <v>245</v>
      </c>
      <c r="D864" s="58">
        <v>33.659999999999997</v>
      </c>
      <c r="E864" s="59">
        <v>41072</v>
      </c>
      <c r="F864" s="58">
        <v>152654</v>
      </c>
      <c r="G864" s="58">
        <v>17414</v>
      </c>
      <c r="H864" s="58">
        <v>14249</v>
      </c>
      <c r="I864" s="58">
        <v>155499</v>
      </c>
      <c r="J864" s="58">
        <v>0</v>
      </c>
      <c r="K864" s="1">
        <f t="shared" si="92"/>
        <v>479621.33999999997</v>
      </c>
      <c r="L864" s="1">
        <f t="shared" si="93"/>
        <v>14249</v>
      </c>
      <c r="M864" s="1">
        <f>VLOOKUP(B864,'[1]Срок Годности'!$A$2:$B$4,2,0)</f>
        <v>1500</v>
      </c>
      <c r="N864" s="60">
        <f t="shared" si="94"/>
        <v>17414</v>
      </c>
      <c r="O864" s="1" t="str">
        <f t="shared" si="95"/>
        <v>24 2012</v>
      </c>
      <c r="P864" s="1">
        <f t="shared" si="96"/>
        <v>21</v>
      </c>
      <c r="Q864" s="1">
        <f t="shared" ca="1" si="97"/>
        <v>4061</v>
      </c>
      <c r="S864" s="1">
        <f t="shared" si="91"/>
        <v>155499</v>
      </c>
    </row>
    <row r="865" spans="1:19" x14ac:dyDescent="0.2">
      <c r="A865" s="57" t="s">
        <v>232</v>
      </c>
      <c r="B865" s="57" t="s">
        <v>244</v>
      </c>
      <c r="C865" s="57" t="s">
        <v>245</v>
      </c>
      <c r="D865" s="58">
        <v>33.659999999999997</v>
      </c>
      <c r="E865" s="59">
        <v>41073</v>
      </c>
      <c r="F865" s="58">
        <v>155499</v>
      </c>
      <c r="G865" s="58">
        <v>15315</v>
      </c>
      <c r="H865" s="58">
        <v>17920</v>
      </c>
      <c r="I865" s="58">
        <v>152705</v>
      </c>
      <c r="J865" s="58">
        <v>0</v>
      </c>
      <c r="K865" s="1">
        <f t="shared" si="92"/>
        <v>603187.19999999995</v>
      </c>
      <c r="L865" s="1">
        <f t="shared" si="93"/>
        <v>17920</v>
      </c>
      <c r="M865" s="1">
        <f>VLOOKUP(B865,'[1]Срок Годности'!$A$2:$B$4,2,0)</f>
        <v>1500</v>
      </c>
      <c r="N865" s="60">
        <f t="shared" si="94"/>
        <v>15315</v>
      </c>
      <c r="O865" s="1" t="str">
        <f t="shared" si="95"/>
        <v>24 2012</v>
      </c>
      <c r="P865" s="1">
        <f t="shared" si="96"/>
        <v>21</v>
      </c>
      <c r="Q865" s="1">
        <f t="shared" ca="1" si="97"/>
        <v>4060</v>
      </c>
      <c r="S865" s="1">
        <f t="shared" si="91"/>
        <v>152705</v>
      </c>
    </row>
    <row r="866" spans="1:19" x14ac:dyDescent="0.2">
      <c r="A866" s="57" t="s">
        <v>232</v>
      </c>
      <c r="B866" s="57" t="s">
        <v>244</v>
      </c>
      <c r="C866" s="57" t="s">
        <v>245</v>
      </c>
      <c r="D866" s="58">
        <v>33.659999999999997</v>
      </c>
      <c r="E866" s="59">
        <v>41074</v>
      </c>
      <c r="F866" s="58">
        <v>152705</v>
      </c>
      <c r="G866" s="58">
        <v>14068</v>
      </c>
      <c r="H866" s="58">
        <v>17439</v>
      </c>
      <c r="I866" s="58">
        <v>149164</v>
      </c>
      <c r="J866" s="58">
        <v>0</v>
      </c>
      <c r="K866" s="1">
        <f t="shared" si="92"/>
        <v>586996.74</v>
      </c>
      <c r="L866" s="1">
        <f t="shared" si="93"/>
        <v>17439</v>
      </c>
      <c r="M866" s="1">
        <f>VLOOKUP(B866,'[1]Срок Годности'!$A$2:$B$4,2,0)</f>
        <v>1500</v>
      </c>
      <c r="N866" s="60">
        <f t="shared" si="94"/>
        <v>14068</v>
      </c>
      <c r="O866" s="1" t="str">
        <f t="shared" si="95"/>
        <v>24 2012</v>
      </c>
      <c r="P866" s="1">
        <f t="shared" si="96"/>
        <v>21</v>
      </c>
      <c r="Q866" s="1">
        <f t="shared" ca="1" si="97"/>
        <v>4059</v>
      </c>
      <c r="S866" s="1">
        <f t="shared" si="91"/>
        <v>149164</v>
      </c>
    </row>
    <row r="867" spans="1:19" x14ac:dyDescent="0.2">
      <c r="A867" s="57" t="s">
        <v>232</v>
      </c>
      <c r="B867" s="57" t="s">
        <v>244</v>
      </c>
      <c r="C867" s="57" t="s">
        <v>245</v>
      </c>
      <c r="D867" s="58">
        <v>33.659999999999997</v>
      </c>
      <c r="E867" s="59">
        <v>41075</v>
      </c>
      <c r="F867" s="58">
        <v>149164</v>
      </c>
      <c r="G867" s="58">
        <v>16056</v>
      </c>
      <c r="H867" s="58">
        <v>18532</v>
      </c>
      <c r="I867" s="58">
        <v>146666</v>
      </c>
      <c r="J867" s="58">
        <v>0</v>
      </c>
      <c r="K867" s="1">
        <f t="shared" si="92"/>
        <v>623787.11999999988</v>
      </c>
      <c r="L867" s="1">
        <f t="shared" si="93"/>
        <v>18532</v>
      </c>
      <c r="M867" s="1">
        <f>VLOOKUP(B867,'[1]Срок Годности'!$A$2:$B$4,2,0)</f>
        <v>1500</v>
      </c>
      <c r="N867" s="60">
        <f t="shared" si="94"/>
        <v>16056</v>
      </c>
      <c r="O867" s="1" t="str">
        <f t="shared" si="95"/>
        <v>24 2012</v>
      </c>
      <c r="P867" s="1">
        <f t="shared" si="96"/>
        <v>21</v>
      </c>
      <c r="Q867" s="1">
        <f t="shared" ca="1" si="97"/>
        <v>4058</v>
      </c>
      <c r="S867" s="1">
        <f t="shared" si="91"/>
        <v>146666</v>
      </c>
    </row>
    <row r="868" spans="1:19" x14ac:dyDescent="0.2">
      <c r="A868" s="57" t="s">
        <v>232</v>
      </c>
      <c r="B868" s="57" t="s">
        <v>244</v>
      </c>
      <c r="C868" s="57" t="s">
        <v>245</v>
      </c>
      <c r="D868" s="58">
        <v>33.659999999999997</v>
      </c>
      <c r="E868" s="59">
        <v>41076</v>
      </c>
      <c r="F868" s="58">
        <v>146666</v>
      </c>
      <c r="G868" s="58">
        <v>14068</v>
      </c>
      <c r="H868" s="58">
        <v>15172</v>
      </c>
      <c r="I868" s="58">
        <v>145484</v>
      </c>
      <c r="J868" s="58">
        <v>0</v>
      </c>
      <c r="K868" s="1">
        <f t="shared" si="92"/>
        <v>510689.51999999996</v>
      </c>
      <c r="L868" s="1">
        <f t="shared" si="93"/>
        <v>15172</v>
      </c>
      <c r="M868" s="1">
        <f>VLOOKUP(B868,'[1]Срок Годности'!$A$2:$B$4,2,0)</f>
        <v>1500</v>
      </c>
      <c r="N868" s="60">
        <f t="shared" si="94"/>
        <v>14068</v>
      </c>
      <c r="O868" s="1" t="str">
        <f t="shared" si="95"/>
        <v>24 2012</v>
      </c>
      <c r="P868" s="1">
        <f t="shared" si="96"/>
        <v>21</v>
      </c>
      <c r="Q868" s="1">
        <f t="shared" ca="1" si="97"/>
        <v>4057</v>
      </c>
      <c r="S868" s="1">
        <f t="shared" si="91"/>
        <v>145484</v>
      </c>
    </row>
    <row r="869" spans="1:19" x14ac:dyDescent="0.2">
      <c r="A869" s="57" t="s">
        <v>232</v>
      </c>
      <c r="B869" s="57" t="s">
        <v>244</v>
      </c>
      <c r="C869" s="57" t="s">
        <v>245</v>
      </c>
      <c r="D869" s="58">
        <v>33.659999999999997</v>
      </c>
      <c r="E869" s="59">
        <v>41077</v>
      </c>
      <c r="F869" s="58">
        <v>145484</v>
      </c>
      <c r="G869" s="58">
        <v>19063</v>
      </c>
      <c r="H869" s="58">
        <v>15732</v>
      </c>
      <c r="I869" s="58">
        <v>148740</v>
      </c>
      <c r="J869" s="58">
        <v>0</v>
      </c>
      <c r="K869" s="1">
        <f t="shared" si="92"/>
        <v>529539.12</v>
      </c>
      <c r="L869" s="1">
        <f t="shared" si="93"/>
        <v>15732</v>
      </c>
      <c r="M869" s="1">
        <f>VLOOKUP(B869,'[1]Срок Годности'!$A$2:$B$4,2,0)</f>
        <v>1500</v>
      </c>
      <c r="N869" s="60">
        <f t="shared" si="94"/>
        <v>0</v>
      </c>
      <c r="O869" s="1" t="str">
        <f t="shared" si="95"/>
        <v>25 2012</v>
      </c>
      <c r="P869" s="1">
        <f t="shared" si="96"/>
        <v>21</v>
      </c>
      <c r="Q869" s="1">
        <f t="shared" ca="1" si="97"/>
        <v>4056</v>
      </c>
      <c r="S869" s="1">
        <f t="shared" si="91"/>
        <v>148740</v>
      </c>
    </row>
    <row r="870" spans="1:19" x14ac:dyDescent="0.2">
      <c r="A870" s="57" t="s">
        <v>232</v>
      </c>
      <c r="B870" s="57" t="s">
        <v>244</v>
      </c>
      <c r="C870" s="57" t="s">
        <v>245</v>
      </c>
      <c r="D870" s="58">
        <v>33.659999999999997</v>
      </c>
      <c r="E870" s="59">
        <v>41078</v>
      </c>
      <c r="F870" s="58">
        <v>148740</v>
      </c>
      <c r="G870" s="58">
        <v>18182</v>
      </c>
      <c r="H870" s="58">
        <v>18816</v>
      </c>
      <c r="I870" s="58">
        <v>148027</v>
      </c>
      <c r="J870" s="58">
        <v>0</v>
      </c>
      <c r="K870" s="1">
        <f t="shared" si="92"/>
        <v>633346.55999999994</v>
      </c>
      <c r="L870" s="1">
        <f t="shared" si="93"/>
        <v>18816</v>
      </c>
      <c r="M870" s="1">
        <f>VLOOKUP(B870,'[1]Срок Годности'!$A$2:$B$4,2,0)</f>
        <v>1500</v>
      </c>
      <c r="N870" s="60">
        <f t="shared" si="94"/>
        <v>18182</v>
      </c>
      <c r="O870" s="1" t="str">
        <f t="shared" si="95"/>
        <v>25 2012</v>
      </c>
      <c r="P870" s="1">
        <f t="shared" si="96"/>
        <v>21</v>
      </c>
      <c r="Q870" s="1">
        <f t="shared" ca="1" si="97"/>
        <v>4055</v>
      </c>
      <c r="S870" s="1">
        <f t="shared" si="91"/>
        <v>148027</v>
      </c>
    </row>
    <row r="871" spans="1:19" x14ac:dyDescent="0.2">
      <c r="A871" s="57" t="s">
        <v>232</v>
      </c>
      <c r="B871" s="57" t="s">
        <v>244</v>
      </c>
      <c r="C871" s="57" t="s">
        <v>245</v>
      </c>
      <c r="D871" s="58">
        <v>33.659999999999997</v>
      </c>
      <c r="E871" s="59">
        <v>41079</v>
      </c>
      <c r="F871" s="58">
        <v>148027</v>
      </c>
      <c r="G871" s="58">
        <v>14026</v>
      </c>
      <c r="H871" s="58">
        <v>18749</v>
      </c>
      <c r="I871" s="58">
        <v>143185</v>
      </c>
      <c r="J871" s="58">
        <v>0</v>
      </c>
      <c r="K871" s="1">
        <f t="shared" si="92"/>
        <v>631091.34</v>
      </c>
      <c r="L871" s="1">
        <f t="shared" si="93"/>
        <v>18749</v>
      </c>
      <c r="M871" s="1">
        <f>VLOOKUP(B871,'[1]Срок Годности'!$A$2:$B$4,2,0)</f>
        <v>1500</v>
      </c>
      <c r="N871" s="60">
        <f t="shared" si="94"/>
        <v>14026</v>
      </c>
      <c r="O871" s="1" t="str">
        <f t="shared" si="95"/>
        <v>25 2012</v>
      </c>
      <c r="P871" s="1">
        <f t="shared" si="96"/>
        <v>21</v>
      </c>
      <c r="Q871" s="1">
        <f t="shared" ca="1" si="97"/>
        <v>4054</v>
      </c>
      <c r="S871" s="1">
        <f t="shared" si="91"/>
        <v>143185</v>
      </c>
    </row>
    <row r="872" spans="1:19" x14ac:dyDescent="0.2">
      <c r="A872" s="57" t="s">
        <v>232</v>
      </c>
      <c r="B872" s="57" t="s">
        <v>244</v>
      </c>
      <c r="C872" s="57" t="s">
        <v>245</v>
      </c>
      <c r="D872" s="58">
        <v>33.659999999999997</v>
      </c>
      <c r="E872" s="59">
        <v>41080</v>
      </c>
      <c r="F872" s="58">
        <v>143185</v>
      </c>
      <c r="G872" s="58">
        <v>18024</v>
      </c>
      <c r="H872" s="58">
        <v>19310</v>
      </c>
      <c r="I872" s="58">
        <v>141981</v>
      </c>
      <c r="J872" s="58">
        <v>0</v>
      </c>
      <c r="K872" s="1">
        <f t="shared" si="92"/>
        <v>649974.6</v>
      </c>
      <c r="L872" s="1">
        <f t="shared" si="93"/>
        <v>19310</v>
      </c>
      <c r="M872" s="1">
        <f>VLOOKUP(B872,'[1]Срок Годности'!$A$2:$B$4,2,0)</f>
        <v>1500</v>
      </c>
      <c r="N872" s="60">
        <f t="shared" si="94"/>
        <v>18024</v>
      </c>
      <c r="O872" s="1" t="str">
        <f t="shared" si="95"/>
        <v>25 2012</v>
      </c>
      <c r="P872" s="1">
        <f t="shared" si="96"/>
        <v>21</v>
      </c>
      <c r="Q872" s="1">
        <f t="shared" ca="1" si="97"/>
        <v>4053</v>
      </c>
      <c r="S872" s="1">
        <f t="shared" si="91"/>
        <v>141981</v>
      </c>
    </row>
    <row r="873" spans="1:19" x14ac:dyDescent="0.2">
      <c r="A873" s="57" t="s">
        <v>232</v>
      </c>
      <c r="B873" s="57" t="s">
        <v>244</v>
      </c>
      <c r="C873" s="57" t="s">
        <v>245</v>
      </c>
      <c r="D873" s="58">
        <v>33.659999999999997</v>
      </c>
      <c r="E873" s="59">
        <v>41081</v>
      </c>
      <c r="F873" s="58">
        <v>141981</v>
      </c>
      <c r="G873" s="58">
        <v>23718</v>
      </c>
      <c r="H873" s="58">
        <v>20193</v>
      </c>
      <c r="I873" s="58">
        <v>145407</v>
      </c>
      <c r="J873" s="58">
        <v>0</v>
      </c>
      <c r="K873" s="1">
        <f t="shared" si="92"/>
        <v>679696.37999999989</v>
      </c>
      <c r="L873" s="1">
        <f t="shared" si="93"/>
        <v>20193</v>
      </c>
      <c r="M873" s="1">
        <f>VLOOKUP(B873,'[1]Срок Годности'!$A$2:$B$4,2,0)</f>
        <v>1500</v>
      </c>
      <c r="N873" s="60">
        <f t="shared" si="94"/>
        <v>23718</v>
      </c>
      <c r="O873" s="1" t="str">
        <f t="shared" si="95"/>
        <v>25 2012</v>
      </c>
      <c r="P873" s="1">
        <f t="shared" si="96"/>
        <v>21</v>
      </c>
      <c r="Q873" s="1">
        <f t="shared" ca="1" si="97"/>
        <v>4052</v>
      </c>
      <c r="S873" s="1">
        <f t="shared" si="91"/>
        <v>145407</v>
      </c>
    </row>
    <row r="874" spans="1:19" x14ac:dyDescent="0.2">
      <c r="A874" s="57" t="s">
        <v>232</v>
      </c>
      <c r="B874" s="57" t="s">
        <v>244</v>
      </c>
      <c r="C874" s="57" t="s">
        <v>245</v>
      </c>
      <c r="D874" s="58">
        <v>33.659999999999997</v>
      </c>
      <c r="E874" s="59">
        <v>41082</v>
      </c>
      <c r="F874" s="58">
        <v>145407</v>
      </c>
      <c r="G874" s="58">
        <v>18061</v>
      </c>
      <c r="H874" s="58">
        <v>24893</v>
      </c>
      <c r="I874" s="58">
        <v>138575</v>
      </c>
      <c r="J874" s="58">
        <v>0</v>
      </c>
      <c r="K874" s="1">
        <f t="shared" si="92"/>
        <v>837898.37999999989</v>
      </c>
      <c r="L874" s="1">
        <f t="shared" si="93"/>
        <v>24893</v>
      </c>
      <c r="M874" s="1">
        <f>VLOOKUP(B874,'[1]Срок Годности'!$A$2:$B$4,2,0)</f>
        <v>1500</v>
      </c>
      <c r="N874" s="60">
        <f t="shared" si="94"/>
        <v>18061</v>
      </c>
      <c r="O874" s="1" t="str">
        <f t="shared" si="95"/>
        <v>25 2012</v>
      </c>
      <c r="P874" s="1">
        <f t="shared" si="96"/>
        <v>21</v>
      </c>
      <c r="Q874" s="1">
        <f t="shared" ca="1" si="97"/>
        <v>4051</v>
      </c>
      <c r="S874" s="1">
        <f t="shared" si="91"/>
        <v>138575</v>
      </c>
    </row>
    <row r="875" spans="1:19" x14ac:dyDescent="0.2">
      <c r="A875" s="57" t="s">
        <v>232</v>
      </c>
      <c r="B875" s="57" t="s">
        <v>244</v>
      </c>
      <c r="C875" s="57" t="s">
        <v>245</v>
      </c>
      <c r="D875" s="58">
        <v>33.659999999999997</v>
      </c>
      <c r="E875" s="59">
        <v>41083</v>
      </c>
      <c r="F875" s="58">
        <v>138575</v>
      </c>
      <c r="G875" s="58">
        <v>17808</v>
      </c>
      <c r="H875" s="58">
        <v>23486</v>
      </c>
      <c r="I875" s="58">
        <v>132847</v>
      </c>
      <c r="J875" s="58">
        <v>1</v>
      </c>
      <c r="K875" s="1">
        <f t="shared" si="92"/>
        <v>790538.75999999989</v>
      </c>
      <c r="L875" s="1">
        <f t="shared" si="93"/>
        <v>23486</v>
      </c>
      <c r="M875" s="1">
        <f>VLOOKUP(B875,'[1]Срок Годности'!$A$2:$B$4,2,0)</f>
        <v>1500</v>
      </c>
      <c r="N875" s="60">
        <f t="shared" si="94"/>
        <v>17808</v>
      </c>
      <c r="O875" s="1" t="str">
        <f t="shared" si="95"/>
        <v>25 2012</v>
      </c>
      <c r="P875" s="1">
        <f t="shared" si="96"/>
        <v>21</v>
      </c>
      <c r="Q875" s="1">
        <f t="shared" ca="1" si="97"/>
        <v>4050</v>
      </c>
      <c r="S875" s="1">
        <f t="shared" si="91"/>
        <v>132846</v>
      </c>
    </row>
    <row r="876" spans="1:19" x14ac:dyDescent="0.2">
      <c r="A876" s="57" t="s">
        <v>232</v>
      </c>
      <c r="B876" s="57" t="s">
        <v>244</v>
      </c>
      <c r="C876" s="57" t="s">
        <v>245</v>
      </c>
      <c r="D876" s="58">
        <v>33.659999999999997</v>
      </c>
      <c r="E876" s="59">
        <v>41084</v>
      </c>
      <c r="F876" s="58">
        <v>132847</v>
      </c>
      <c r="G876" s="58">
        <v>18225</v>
      </c>
      <c r="H876" s="58">
        <v>25319</v>
      </c>
      <c r="I876" s="58">
        <v>125693</v>
      </c>
      <c r="J876" s="58">
        <v>0</v>
      </c>
      <c r="K876" s="1">
        <f t="shared" si="92"/>
        <v>852237.53999999992</v>
      </c>
      <c r="L876" s="1">
        <f t="shared" si="93"/>
        <v>25319</v>
      </c>
      <c r="M876" s="1">
        <f>VLOOKUP(B876,'[1]Срок Годности'!$A$2:$B$4,2,0)</f>
        <v>1500</v>
      </c>
      <c r="N876" s="60">
        <f t="shared" si="94"/>
        <v>0</v>
      </c>
      <c r="O876" s="1" t="str">
        <f t="shared" si="95"/>
        <v>26 2012</v>
      </c>
      <c r="P876" s="1">
        <f t="shared" si="96"/>
        <v>21</v>
      </c>
      <c r="Q876" s="1">
        <f t="shared" ca="1" si="97"/>
        <v>4049</v>
      </c>
      <c r="S876" s="1">
        <f t="shared" si="91"/>
        <v>125693</v>
      </c>
    </row>
    <row r="877" spans="1:19" x14ac:dyDescent="0.2">
      <c r="A877" s="57" t="s">
        <v>232</v>
      </c>
      <c r="B877" s="57" t="s">
        <v>244</v>
      </c>
      <c r="C877" s="57" t="s">
        <v>245</v>
      </c>
      <c r="D877" s="58">
        <v>33.659999999999997</v>
      </c>
      <c r="E877" s="59">
        <v>41085</v>
      </c>
      <c r="F877" s="58">
        <v>125693</v>
      </c>
      <c r="G877" s="58">
        <v>17164</v>
      </c>
      <c r="H877" s="58">
        <v>27164</v>
      </c>
      <c r="I877" s="58">
        <v>115615</v>
      </c>
      <c r="J877" s="58">
        <v>6</v>
      </c>
      <c r="K877" s="1">
        <f t="shared" si="92"/>
        <v>914340.23999999987</v>
      </c>
      <c r="L877" s="1">
        <f t="shared" si="93"/>
        <v>27164</v>
      </c>
      <c r="M877" s="1">
        <f>VLOOKUP(B877,'[1]Срок Годности'!$A$2:$B$4,2,0)</f>
        <v>1500</v>
      </c>
      <c r="N877" s="60">
        <f t="shared" si="94"/>
        <v>17164</v>
      </c>
      <c r="O877" s="1" t="str">
        <f t="shared" si="95"/>
        <v>26 2012</v>
      </c>
      <c r="P877" s="1">
        <f t="shared" si="96"/>
        <v>21</v>
      </c>
      <c r="Q877" s="1">
        <f t="shared" ca="1" si="97"/>
        <v>4048</v>
      </c>
      <c r="S877" s="1">
        <f t="shared" si="91"/>
        <v>115609</v>
      </c>
    </row>
    <row r="878" spans="1:19" x14ac:dyDescent="0.2">
      <c r="A878" s="57" t="s">
        <v>232</v>
      </c>
      <c r="B878" s="57" t="s">
        <v>244</v>
      </c>
      <c r="C878" s="57" t="s">
        <v>245</v>
      </c>
      <c r="D878" s="58">
        <v>33.659999999999997</v>
      </c>
      <c r="E878" s="59">
        <v>41086</v>
      </c>
      <c r="F878" s="58">
        <v>115615</v>
      </c>
      <c r="G878" s="58">
        <v>18979</v>
      </c>
      <c r="H878" s="58">
        <v>26136</v>
      </c>
      <c r="I878" s="58">
        <v>108375</v>
      </c>
      <c r="J878" s="58">
        <v>0</v>
      </c>
      <c r="K878" s="1">
        <f t="shared" si="92"/>
        <v>879737.75999999989</v>
      </c>
      <c r="L878" s="1">
        <f t="shared" si="93"/>
        <v>26136</v>
      </c>
      <c r="M878" s="1">
        <f>VLOOKUP(B878,'[1]Срок Годности'!$A$2:$B$4,2,0)</f>
        <v>1500</v>
      </c>
      <c r="N878" s="60">
        <f t="shared" si="94"/>
        <v>18979</v>
      </c>
      <c r="O878" s="1" t="str">
        <f t="shared" si="95"/>
        <v>26 2012</v>
      </c>
      <c r="P878" s="1">
        <f t="shared" si="96"/>
        <v>21</v>
      </c>
      <c r="Q878" s="1">
        <f t="shared" ca="1" si="97"/>
        <v>4047</v>
      </c>
      <c r="S878" s="1">
        <f t="shared" si="91"/>
        <v>108375</v>
      </c>
    </row>
    <row r="879" spans="1:19" x14ac:dyDescent="0.2">
      <c r="A879" s="57" t="s">
        <v>232</v>
      </c>
      <c r="B879" s="57" t="s">
        <v>244</v>
      </c>
      <c r="C879" s="57" t="s">
        <v>245</v>
      </c>
      <c r="D879" s="58">
        <v>33.659999999999997</v>
      </c>
      <c r="E879" s="59">
        <v>41087</v>
      </c>
      <c r="F879" s="58">
        <v>108375</v>
      </c>
      <c r="G879" s="58">
        <v>36488</v>
      </c>
      <c r="H879" s="58">
        <v>29117</v>
      </c>
      <c r="I879" s="58">
        <v>115785</v>
      </c>
      <c r="J879" s="58">
        <v>0</v>
      </c>
      <c r="K879" s="1">
        <f t="shared" si="92"/>
        <v>980078.21999999986</v>
      </c>
      <c r="L879" s="1">
        <f t="shared" si="93"/>
        <v>29117</v>
      </c>
      <c r="M879" s="1">
        <f>VLOOKUP(B879,'[1]Срок Годности'!$A$2:$B$4,2,0)</f>
        <v>1500</v>
      </c>
      <c r="N879" s="60">
        <f t="shared" si="94"/>
        <v>36488</v>
      </c>
      <c r="O879" s="1" t="str">
        <f t="shared" si="95"/>
        <v>26 2012</v>
      </c>
      <c r="P879" s="1">
        <f t="shared" si="96"/>
        <v>21</v>
      </c>
      <c r="Q879" s="1">
        <f t="shared" ca="1" si="97"/>
        <v>4046</v>
      </c>
      <c r="S879" s="1">
        <f t="shared" si="91"/>
        <v>115785</v>
      </c>
    </row>
    <row r="880" spans="1:19" x14ac:dyDescent="0.2">
      <c r="A880" s="57" t="s">
        <v>232</v>
      </c>
      <c r="B880" s="57" t="s">
        <v>244</v>
      </c>
      <c r="C880" s="57" t="s">
        <v>245</v>
      </c>
      <c r="D880" s="58">
        <v>33.659999999999997</v>
      </c>
      <c r="E880" s="59">
        <v>41088</v>
      </c>
      <c r="F880" s="58">
        <v>115785</v>
      </c>
      <c r="G880" s="58">
        <v>42281</v>
      </c>
      <c r="H880" s="58">
        <v>30596</v>
      </c>
      <c r="I880" s="58">
        <v>127473</v>
      </c>
      <c r="J880" s="58">
        <v>0</v>
      </c>
      <c r="K880" s="1">
        <f t="shared" si="92"/>
        <v>1029861.3599999999</v>
      </c>
      <c r="L880" s="1">
        <f t="shared" si="93"/>
        <v>30596</v>
      </c>
      <c r="M880" s="1">
        <f>VLOOKUP(B880,'[1]Срок Годности'!$A$2:$B$4,2,0)</f>
        <v>1500</v>
      </c>
      <c r="N880" s="60">
        <f t="shared" si="94"/>
        <v>42281</v>
      </c>
      <c r="O880" s="1" t="str">
        <f t="shared" si="95"/>
        <v>26 2012</v>
      </c>
      <c r="P880" s="1">
        <f t="shared" si="96"/>
        <v>21</v>
      </c>
      <c r="Q880" s="1">
        <f t="shared" ca="1" si="97"/>
        <v>4045</v>
      </c>
      <c r="S880" s="1">
        <f t="shared" si="91"/>
        <v>127473</v>
      </c>
    </row>
    <row r="881" spans="1:19" x14ac:dyDescent="0.2">
      <c r="A881" s="57" t="s">
        <v>232</v>
      </c>
      <c r="B881" s="57" t="s">
        <v>244</v>
      </c>
      <c r="C881" s="57" t="s">
        <v>245</v>
      </c>
      <c r="D881" s="58">
        <v>33.659999999999997</v>
      </c>
      <c r="E881" s="59">
        <v>41089</v>
      </c>
      <c r="F881" s="58">
        <v>127473</v>
      </c>
      <c r="G881" s="58">
        <v>47993</v>
      </c>
      <c r="H881" s="58">
        <v>30851</v>
      </c>
      <c r="I881" s="58">
        <v>144571</v>
      </c>
      <c r="J881" s="58">
        <v>0</v>
      </c>
      <c r="K881" s="1">
        <f t="shared" si="92"/>
        <v>1038444.6599999999</v>
      </c>
      <c r="L881" s="1">
        <f t="shared" si="93"/>
        <v>30851</v>
      </c>
      <c r="M881" s="1">
        <f>VLOOKUP(B881,'[1]Срок Годности'!$A$2:$B$4,2,0)</f>
        <v>1500</v>
      </c>
      <c r="N881" s="60">
        <f t="shared" si="94"/>
        <v>47993</v>
      </c>
      <c r="O881" s="1" t="str">
        <f t="shared" si="95"/>
        <v>26 2012</v>
      </c>
      <c r="P881" s="1">
        <f t="shared" si="96"/>
        <v>21</v>
      </c>
      <c r="Q881" s="1">
        <f t="shared" ca="1" si="97"/>
        <v>4044</v>
      </c>
      <c r="S881" s="1">
        <f t="shared" si="91"/>
        <v>144571</v>
      </c>
    </row>
    <row r="882" spans="1:19" x14ac:dyDescent="0.2">
      <c r="A882" s="57" t="s">
        <v>232</v>
      </c>
      <c r="B882" s="57" t="s">
        <v>244</v>
      </c>
      <c r="C882" s="57" t="s">
        <v>245</v>
      </c>
      <c r="D882" s="58">
        <v>33.659999999999997</v>
      </c>
      <c r="E882" s="59">
        <v>41090</v>
      </c>
      <c r="F882" s="58">
        <v>144571</v>
      </c>
      <c r="G882" s="58">
        <v>39643</v>
      </c>
      <c r="H882" s="58">
        <v>33547</v>
      </c>
      <c r="I882" s="58">
        <v>150542</v>
      </c>
      <c r="J882" s="58">
        <v>0</v>
      </c>
      <c r="K882" s="1">
        <f t="shared" si="92"/>
        <v>1129192.0199999998</v>
      </c>
      <c r="L882" s="1">
        <f t="shared" si="93"/>
        <v>33547</v>
      </c>
      <c r="M882" s="1">
        <f>VLOOKUP(B882,'[1]Срок Годности'!$A$2:$B$4,2,0)</f>
        <v>1500</v>
      </c>
      <c r="N882" s="60">
        <f t="shared" si="94"/>
        <v>39643</v>
      </c>
      <c r="O882" s="1" t="str">
        <f t="shared" si="95"/>
        <v>26 2012</v>
      </c>
      <c r="P882" s="1">
        <f t="shared" si="96"/>
        <v>21</v>
      </c>
      <c r="Q882" s="1">
        <f t="shared" ca="1" si="97"/>
        <v>4043</v>
      </c>
      <c r="S882" s="1">
        <f t="shared" si="91"/>
        <v>150542</v>
      </c>
    </row>
    <row r="883" spans="1:19" x14ac:dyDescent="0.2">
      <c r="A883" s="57" t="s">
        <v>232</v>
      </c>
      <c r="B883" s="57" t="s">
        <v>244</v>
      </c>
      <c r="C883" s="57" t="s">
        <v>245</v>
      </c>
      <c r="D883" s="58">
        <v>33.659999999999997</v>
      </c>
      <c r="E883" s="59">
        <v>41091</v>
      </c>
      <c r="F883" s="58">
        <v>150542</v>
      </c>
      <c r="G883" s="58">
        <v>17722</v>
      </c>
      <c r="H883" s="58">
        <v>34796</v>
      </c>
      <c r="I883" s="58">
        <v>133384</v>
      </c>
      <c r="J883" s="58">
        <v>0</v>
      </c>
      <c r="K883" s="1">
        <f t="shared" si="92"/>
        <v>1171233.3599999999</v>
      </c>
      <c r="L883" s="1">
        <f t="shared" si="93"/>
        <v>34796</v>
      </c>
      <c r="M883" s="1">
        <f>VLOOKUP(B883,'[1]Срок Годности'!$A$2:$B$4,2,0)</f>
        <v>1500</v>
      </c>
      <c r="N883" s="60">
        <f t="shared" si="94"/>
        <v>0</v>
      </c>
      <c r="O883" s="1" t="str">
        <f t="shared" si="95"/>
        <v>27 2012</v>
      </c>
      <c r="P883" s="1">
        <f t="shared" si="96"/>
        <v>21</v>
      </c>
      <c r="Q883" s="1">
        <f t="shared" ca="1" si="97"/>
        <v>4042</v>
      </c>
      <c r="S883" s="1">
        <f t="shared" si="91"/>
        <v>133384</v>
      </c>
    </row>
    <row r="884" spans="1:19" x14ac:dyDescent="0.2">
      <c r="A884" s="57" t="s">
        <v>232</v>
      </c>
      <c r="B884" s="57" t="s">
        <v>244</v>
      </c>
      <c r="C884" s="57" t="s">
        <v>245</v>
      </c>
      <c r="D884" s="58">
        <v>33.659999999999997</v>
      </c>
      <c r="E884" s="59">
        <v>41092</v>
      </c>
      <c r="F884" s="58">
        <v>133384</v>
      </c>
      <c r="G884" s="58">
        <v>21174</v>
      </c>
      <c r="H884" s="58">
        <v>37312</v>
      </c>
      <c r="I884" s="58">
        <v>117020</v>
      </c>
      <c r="J884" s="58">
        <v>0</v>
      </c>
      <c r="K884" s="1">
        <f t="shared" si="92"/>
        <v>1255921.92</v>
      </c>
      <c r="L884" s="1">
        <f t="shared" si="93"/>
        <v>37312</v>
      </c>
      <c r="M884" s="1">
        <f>VLOOKUP(B884,'[1]Срок Годности'!$A$2:$B$4,2,0)</f>
        <v>1500</v>
      </c>
      <c r="N884" s="60">
        <f t="shared" si="94"/>
        <v>21174</v>
      </c>
      <c r="O884" s="1" t="str">
        <f t="shared" si="95"/>
        <v>27 2012</v>
      </c>
      <c r="P884" s="1">
        <f t="shared" si="96"/>
        <v>21</v>
      </c>
      <c r="Q884" s="1">
        <f t="shared" ca="1" si="97"/>
        <v>4041</v>
      </c>
      <c r="S884" s="1">
        <f t="shared" si="91"/>
        <v>117020</v>
      </c>
    </row>
    <row r="885" spans="1:19" x14ac:dyDescent="0.2">
      <c r="A885" s="57" t="s">
        <v>232</v>
      </c>
      <c r="B885" s="57" t="s">
        <v>244</v>
      </c>
      <c r="C885" s="57" t="s">
        <v>245</v>
      </c>
      <c r="D885" s="58">
        <v>33.659999999999997</v>
      </c>
      <c r="E885" s="59">
        <v>41093</v>
      </c>
      <c r="F885" s="58">
        <v>117020</v>
      </c>
      <c r="G885" s="58">
        <v>1312</v>
      </c>
      <c r="H885" s="58">
        <v>32740</v>
      </c>
      <c r="I885" s="58">
        <v>85524</v>
      </c>
      <c r="J885" s="58">
        <v>0</v>
      </c>
      <c r="K885" s="1">
        <f t="shared" si="92"/>
        <v>1102028.3999999999</v>
      </c>
      <c r="L885" s="1">
        <f t="shared" si="93"/>
        <v>32740</v>
      </c>
      <c r="M885" s="1">
        <f>VLOOKUP(B885,'[1]Срок Годности'!$A$2:$B$4,2,0)</f>
        <v>1500</v>
      </c>
      <c r="N885" s="60">
        <f t="shared" si="94"/>
        <v>1312</v>
      </c>
      <c r="O885" s="1" t="str">
        <f t="shared" si="95"/>
        <v>27 2012</v>
      </c>
      <c r="P885" s="1">
        <f t="shared" si="96"/>
        <v>21</v>
      </c>
      <c r="Q885" s="1">
        <f t="shared" ca="1" si="97"/>
        <v>4040</v>
      </c>
      <c r="S885" s="1">
        <f t="shared" si="91"/>
        <v>85524</v>
      </c>
    </row>
    <row r="886" spans="1:19" x14ac:dyDescent="0.2">
      <c r="A886" s="57" t="s">
        <v>232</v>
      </c>
      <c r="B886" s="57" t="s">
        <v>244</v>
      </c>
      <c r="C886" s="57" t="s">
        <v>245</v>
      </c>
      <c r="D886" s="58">
        <v>33.659999999999997</v>
      </c>
      <c r="E886" s="59">
        <v>41094</v>
      </c>
      <c r="F886" s="58">
        <v>85524</v>
      </c>
      <c r="G886" s="58">
        <v>38900</v>
      </c>
      <c r="H886" s="58">
        <v>32875</v>
      </c>
      <c r="I886" s="58">
        <v>91550</v>
      </c>
      <c r="J886" s="58">
        <v>3</v>
      </c>
      <c r="K886" s="1">
        <f t="shared" si="92"/>
        <v>1106572.5</v>
      </c>
      <c r="L886" s="1">
        <f t="shared" si="93"/>
        <v>32875</v>
      </c>
      <c r="M886" s="1">
        <f>VLOOKUP(B886,'[1]Срок Годности'!$A$2:$B$4,2,0)</f>
        <v>1500</v>
      </c>
      <c r="N886" s="60">
        <f t="shared" si="94"/>
        <v>38900</v>
      </c>
      <c r="O886" s="1" t="str">
        <f t="shared" si="95"/>
        <v>27 2012</v>
      </c>
      <c r="P886" s="1">
        <f t="shared" si="96"/>
        <v>21</v>
      </c>
      <c r="Q886" s="1">
        <f t="shared" ca="1" si="97"/>
        <v>4039</v>
      </c>
      <c r="S886" s="1">
        <f t="shared" si="91"/>
        <v>91547</v>
      </c>
    </row>
    <row r="887" spans="1:19" x14ac:dyDescent="0.2">
      <c r="A887" s="57" t="s">
        <v>232</v>
      </c>
      <c r="B887" s="57" t="s">
        <v>244</v>
      </c>
      <c r="C887" s="57" t="s">
        <v>245</v>
      </c>
      <c r="D887" s="58">
        <v>33.659999999999997</v>
      </c>
      <c r="E887" s="59">
        <v>41095</v>
      </c>
      <c r="F887" s="58">
        <v>91550</v>
      </c>
      <c r="G887" s="58">
        <v>1809</v>
      </c>
      <c r="H887" s="58">
        <v>31281</v>
      </c>
      <c r="I887" s="58">
        <v>62204</v>
      </c>
      <c r="J887" s="58">
        <v>0</v>
      </c>
      <c r="K887" s="1">
        <f t="shared" si="92"/>
        <v>1052918.46</v>
      </c>
      <c r="L887" s="1">
        <f t="shared" si="93"/>
        <v>31281</v>
      </c>
      <c r="M887" s="1">
        <f>VLOOKUP(B887,'[1]Срок Годности'!$A$2:$B$4,2,0)</f>
        <v>1500</v>
      </c>
      <c r="N887" s="60">
        <f t="shared" si="94"/>
        <v>1809</v>
      </c>
      <c r="O887" s="1" t="str">
        <f t="shared" si="95"/>
        <v>27 2012</v>
      </c>
      <c r="P887" s="1">
        <f t="shared" si="96"/>
        <v>21</v>
      </c>
      <c r="Q887" s="1">
        <f t="shared" ca="1" si="97"/>
        <v>4038</v>
      </c>
      <c r="S887" s="1">
        <f t="shared" si="91"/>
        <v>62204</v>
      </c>
    </row>
    <row r="888" spans="1:19" x14ac:dyDescent="0.2">
      <c r="A888" s="57" t="s">
        <v>232</v>
      </c>
      <c r="B888" s="57" t="s">
        <v>244</v>
      </c>
      <c r="C888" s="57" t="s">
        <v>245</v>
      </c>
      <c r="D888" s="58">
        <v>33.659999999999997</v>
      </c>
      <c r="E888" s="59">
        <v>41096</v>
      </c>
      <c r="F888" s="58">
        <v>62204</v>
      </c>
      <c r="G888" s="58">
        <v>1859</v>
      </c>
      <c r="H888" s="58">
        <v>20634</v>
      </c>
      <c r="I888" s="58">
        <v>43759</v>
      </c>
      <c r="J888" s="58">
        <v>0</v>
      </c>
      <c r="K888" s="1">
        <f t="shared" si="92"/>
        <v>694540.44</v>
      </c>
      <c r="L888" s="1">
        <f t="shared" si="93"/>
        <v>20634</v>
      </c>
      <c r="M888" s="1">
        <f>VLOOKUP(B888,'[1]Срок Годности'!$A$2:$B$4,2,0)</f>
        <v>1500</v>
      </c>
      <c r="N888" s="60">
        <f t="shared" si="94"/>
        <v>1859</v>
      </c>
      <c r="O888" s="1" t="str">
        <f t="shared" si="95"/>
        <v>27 2012</v>
      </c>
      <c r="P888" s="1">
        <f t="shared" si="96"/>
        <v>21</v>
      </c>
      <c r="Q888" s="1">
        <f t="shared" ca="1" si="97"/>
        <v>4037</v>
      </c>
      <c r="S888" s="1">
        <f t="shared" si="91"/>
        <v>43759</v>
      </c>
    </row>
    <row r="889" spans="1:19" x14ac:dyDescent="0.2">
      <c r="A889" s="57" t="s">
        <v>232</v>
      </c>
      <c r="B889" s="57" t="s">
        <v>244</v>
      </c>
      <c r="C889" s="57" t="s">
        <v>245</v>
      </c>
      <c r="D889" s="58">
        <v>33.659999999999997</v>
      </c>
      <c r="E889" s="59">
        <v>41097</v>
      </c>
      <c r="F889" s="58">
        <v>43759</v>
      </c>
      <c r="G889" s="58">
        <v>19709</v>
      </c>
      <c r="H889" s="58">
        <v>18091</v>
      </c>
      <c r="I889" s="58">
        <v>45420</v>
      </c>
      <c r="J889" s="58">
        <v>0</v>
      </c>
      <c r="K889" s="1">
        <f t="shared" si="92"/>
        <v>608943.05999999994</v>
      </c>
      <c r="L889" s="1">
        <f t="shared" si="93"/>
        <v>18091</v>
      </c>
      <c r="M889" s="1">
        <f>VLOOKUP(B889,'[1]Срок Годности'!$A$2:$B$4,2,0)</f>
        <v>1500</v>
      </c>
      <c r="N889" s="60">
        <f t="shared" si="94"/>
        <v>19709</v>
      </c>
      <c r="O889" s="1" t="str">
        <f t="shared" si="95"/>
        <v>27 2012</v>
      </c>
      <c r="P889" s="1">
        <f t="shared" si="96"/>
        <v>21</v>
      </c>
      <c r="Q889" s="1">
        <f t="shared" ca="1" si="97"/>
        <v>4036</v>
      </c>
      <c r="S889" s="1">
        <f t="shared" si="91"/>
        <v>45420</v>
      </c>
    </row>
    <row r="890" spans="1:19" x14ac:dyDescent="0.2">
      <c r="A890" s="57" t="s">
        <v>232</v>
      </c>
      <c r="B890" s="57" t="s">
        <v>244</v>
      </c>
      <c r="C890" s="57" t="s">
        <v>245</v>
      </c>
      <c r="D890" s="58">
        <v>33.659999999999997</v>
      </c>
      <c r="E890" s="59">
        <v>41098</v>
      </c>
      <c r="F890" s="58">
        <v>45420</v>
      </c>
      <c r="G890" s="58">
        <v>37818</v>
      </c>
      <c r="H890" s="58">
        <v>23483</v>
      </c>
      <c r="I890" s="58">
        <v>59555</v>
      </c>
      <c r="J890" s="58">
        <v>2</v>
      </c>
      <c r="K890" s="1">
        <f t="shared" si="92"/>
        <v>790437.77999999991</v>
      </c>
      <c r="L890" s="1">
        <f t="shared" si="93"/>
        <v>23483</v>
      </c>
      <c r="M890" s="1">
        <f>VLOOKUP(B890,'[1]Срок Годности'!$A$2:$B$4,2,0)</f>
        <v>1500</v>
      </c>
      <c r="N890" s="60">
        <f t="shared" si="94"/>
        <v>0</v>
      </c>
      <c r="O890" s="1" t="str">
        <f t="shared" si="95"/>
        <v>28 2012</v>
      </c>
      <c r="P890" s="1">
        <f t="shared" si="96"/>
        <v>21</v>
      </c>
      <c r="Q890" s="1">
        <f t="shared" ca="1" si="97"/>
        <v>4035</v>
      </c>
      <c r="S890" s="1">
        <f t="shared" si="91"/>
        <v>59553</v>
      </c>
    </row>
    <row r="891" spans="1:19" x14ac:dyDescent="0.2">
      <c r="A891" s="57" t="s">
        <v>232</v>
      </c>
      <c r="B891" s="57" t="s">
        <v>244</v>
      </c>
      <c r="C891" s="57" t="s">
        <v>245</v>
      </c>
      <c r="D891" s="58">
        <v>33.659999999999997</v>
      </c>
      <c r="E891" s="59">
        <v>41099</v>
      </c>
      <c r="F891" s="58">
        <v>59555</v>
      </c>
      <c r="G891" s="58">
        <v>23300</v>
      </c>
      <c r="H891" s="58">
        <v>26099</v>
      </c>
      <c r="I891" s="58">
        <v>56461</v>
      </c>
      <c r="J891" s="58">
        <v>0</v>
      </c>
      <c r="K891" s="1">
        <f t="shared" si="92"/>
        <v>878492.34</v>
      </c>
      <c r="L891" s="1">
        <f t="shared" si="93"/>
        <v>26099</v>
      </c>
      <c r="M891" s="1">
        <f>VLOOKUP(B891,'[1]Срок Годности'!$A$2:$B$4,2,0)</f>
        <v>1500</v>
      </c>
      <c r="N891" s="60">
        <f t="shared" si="94"/>
        <v>23300</v>
      </c>
      <c r="O891" s="1" t="str">
        <f t="shared" si="95"/>
        <v>28 2012</v>
      </c>
      <c r="P891" s="1">
        <f t="shared" si="96"/>
        <v>21</v>
      </c>
      <c r="Q891" s="1">
        <f t="shared" ca="1" si="97"/>
        <v>4034</v>
      </c>
      <c r="S891" s="1">
        <f t="shared" si="91"/>
        <v>56461</v>
      </c>
    </row>
    <row r="892" spans="1:19" x14ac:dyDescent="0.2">
      <c r="A892" s="57" t="s">
        <v>232</v>
      </c>
      <c r="B892" s="57" t="s">
        <v>244</v>
      </c>
      <c r="C892" s="57" t="s">
        <v>245</v>
      </c>
      <c r="D892" s="58">
        <v>33.659999999999997</v>
      </c>
      <c r="E892" s="59">
        <v>41100</v>
      </c>
      <c r="F892" s="58">
        <v>56461</v>
      </c>
      <c r="G892" s="58">
        <v>2986</v>
      </c>
      <c r="H892" s="58">
        <v>20952</v>
      </c>
      <c r="I892" s="58">
        <v>38466</v>
      </c>
      <c r="J892" s="58">
        <v>1</v>
      </c>
      <c r="K892" s="1">
        <f t="shared" si="92"/>
        <v>705244.32</v>
      </c>
      <c r="L892" s="1">
        <f t="shared" si="93"/>
        <v>20952</v>
      </c>
      <c r="M892" s="1">
        <f>VLOOKUP(B892,'[1]Срок Годности'!$A$2:$B$4,2,0)</f>
        <v>1500</v>
      </c>
      <c r="N892" s="60">
        <f t="shared" si="94"/>
        <v>2986</v>
      </c>
      <c r="O892" s="1" t="str">
        <f t="shared" si="95"/>
        <v>28 2012</v>
      </c>
      <c r="P892" s="1">
        <f t="shared" si="96"/>
        <v>21</v>
      </c>
      <c r="Q892" s="1">
        <f t="shared" ca="1" si="97"/>
        <v>4033</v>
      </c>
      <c r="S892" s="1">
        <f t="shared" si="91"/>
        <v>38465</v>
      </c>
    </row>
    <row r="893" spans="1:19" x14ac:dyDescent="0.2">
      <c r="A893" s="57" t="s">
        <v>232</v>
      </c>
      <c r="B893" s="57" t="s">
        <v>244</v>
      </c>
      <c r="C893" s="57" t="s">
        <v>245</v>
      </c>
      <c r="D893" s="58">
        <v>33.659999999999997</v>
      </c>
      <c r="E893" s="59">
        <v>41101</v>
      </c>
      <c r="F893" s="58">
        <v>38466</v>
      </c>
      <c r="G893" s="58">
        <v>142659</v>
      </c>
      <c r="H893" s="58">
        <v>25560</v>
      </c>
      <c r="I893" s="58">
        <v>154667</v>
      </c>
      <c r="J893" s="58">
        <v>0</v>
      </c>
      <c r="K893" s="1">
        <f t="shared" si="92"/>
        <v>860349.59999999986</v>
      </c>
      <c r="L893" s="1">
        <f t="shared" si="93"/>
        <v>25560</v>
      </c>
      <c r="M893" s="1">
        <f>VLOOKUP(B893,'[1]Срок Годности'!$A$2:$B$4,2,0)</f>
        <v>1500</v>
      </c>
      <c r="N893" s="60">
        <f t="shared" si="94"/>
        <v>142659</v>
      </c>
      <c r="O893" s="1" t="str">
        <f t="shared" si="95"/>
        <v>28 2012</v>
      </c>
      <c r="P893" s="1">
        <f t="shared" si="96"/>
        <v>21</v>
      </c>
      <c r="Q893" s="1">
        <f t="shared" ca="1" si="97"/>
        <v>4032</v>
      </c>
      <c r="S893" s="1">
        <f t="shared" si="91"/>
        <v>154667</v>
      </c>
    </row>
    <row r="894" spans="1:19" x14ac:dyDescent="0.2">
      <c r="A894" s="57" t="s">
        <v>232</v>
      </c>
      <c r="B894" s="57" t="s">
        <v>244</v>
      </c>
      <c r="C894" s="57" t="s">
        <v>245</v>
      </c>
      <c r="D894" s="58">
        <v>33.659999999999997</v>
      </c>
      <c r="E894" s="59">
        <v>41102</v>
      </c>
      <c r="F894" s="58">
        <v>154667</v>
      </c>
      <c r="G894" s="58">
        <v>69060</v>
      </c>
      <c r="H894" s="58">
        <v>37179</v>
      </c>
      <c r="I894" s="58">
        <v>186166</v>
      </c>
      <c r="J894" s="58">
        <v>0</v>
      </c>
      <c r="K894" s="1">
        <f t="shared" si="92"/>
        <v>1251445.1399999999</v>
      </c>
      <c r="L894" s="1">
        <f t="shared" si="93"/>
        <v>37179</v>
      </c>
      <c r="M894" s="1">
        <f>VLOOKUP(B894,'[1]Срок Годности'!$A$2:$B$4,2,0)</f>
        <v>1500</v>
      </c>
      <c r="N894" s="60">
        <f t="shared" si="94"/>
        <v>69060</v>
      </c>
      <c r="O894" s="1" t="str">
        <f t="shared" si="95"/>
        <v>28 2012</v>
      </c>
      <c r="P894" s="1">
        <f t="shared" si="96"/>
        <v>21</v>
      </c>
      <c r="Q894" s="1">
        <f t="shared" ca="1" si="97"/>
        <v>4031</v>
      </c>
      <c r="S894" s="1">
        <f t="shared" si="91"/>
        <v>186166</v>
      </c>
    </row>
    <row r="895" spans="1:19" x14ac:dyDescent="0.2">
      <c r="A895" s="57" t="s">
        <v>232</v>
      </c>
      <c r="B895" s="57" t="s">
        <v>244</v>
      </c>
      <c r="C895" s="57" t="s">
        <v>245</v>
      </c>
      <c r="D895" s="58">
        <v>33.659999999999997</v>
      </c>
      <c r="E895" s="59">
        <v>41103</v>
      </c>
      <c r="F895" s="58">
        <v>186166</v>
      </c>
      <c r="G895" s="58">
        <v>29432</v>
      </c>
      <c r="H895" s="58">
        <v>47845</v>
      </c>
      <c r="I895" s="58">
        <v>167380</v>
      </c>
      <c r="J895" s="58">
        <v>0</v>
      </c>
      <c r="K895" s="1">
        <f t="shared" si="92"/>
        <v>1610462.6999999997</v>
      </c>
      <c r="L895" s="1">
        <f t="shared" si="93"/>
        <v>47845</v>
      </c>
      <c r="M895" s="1">
        <f>VLOOKUP(B895,'[1]Срок Годности'!$A$2:$B$4,2,0)</f>
        <v>1500</v>
      </c>
      <c r="N895" s="60">
        <f t="shared" si="94"/>
        <v>29432</v>
      </c>
      <c r="O895" s="1" t="str">
        <f t="shared" si="95"/>
        <v>28 2012</v>
      </c>
      <c r="P895" s="1">
        <f t="shared" si="96"/>
        <v>21</v>
      </c>
      <c r="Q895" s="1">
        <f t="shared" ca="1" si="97"/>
        <v>4030</v>
      </c>
      <c r="S895" s="1">
        <f t="shared" si="91"/>
        <v>167380</v>
      </c>
    </row>
    <row r="896" spans="1:19" x14ac:dyDescent="0.2">
      <c r="A896" s="57" t="s">
        <v>232</v>
      </c>
      <c r="B896" s="57" t="s">
        <v>244</v>
      </c>
      <c r="C896" s="57" t="s">
        <v>245</v>
      </c>
      <c r="D896" s="58">
        <v>33.659999999999997</v>
      </c>
      <c r="E896" s="59">
        <v>41104</v>
      </c>
      <c r="F896" s="58">
        <v>167380</v>
      </c>
      <c r="G896" s="58">
        <v>30854</v>
      </c>
      <c r="H896" s="58">
        <v>33309</v>
      </c>
      <c r="I896" s="58">
        <v>164770</v>
      </c>
      <c r="J896" s="58">
        <v>0</v>
      </c>
      <c r="K896" s="1">
        <f t="shared" si="92"/>
        <v>1121180.94</v>
      </c>
      <c r="L896" s="1">
        <f t="shared" si="93"/>
        <v>33309</v>
      </c>
      <c r="M896" s="1">
        <f>VLOOKUP(B896,'[1]Срок Годности'!$A$2:$B$4,2,0)</f>
        <v>1500</v>
      </c>
      <c r="N896" s="60">
        <f t="shared" si="94"/>
        <v>30854</v>
      </c>
      <c r="O896" s="1" t="str">
        <f t="shared" si="95"/>
        <v>28 2012</v>
      </c>
      <c r="P896" s="1">
        <f t="shared" si="96"/>
        <v>21</v>
      </c>
      <c r="Q896" s="1">
        <f t="shared" ca="1" si="97"/>
        <v>4029</v>
      </c>
      <c r="S896" s="1">
        <f t="shared" si="91"/>
        <v>164770</v>
      </c>
    </row>
    <row r="897" spans="1:19" x14ac:dyDescent="0.2">
      <c r="A897" s="57" t="s">
        <v>232</v>
      </c>
      <c r="B897" s="57" t="s">
        <v>244</v>
      </c>
      <c r="C897" s="57" t="s">
        <v>245</v>
      </c>
      <c r="D897" s="58">
        <v>33.659999999999997</v>
      </c>
      <c r="E897" s="59">
        <v>41105</v>
      </c>
      <c r="F897" s="58">
        <v>164770</v>
      </c>
      <c r="G897" s="58">
        <v>72953</v>
      </c>
      <c r="H897" s="58">
        <v>27166</v>
      </c>
      <c r="I897" s="58">
        <v>210449</v>
      </c>
      <c r="J897" s="58">
        <v>0</v>
      </c>
      <c r="K897" s="1">
        <f t="shared" si="92"/>
        <v>914407.55999999994</v>
      </c>
      <c r="L897" s="1">
        <f t="shared" si="93"/>
        <v>27166</v>
      </c>
      <c r="M897" s="1">
        <f>VLOOKUP(B897,'[1]Срок Годности'!$A$2:$B$4,2,0)</f>
        <v>1500</v>
      </c>
      <c r="N897" s="60">
        <f t="shared" si="94"/>
        <v>0</v>
      </c>
      <c r="O897" s="1" t="str">
        <f t="shared" si="95"/>
        <v>29 2012</v>
      </c>
      <c r="P897" s="1">
        <f t="shared" si="96"/>
        <v>21</v>
      </c>
      <c r="Q897" s="1">
        <f t="shared" ca="1" si="97"/>
        <v>4028</v>
      </c>
      <c r="S897" s="1">
        <f t="shared" si="91"/>
        <v>210449</v>
      </c>
    </row>
    <row r="898" spans="1:19" x14ac:dyDescent="0.2">
      <c r="A898" s="57" t="s">
        <v>232</v>
      </c>
      <c r="B898" s="57" t="s">
        <v>244</v>
      </c>
      <c r="C898" s="57" t="s">
        <v>245</v>
      </c>
      <c r="D898" s="58">
        <v>33.659999999999997</v>
      </c>
      <c r="E898" s="59">
        <v>41106</v>
      </c>
      <c r="F898" s="58">
        <v>210449</v>
      </c>
      <c r="G898" s="58">
        <v>19710</v>
      </c>
      <c r="H898" s="58">
        <v>26544</v>
      </c>
      <c r="I898" s="58">
        <v>203516</v>
      </c>
      <c r="J898" s="58">
        <v>0</v>
      </c>
      <c r="K898" s="1">
        <f t="shared" si="92"/>
        <v>893471.03999999992</v>
      </c>
      <c r="L898" s="1">
        <f t="shared" si="93"/>
        <v>26544</v>
      </c>
      <c r="M898" s="1">
        <f>VLOOKUP(B898,'[1]Срок Годности'!$A$2:$B$4,2,0)</f>
        <v>1500</v>
      </c>
      <c r="N898" s="60">
        <f t="shared" si="94"/>
        <v>19710</v>
      </c>
      <c r="O898" s="1" t="str">
        <f t="shared" si="95"/>
        <v>29 2012</v>
      </c>
      <c r="P898" s="1">
        <f t="shared" si="96"/>
        <v>21</v>
      </c>
      <c r="Q898" s="1">
        <f t="shared" ca="1" si="97"/>
        <v>4027</v>
      </c>
      <c r="S898" s="1">
        <f t="shared" si="91"/>
        <v>203516</v>
      </c>
    </row>
    <row r="899" spans="1:19" x14ac:dyDescent="0.2">
      <c r="A899" s="57" t="s">
        <v>232</v>
      </c>
      <c r="B899" s="57" t="s">
        <v>244</v>
      </c>
      <c r="C899" s="57" t="s">
        <v>245</v>
      </c>
      <c r="D899" s="58">
        <v>33.659999999999997</v>
      </c>
      <c r="E899" s="59">
        <v>41107</v>
      </c>
      <c r="F899" s="58">
        <v>203516</v>
      </c>
      <c r="G899" s="58">
        <v>15711</v>
      </c>
      <c r="H899" s="58">
        <v>22827</v>
      </c>
      <c r="I899" s="58">
        <v>196307</v>
      </c>
      <c r="J899" s="58">
        <v>0</v>
      </c>
      <c r="K899" s="1">
        <f t="shared" si="92"/>
        <v>768356.82</v>
      </c>
      <c r="L899" s="1">
        <f t="shared" si="93"/>
        <v>22827</v>
      </c>
      <c r="M899" s="1">
        <f>VLOOKUP(B899,'[1]Срок Годности'!$A$2:$B$4,2,0)</f>
        <v>1500</v>
      </c>
      <c r="N899" s="60">
        <f t="shared" si="94"/>
        <v>15711</v>
      </c>
      <c r="O899" s="1" t="str">
        <f t="shared" si="95"/>
        <v>29 2012</v>
      </c>
      <c r="P899" s="1">
        <f t="shared" si="96"/>
        <v>21</v>
      </c>
      <c r="Q899" s="1">
        <f t="shared" ca="1" si="97"/>
        <v>4026</v>
      </c>
      <c r="S899" s="1">
        <f t="shared" si="91"/>
        <v>196307</v>
      </c>
    </row>
    <row r="900" spans="1:19" x14ac:dyDescent="0.2">
      <c r="A900" s="57" t="s">
        <v>232</v>
      </c>
      <c r="B900" s="57" t="s">
        <v>237</v>
      </c>
      <c r="C900" s="57" t="s">
        <v>238</v>
      </c>
      <c r="D900" s="58">
        <v>165.05</v>
      </c>
      <c r="E900" s="59">
        <v>41061</v>
      </c>
      <c r="F900" s="58">
        <v>17376</v>
      </c>
      <c r="G900" s="58">
        <v>3128</v>
      </c>
      <c r="H900" s="58">
        <v>4356</v>
      </c>
      <c r="I900" s="58">
        <v>16093</v>
      </c>
      <c r="J900" s="58">
        <v>0</v>
      </c>
      <c r="K900" s="1">
        <f t="shared" si="92"/>
        <v>718957.8</v>
      </c>
      <c r="L900" s="1">
        <f t="shared" si="93"/>
        <v>4356</v>
      </c>
      <c r="M900" s="1">
        <f>VLOOKUP(B900,'[1]Срок Годности'!$A$2:$B$4,2,0)</f>
        <v>1000</v>
      </c>
      <c r="N900" s="60">
        <f t="shared" si="94"/>
        <v>3128</v>
      </c>
      <c r="O900" s="1" t="str">
        <f t="shared" si="95"/>
        <v>22 2012</v>
      </c>
      <c r="P900" s="1">
        <f t="shared" si="96"/>
        <v>22</v>
      </c>
      <c r="Q900" s="1">
        <f t="shared" ca="1" si="97"/>
        <v>4072</v>
      </c>
      <c r="S900" s="1">
        <f t="shared" si="91"/>
        <v>16093</v>
      </c>
    </row>
    <row r="901" spans="1:19" x14ac:dyDescent="0.2">
      <c r="A901" s="57" t="s">
        <v>232</v>
      </c>
      <c r="B901" s="57" t="s">
        <v>237</v>
      </c>
      <c r="C901" s="57" t="s">
        <v>238</v>
      </c>
      <c r="D901" s="58">
        <v>165.05</v>
      </c>
      <c r="E901" s="59">
        <v>41062</v>
      </c>
      <c r="F901" s="58">
        <v>16093</v>
      </c>
      <c r="G901" s="58">
        <v>4330</v>
      </c>
      <c r="H901" s="58">
        <v>4056</v>
      </c>
      <c r="I901" s="58">
        <v>16305</v>
      </c>
      <c r="J901" s="58">
        <v>0</v>
      </c>
      <c r="K901" s="1">
        <f t="shared" si="92"/>
        <v>669442.80000000005</v>
      </c>
      <c r="L901" s="1">
        <f t="shared" si="93"/>
        <v>4056</v>
      </c>
      <c r="M901" s="1">
        <f>VLOOKUP(B901,'[1]Срок Годности'!$A$2:$B$4,2,0)</f>
        <v>1000</v>
      </c>
      <c r="N901" s="60">
        <f t="shared" si="94"/>
        <v>4330</v>
      </c>
      <c r="O901" s="1" t="str">
        <f t="shared" si="95"/>
        <v>22 2012</v>
      </c>
      <c r="P901" s="1">
        <f t="shared" si="96"/>
        <v>22</v>
      </c>
      <c r="Q901" s="1">
        <f t="shared" ca="1" si="97"/>
        <v>4071</v>
      </c>
      <c r="S901" s="1">
        <f t="shared" si="91"/>
        <v>16305</v>
      </c>
    </row>
    <row r="902" spans="1:19" x14ac:dyDescent="0.2">
      <c r="A902" s="57" t="s">
        <v>232</v>
      </c>
      <c r="B902" s="57" t="s">
        <v>237</v>
      </c>
      <c r="C902" s="57" t="s">
        <v>238</v>
      </c>
      <c r="D902" s="58">
        <v>165.05</v>
      </c>
      <c r="E902" s="59">
        <v>41063</v>
      </c>
      <c r="F902" s="58">
        <v>16305</v>
      </c>
      <c r="G902" s="58">
        <v>5311</v>
      </c>
      <c r="H902" s="58">
        <v>3652</v>
      </c>
      <c r="I902" s="58">
        <v>17937</v>
      </c>
      <c r="J902" s="58">
        <v>0</v>
      </c>
      <c r="K902" s="1">
        <f t="shared" si="92"/>
        <v>602762.60000000009</v>
      </c>
      <c r="L902" s="1">
        <f t="shared" si="93"/>
        <v>3652</v>
      </c>
      <c r="M902" s="1">
        <f>VLOOKUP(B902,'[1]Срок Годности'!$A$2:$B$4,2,0)</f>
        <v>1000</v>
      </c>
      <c r="N902" s="60">
        <f t="shared" si="94"/>
        <v>0</v>
      </c>
      <c r="O902" s="1" t="str">
        <f t="shared" si="95"/>
        <v>23 2012</v>
      </c>
      <c r="P902" s="1">
        <f t="shared" si="96"/>
        <v>22</v>
      </c>
      <c r="Q902" s="1">
        <f t="shared" ca="1" si="97"/>
        <v>4070</v>
      </c>
      <c r="S902" s="1">
        <f t="shared" si="91"/>
        <v>17937</v>
      </c>
    </row>
    <row r="903" spans="1:19" x14ac:dyDescent="0.2">
      <c r="A903" s="57" t="s">
        <v>232</v>
      </c>
      <c r="B903" s="57" t="s">
        <v>237</v>
      </c>
      <c r="C903" s="57" t="s">
        <v>238</v>
      </c>
      <c r="D903" s="58">
        <v>165.05</v>
      </c>
      <c r="E903" s="59">
        <v>41064</v>
      </c>
      <c r="F903" s="58">
        <v>17937</v>
      </c>
      <c r="G903" s="58">
        <v>5587</v>
      </c>
      <c r="H903" s="58">
        <v>4028</v>
      </c>
      <c r="I903" s="58">
        <v>19482</v>
      </c>
      <c r="J903" s="58">
        <v>0</v>
      </c>
      <c r="K903" s="1">
        <f t="shared" si="92"/>
        <v>664821.4</v>
      </c>
      <c r="L903" s="1">
        <f t="shared" si="93"/>
        <v>4028</v>
      </c>
      <c r="M903" s="1">
        <f>VLOOKUP(B903,'[1]Срок Годности'!$A$2:$B$4,2,0)</f>
        <v>1000</v>
      </c>
      <c r="N903" s="60">
        <f t="shared" si="94"/>
        <v>5587</v>
      </c>
      <c r="O903" s="1" t="str">
        <f t="shared" si="95"/>
        <v>23 2012</v>
      </c>
      <c r="P903" s="1">
        <f t="shared" si="96"/>
        <v>22</v>
      </c>
      <c r="Q903" s="1">
        <f t="shared" ca="1" si="97"/>
        <v>4069</v>
      </c>
      <c r="S903" s="1">
        <f t="shared" ref="S903:S966" si="98">I903-J903</f>
        <v>19482</v>
      </c>
    </row>
    <row r="904" spans="1:19" x14ac:dyDescent="0.2">
      <c r="A904" s="57" t="s">
        <v>232</v>
      </c>
      <c r="B904" s="57" t="s">
        <v>237</v>
      </c>
      <c r="C904" s="57" t="s">
        <v>238</v>
      </c>
      <c r="D904" s="58">
        <v>165.05</v>
      </c>
      <c r="E904" s="59">
        <v>41065</v>
      </c>
      <c r="F904" s="58">
        <v>19482</v>
      </c>
      <c r="G904" s="58">
        <v>4323</v>
      </c>
      <c r="H904" s="58">
        <v>4261</v>
      </c>
      <c r="I904" s="58">
        <v>19393</v>
      </c>
      <c r="J904" s="58">
        <v>0</v>
      </c>
      <c r="K904" s="1">
        <f t="shared" ref="K904:K967" si="99">H904*D904</f>
        <v>703278.05</v>
      </c>
      <c r="L904" s="1">
        <f t="shared" ref="L904:L967" si="100">IF(H904&gt;1000,H904,"")</f>
        <v>4261</v>
      </c>
      <c r="M904" s="1">
        <f>VLOOKUP(B904,'[1]Срок Годности'!$A$2:$B$4,2,0)</f>
        <v>1000</v>
      </c>
      <c r="N904" s="60">
        <f t="shared" ref="N904:N967" si="101">IF(WEEKDAY(E904) = 1, 0, G904)</f>
        <v>4323</v>
      </c>
      <c r="O904" s="1" t="str">
        <f t="shared" ref="O904:O967" si="102">WEEKNUM(E904) &amp; " " &amp; YEAR(E904)</f>
        <v>23 2012</v>
      </c>
      <c r="P904" s="1">
        <f t="shared" ref="P904:P967" si="103">LEN(C904)</f>
        <v>22</v>
      </c>
      <c r="Q904" s="1">
        <f t="shared" ref="Q904:Q967" ca="1" si="104">DATEDIF(E904,NOW(),"D")</f>
        <v>4068</v>
      </c>
      <c r="S904" s="1">
        <f t="shared" si="98"/>
        <v>19393</v>
      </c>
    </row>
    <row r="905" spans="1:19" x14ac:dyDescent="0.2">
      <c r="A905" s="57" t="s">
        <v>232</v>
      </c>
      <c r="B905" s="57" t="s">
        <v>237</v>
      </c>
      <c r="C905" s="57" t="s">
        <v>238</v>
      </c>
      <c r="D905" s="58">
        <v>165.05</v>
      </c>
      <c r="E905" s="59">
        <v>41066</v>
      </c>
      <c r="F905" s="58">
        <v>19393</v>
      </c>
      <c r="G905" s="58">
        <v>4710</v>
      </c>
      <c r="H905" s="58">
        <v>4488</v>
      </c>
      <c r="I905" s="58">
        <v>19557</v>
      </c>
      <c r="J905" s="58">
        <v>0</v>
      </c>
      <c r="K905" s="1">
        <f t="shared" si="99"/>
        <v>740744.4</v>
      </c>
      <c r="L905" s="1">
        <f t="shared" si="100"/>
        <v>4488</v>
      </c>
      <c r="M905" s="1">
        <f>VLOOKUP(B905,'[1]Срок Годности'!$A$2:$B$4,2,0)</f>
        <v>1000</v>
      </c>
      <c r="N905" s="60">
        <f t="shared" si="101"/>
        <v>4710</v>
      </c>
      <c r="O905" s="1" t="str">
        <f t="shared" si="102"/>
        <v>23 2012</v>
      </c>
      <c r="P905" s="1">
        <f t="shared" si="103"/>
        <v>22</v>
      </c>
      <c r="Q905" s="1">
        <f t="shared" ca="1" si="104"/>
        <v>4067</v>
      </c>
      <c r="S905" s="1">
        <f t="shared" si="98"/>
        <v>19557</v>
      </c>
    </row>
    <row r="906" spans="1:19" x14ac:dyDescent="0.2">
      <c r="A906" s="57" t="s">
        <v>232</v>
      </c>
      <c r="B906" s="57" t="s">
        <v>237</v>
      </c>
      <c r="C906" s="57" t="s">
        <v>238</v>
      </c>
      <c r="D906" s="58">
        <v>165.05</v>
      </c>
      <c r="E906" s="59">
        <v>41067</v>
      </c>
      <c r="F906" s="58">
        <v>19557</v>
      </c>
      <c r="G906" s="58">
        <v>5191</v>
      </c>
      <c r="H906" s="58">
        <v>4643</v>
      </c>
      <c r="I906" s="58">
        <v>19864</v>
      </c>
      <c r="J906" s="58">
        <v>0</v>
      </c>
      <c r="K906" s="1">
        <f t="shared" si="99"/>
        <v>766327.15</v>
      </c>
      <c r="L906" s="1">
        <f t="shared" si="100"/>
        <v>4643</v>
      </c>
      <c r="M906" s="1">
        <f>VLOOKUP(B906,'[1]Срок Годности'!$A$2:$B$4,2,0)</f>
        <v>1000</v>
      </c>
      <c r="N906" s="60">
        <f t="shared" si="101"/>
        <v>5191</v>
      </c>
      <c r="O906" s="1" t="str">
        <f t="shared" si="102"/>
        <v>23 2012</v>
      </c>
      <c r="P906" s="1">
        <f t="shared" si="103"/>
        <v>22</v>
      </c>
      <c r="Q906" s="1">
        <f t="shared" ca="1" si="104"/>
        <v>4066</v>
      </c>
      <c r="S906" s="1">
        <f t="shared" si="98"/>
        <v>19864</v>
      </c>
    </row>
    <row r="907" spans="1:19" x14ac:dyDescent="0.2">
      <c r="A907" s="57" t="s">
        <v>232</v>
      </c>
      <c r="B907" s="57" t="s">
        <v>237</v>
      </c>
      <c r="C907" s="57" t="s">
        <v>238</v>
      </c>
      <c r="D907" s="58">
        <v>165.05</v>
      </c>
      <c r="E907" s="59">
        <v>41068</v>
      </c>
      <c r="F907" s="58">
        <v>19864</v>
      </c>
      <c r="G907" s="58">
        <v>5741</v>
      </c>
      <c r="H907" s="58">
        <v>5079</v>
      </c>
      <c r="I907" s="58">
        <v>20389</v>
      </c>
      <c r="J907" s="58">
        <v>0</v>
      </c>
      <c r="K907" s="1">
        <f t="shared" si="99"/>
        <v>838288.95000000007</v>
      </c>
      <c r="L907" s="1">
        <f t="shared" si="100"/>
        <v>5079</v>
      </c>
      <c r="M907" s="1">
        <f>VLOOKUP(B907,'[1]Срок Годности'!$A$2:$B$4,2,0)</f>
        <v>1000</v>
      </c>
      <c r="N907" s="60">
        <f t="shared" si="101"/>
        <v>5741</v>
      </c>
      <c r="O907" s="1" t="str">
        <f t="shared" si="102"/>
        <v>23 2012</v>
      </c>
      <c r="P907" s="1">
        <f t="shared" si="103"/>
        <v>22</v>
      </c>
      <c r="Q907" s="1">
        <f t="shared" ca="1" si="104"/>
        <v>4065</v>
      </c>
      <c r="S907" s="1">
        <f t="shared" si="98"/>
        <v>20389</v>
      </c>
    </row>
    <row r="908" spans="1:19" x14ac:dyDescent="0.2">
      <c r="A908" s="57" t="s">
        <v>232</v>
      </c>
      <c r="B908" s="57" t="s">
        <v>237</v>
      </c>
      <c r="C908" s="57" t="s">
        <v>238</v>
      </c>
      <c r="D908" s="58">
        <v>165.05</v>
      </c>
      <c r="E908" s="59">
        <v>41069</v>
      </c>
      <c r="F908" s="58">
        <v>20389</v>
      </c>
      <c r="G908" s="58">
        <v>5283</v>
      </c>
      <c r="H908" s="58">
        <v>6645</v>
      </c>
      <c r="I908" s="58">
        <v>18853</v>
      </c>
      <c r="J908" s="58">
        <v>0</v>
      </c>
      <c r="K908" s="1">
        <f t="shared" si="99"/>
        <v>1096757.25</v>
      </c>
      <c r="L908" s="1">
        <f t="shared" si="100"/>
        <v>6645</v>
      </c>
      <c r="M908" s="1">
        <f>VLOOKUP(B908,'[1]Срок Годности'!$A$2:$B$4,2,0)</f>
        <v>1000</v>
      </c>
      <c r="N908" s="60">
        <f t="shared" si="101"/>
        <v>5283</v>
      </c>
      <c r="O908" s="1" t="str">
        <f t="shared" si="102"/>
        <v>23 2012</v>
      </c>
      <c r="P908" s="1">
        <f t="shared" si="103"/>
        <v>22</v>
      </c>
      <c r="Q908" s="1">
        <f t="shared" ca="1" si="104"/>
        <v>4064</v>
      </c>
      <c r="S908" s="1">
        <f t="shared" si="98"/>
        <v>18853</v>
      </c>
    </row>
    <row r="909" spans="1:19" x14ac:dyDescent="0.2">
      <c r="A909" s="57" t="s">
        <v>232</v>
      </c>
      <c r="B909" s="57" t="s">
        <v>237</v>
      </c>
      <c r="C909" s="57" t="s">
        <v>238</v>
      </c>
      <c r="D909" s="58">
        <v>165.05</v>
      </c>
      <c r="E909" s="59">
        <v>41070</v>
      </c>
      <c r="F909" s="58">
        <v>18853</v>
      </c>
      <c r="G909" s="58">
        <v>4706</v>
      </c>
      <c r="H909" s="58">
        <v>4329</v>
      </c>
      <c r="I909" s="58">
        <v>19118</v>
      </c>
      <c r="J909" s="58">
        <v>1</v>
      </c>
      <c r="K909" s="1">
        <f t="shared" si="99"/>
        <v>714501.45000000007</v>
      </c>
      <c r="L909" s="1">
        <f t="shared" si="100"/>
        <v>4329</v>
      </c>
      <c r="M909" s="1">
        <f>VLOOKUP(B909,'[1]Срок Годности'!$A$2:$B$4,2,0)</f>
        <v>1000</v>
      </c>
      <c r="N909" s="60">
        <f t="shared" si="101"/>
        <v>0</v>
      </c>
      <c r="O909" s="1" t="str">
        <f t="shared" si="102"/>
        <v>24 2012</v>
      </c>
      <c r="P909" s="1">
        <f t="shared" si="103"/>
        <v>22</v>
      </c>
      <c r="Q909" s="1">
        <f t="shared" ca="1" si="104"/>
        <v>4063</v>
      </c>
      <c r="S909" s="1">
        <f t="shared" si="98"/>
        <v>19117</v>
      </c>
    </row>
    <row r="910" spans="1:19" x14ac:dyDescent="0.2">
      <c r="A910" s="57" t="s">
        <v>232</v>
      </c>
      <c r="B910" s="57" t="s">
        <v>237</v>
      </c>
      <c r="C910" s="57" t="s">
        <v>238</v>
      </c>
      <c r="D910" s="58">
        <v>165.05</v>
      </c>
      <c r="E910" s="59">
        <v>41071</v>
      </c>
      <c r="F910" s="58">
        <v>19118</v>
      </c>
      <c r="G910" s="58">
        <v>4736</v>
      </c>
      <c r="H910" s="58">
        <v>4006</v>
      </c>
      <c r="I910" s="58">
        <v>19762</v>
      </c>
      <c r="J910" s="58">
        <v>0</v>
      </c>
      <c r="K910" s="1">
        <f t="shared" si="99"/>
        <v>661190.30000000005</v>
      </c>
      <c r="L910" s="1">
        <f t="shared" si="100"/>
        <v>4006</v>
      </c>
      <c r="M910" s="1">
        <f>VLOOKUP(B910,'[1]Срок Годности'!$A$2:$B$4,2,0)</f>
        <v>1000</v>
      </c>
      <c r="N910" s="60">
        <f t="shared" si="101"/>
        <v>4736</v>
      </c>
      <c r="O910" s="1" t="str">
        <f t="shared" si="102"/>
        <v>24 2012</v>
      </c>
      <c r="P910" s="1">
        <f t="shared" si="103"/>
        <v>22</v>
      </c>
      <c r="Q910" s="1">
        <f t="shared" ca="1" si="104"/>
        <v>4062</v>
      </c>
      <c r="S910" s="1">
        <f t="shared" si="98"/>
        <v>19762</v>
      </c>
    </row>
    <row r="911" spans="1:19" x14ac:dyDescent="0.2">
      <c r="A911" s="57" t="s">
        <v>232</v>
      </c>
      <c r="B911" s="57" t="s">
        <v>237</v>
      </c>
      <c r="C911" s="57" t="s">
        <v>238</v>
      </c>
      <c r="D911" s="58">
        <v>165.05</v>
      </c>
      <c r="E911" s="59">
        <v>41072</v>
      </c>
      <c r="F911" s="58">
        <v>19762</v>
      </c>
      <c r="G911" s="58">
        <v>5199</v>
      </c>
      <c r="H911" s="58">
        <v>3262</v>
      </c>
      <c r="I911" s="58">
        <v>21578</v>
      </c>
      <c r="J911" s="58">
        <v>0</v>
      </c>
      <c r="K911" s="1">
        <f t="shared" si="99"/>
        <v>538393.10000000009</v>
      </c>
      <c r="L911" s="1">
        <f t="shared" si="100"/>
        <v>3262</v>
      </c>
      <c r="M911" s="1">
        <f>VLOOKUP(B911,'[1]Срок Годности'!$A$2:$B$4,2,0)</f>
        <v>1000</v>
      </c>
      <c r="N911" s="60">
        <f t="shared" si="101"/>
        <v>5199</v>
      </c>
      <c r="O911" s="1" t="str">
        <f t="shared" si="102"/>
        <v>24 2012</v>
      </c>
      <c r="P911" s="1">
        <f t="shared" si="103"/>
        <v>22</v>
      </c>
      <c r="Q911" s="1">
        <f t="shared" ca="1" si="104"/>
        <v>4061</v>
      </c>
      <c r="S911" s="1">
        <f t="shared" si="98"/>
        <v>21578</v>
      </c>
    </row>
    <row r="912" spans="1:19" x14ac:dyDescent="0.2">
      <c r="A912" s="57" t="s">
        <v>232</v>
      </c>
      <c r="B912" s="57" t="s">
        <v>237</v>
      </c>
      <c r="C912" s="57" t="s">
        <v>238</v>
      </c>
      <c r="D912" s="58">
        <v>165.05</v>
      </c>
      <c r="E912" s="59">
        <v>41073</v>
      </c>
      <c r="F912" s="58">
        <v>21578</v>
      </c>
      <c r="G912" s="58">
        <v>4017</v>
      </c>
      <c r="H912" s="58">
        <v>4137</v>
      </c>
      <c r="I912" s="58">
        <v>21346</v>
      </c>
      <c r="J912" s="58">
        <v>0</v>
      </c>
      <c r="K912" s="1">
        <f t="shared" si="99"/>
        <v>682811.85000000009</v>
      </c>
      <c r="L912" s="1">
        <f t="shared" si="100"/>
        <v>4137</v>
      </c>
      <c r="M912" s="1">
        <f>VLOOKUP(B912,'[1]Срок Годности'!$A$2:$B$4,2,0)</f>
        <v>1000</v>
      </c>
      <c r="N912" s="60">
        <f t="shared" si="101"/>
        <v>4017</v>
      </c>
      <c r="O912" s="1" t="str">
        <f t="shared" si="102"/>
        <v>24 2012</v>
      </c>
      <c r="P912" s="1">
        <f t="shared" si="103"/>
        <v>22</v>
      </c>
      <c r="Q912" s="1">
        <f t="shared" ca="1" si="104"/>
        <v>4060</v>
      </c>
      <c r="S912" s="1">
        <f t="shared" si="98"/>
        <v>21346</v>
      </c>
    </row>
    <row r="913" spans="1:19" x14ac:dyDescent="0.2">
      <c r="A913" s="57" t="s">
        <v>232</v>
      </c>
      <c r="B913" s="57" t="s">
        <v>237</v>
      </c>
      <c r="C913" s="57" t="s">
        <v>238</v>
      </c>
      <c r="D913" s="58">
        <v>165.05</v>
      </c>
      <c r="E913" s="59">
        <v>41074</v>
      </c>
      <c r="F913" s="58">
        <v>21346</v>
      </c>
      <c r="G913" s="58">
        <v>3593</v>
      </c>
      <c r="H913" s="58">
        <v>4380</v>
      </c>
      <c r="I913" s="58">
        <v>20510</v>
      </c>
      <c r="J913" s="58">
        <v>0</v>
      </c>
      <c r="K913" s="1">
        <f t="shared" si="99"/>
        <v>722919</v>
      </c>
      <c r="L913" s="1">
        <f t="shared" si="100"/>
        <v>4380</v>
      </c>
      <c r="M913" s="1">
        <f>VLOOKUP(B913,'[1]Срок Годности'!$A$2:$B$4,2,0)</f>
        <v>1000</v>
      </c>
      <c r="N913" s="60">
        <f t="shared" si="101"/>
        <v>3593</v>
      </c>
      <c r="O913" s="1" t="str">
        <f t="shared" si="102"/>
        <v>24 2012</v>
      </c>
      <c r="P913" s="1">
        <f t="shared" si="103"/>
        <v>22</v>
      </c>
      <c r="Q913" s="1">
        <f t="shared" ca="1" si="104"/>
        <v>4059</v>
      </c>
      <c r="S913" s="1">
        <f t="shared" si="98"/>
        <v>20510</v>
      </c>
    </row>
    <row r="914" spans="1:19" x14ac:dyDescent="0.2">
      <c r="A914" s="57" t="s">
        <v>232</v>
      </c>
      <c r="B914" s="57" t="s">
        <v>237</v>
      </c>
      <c r="C914" s="57" t="s">
        <v>238</v>
      </c>
      <c r="D914" s="58">
        <v>165.05</v>
      </c>
      <c r="E914" s="59">
        <v>41075</v>
      </c>
      <c r="F914" s="58">
        <v>20510</v>
      </c>
      <c r="G914" s="58">
        <v>3689</v>
      </c>
      <c r="H914" s="58">
        <v>4969</v>
      </c>
      <c r="I914" s="58">
        <v>19153</v>
      </c>
      <c r="J914" s="58">
        <v>0</v>
      </c>
      <c r="K914" s="1">
        <f t="shared" si="99"/>
        <v>820133.45000000007</v>
      </c>
      <c r="L914" s="1">
        <f t="shared" si="100"/>
        <v>4969</v>
      </c>
      <c r="M914" s="1">
        <f>VLOOKUP(B914,'[1]Срок Годности'!$A$2:$B$4,2,0)</f>
        <v>1000</v>
      </c>
      <c r="N914" s="60">
        <f t="shared" si="101"/>
        <v>3689</v>
      </c>
      <c r="O914" s="1" t="str">
        <f t="shared" si="102"/>
        <v>24 2012</v>
      </c>
      <c r="P914" s="1">
        <f t="shared" si="103"/>
        <v>22</v>
      </c>
      <c r="Q914" s="1">
        <f t="shared" ca="1" si="104"/>
        <v>4058</v>
      </c>
      <c r="S914" s="1">
        <f t="shared" si="98"/>
        <v>19153</v>
      </c>
    </row>
    <row r="915" spans="1:19" x14ac:dyDescent="0.2">
      <c r="A915" s="57" t="s">
        <v>232</v>
      </c>
      <c r="B915" s="57" t="s">
        <v>237</v>
      </c>
      <c r="C915" s="57" t="s">
        <v>238</v>
      </c>
      <c r="D915" s="58">
        <v>165.05</v>
      </c>
      <c r="E915" s="59">
        <v>41076</v>
      </c>
      <c r="F915" s="58">
        <v>19153</v>
      </c>
      <c r="G915" s="58">
        <v>3981</v>
      </c>
      <c r="H915" s="58">
        <v>5121</v>
      </c>
      <c r="I915" s="58">
        <v>17973</v>
      </c>
      <c r="J915" s="58">
        <v>1</v>
      </c>
      <c r="K915" s="1">
        <f t="shared" si="99"/>
        <v>845221.05</v>
      </c>
      <c r="L915" s="1">
        <f t="shared" si="100"/>
        <v>5121</v>
      </c>
      <c r="M915" s="1">
        <f>VLOOKUP(B915,'[1]Срок Годности'!$A$2:$B$4,2,0)</f>
        <v>1000</v>
      </c>
      <c r="N915" s="60">
        <f t="shared" si="101"/>
        <v>3981</v>
      </c>
      <c r="O915" s="1" t="str">
        <f t="shared" si="102"/>
        <v>24 2012</v>
      </c>
      <c r="P915" s="1">
        <f t="shared" si="103"/>
        <v>22</v>
      </c>
      <c r="Q915" s="1">
        <f t="shared" ca="1" si="104"/>
        <v>4057</v>
      </c>
      <c r="S915" s="1">
        <f t="shared" si="98"/>
        <v>17972</v>
      </c>
    </row>
    <row r="916" spans="1:19" x14ac:dyDescent="0.2">
      <c r="A916" s="57" t="s">
        <v>232</v>
      </c>
      <c r="B916" s="57" t="s">
        <v>237</v>
      </c>
      <c r="C916" s="57" t="s">
        <v>238</v>
      </c>
      <c r="D916" s="58">
        <v>165.05</v>
      </c>
      <c r="E916" s="59">
        <v>41077</v>
      </c>
      <c r="F916" s="58">
        <v>17973</v>
      </c>
      <c r="G916" s="58">
        <v>4491</v>
      </c>
      <c r="H916" s="58">
        <v>4433</v>
      </c>
      <c r="I916" s="58">
        <v>17989</v>
      </c>
      <c r="J916" s="58">
        <v>0</v>
      </c>
      <c r="K916" s="1">
        <f t="shared" si="99"/>
        <v>731666.65</v>
      </c>
      <c r="L916" s="1">
        <f t="shared" si="100"/>
        <v>4433</v>
      </c>
      <c r="M916" s="1">
        <f>VLOOKUP(B916,'[1]Срок Годности'!$A$2:$B$4,2,0)</f>
        <v>1000</v>
      </c>
      <c r="N916" s="60">
        <f t="shared" si="101"/>
        <v>0</v>
      </c>
      <c r="O916" s="1" t="str">
        <f t="shared" si="102"/>
        <v>25 2012</v>
      </c>
      <c r="P916" s="1">
        <f t="shared" si="103"/>
        <v>22</v>
      </c>
      <c r="Q916" s="1">
        <f t="shared" ca="1" si="104"/>
        <v>4056</v>
      </c>
      <c r="S916" s="1">
        <f t="shared" si="98"/>
        <v>17989</v>
      </c>
    </row>
    <row r="917" spans="1:19" x14ac:dyDescent="0.2">
      <c r="A917" s="57" t="s">
        <v>232</v>
      </c>
      <c r="B917" s="57" t="s">
        <v>237</v>
      </c>
      <c r="C917" s="57" t="s">
        <v>238</v>
      </c>
      <c r="D917" s="58">
        <v>165.05</v>
      </c>
      <c r="E917" s="59">
        <v>41078</v>
      </c>
      <c r="F917" s="58">
        <v>17989</v>
      </c>
      <c r="G917" s="58">
        <v>5663</v>
      </c>
      <c r="H917" s="58">
        <v>4967</v>
      </c>
      <c r="I917" s="58">
        <v>18646</v>
      </c>
      <c r="J917" s="58">
        <v>0</v>
      </c>
      <c r="K917" s="1">
        <f t="shared" si="99"/>
        <v>819803.35000000009</v>
      </c>
      <c r="L917" s="1">
        <f t="shared" si="100"/>
        <v>4967</v>
      </c>
      <c r="M917" s="1">
        <f>VLOOKUP(B917,'[1]Срок Годности'!$A$2:$B$4,2,0)</f>
        <v>1000</v>
      </c>
      <c r="N917" s="60">
        <f t="shared" si="101"/>
        <v>5663</v>
      </c>
      <c r="O917" s="1" t="str">
        <f t="shared" si="102"/>
        <v>25 2012</v>
      </c>
      <c r="P917" s="1">
        <f t="shared" si="103"/>
        <v>22</v>
      </c>
      <c r="Q917" s="1">
        <f t="shared" ca="1" si="104"/>
        <v>4055</v>
      </c>
      <c r="S917" s="1">
        <f t="shared" si="98"/>
        <v>18646</v>
      </c>
    </row>
    <row r="918" spans="1:19" x14ac:dyDescent="0.2">
      <c r="A918" s="57" t="s">
        <v>232</v>
      </c>
      <c r="B918" s="57" t="s">
        <v>237</v>
      </c>
      <c r="C918" s="57" t="s">
        <v>238</v>
      </c>
      <c r="D918" s="58">
        <v>165.05</v>
      </c>
      <c r="E918" s="59">
        <v>41079</v>
      </c>
      <c r="F918" s="58">
        <v>18646</v>
      </c>
      <c r="G918" s="58">
        <v>5829</v>
      </c>
      <c r="H918" s="58">
        <v>5122</v>
      </c>
      <c r="I918" s="58">
        <v>19281</v>
      </c>
      <c r="J918" s="58">
        <v>0</v>
      </c>
      <c r="K918" s="1">
        <f t="shared" si="99"/>
        <v>845386.10000000009</v>
      </c>
      <c r="L918" s="1">
        <f t="shared" si="100"/>
        <v>5122</v>
      </c>
      <c r="M918" s="1">
        <f>VLOOKUP(B918,'[1]Срок Годности'!$A$2:$B$4,2,0)</f>
        <v>1000</v>
      </c>
      <c r="N918" s="60">
        <f t="shared" si="101"/>
        <v>5829</v>
      </c>
      <c r="O918" s="1" t="str">
        <f t="shared" si="102"/>
        <v>25 2012</v>
      </c>
      <c r="P918" s="1">
        <f t="shared" si="103"/>
        <v>22</v>
      </c>
      <c r="Q918" s="1">
        <f t="shared" ca="1" si="104"/>
        <v>4054</v>
      </c>
      <c r="S918" s="1">
        <f t="shared" si="98"/>
        <v>19281</v>
      </c>
    </row>
    <row r="919" spans="1:19" x14ac:dyDescent="0.2">
      <c r="A919" s="57" t="s">
        <v>232</v>
      </c>
      <c r="B919" s="57" t="s">
        <v>237</v>
      </c>
      <c r="C919" s="57" t="s">
        <v>238</v>
      </c>
      <c r="D919" s="58">
        <v>165.05</v>
      </c>
      <c r="E919" s="59">
        <v>41080</v>
      </c>
      <c r="F919" s="58">
        <v>19281</v>
      </c>
      <c r="G919" s="58">
        <v>5979</v>
      </c>
      <c r="H919" s="58">
        <v>5059</v>
      </c>
      <c r="I919" s="58">
        <v>20119</v>
      </c>
      <c r="J919" s="58">
        <v>0</v>
      </c>
      <c r="K919" s="1">
        <f t="shared" si="99"/>
        <v>834987.95000000007</v>
      </c>
      <c r="L919" s="1">
        <f t="shared" si="100"/>
        <v>5059</v>
      </c>
      <c r="M919" s="1">
        <f>VLOOKUP(B919,'[1]Срок Годности'!$A$2:$B$4,2,0)</f>
        <v>1000</v>
      </c>
      <c r="N919" s="60">
        <f t="shared" si="101"/>
        <v>5979</v>
      </c>
      <c r="O919" s="1" t="str">
        <f t="shared" si="102"/>
        <v>25 2012</v>
      </c>
      <c r="P919" s="1">
        <f t="shared" si="103"/>
        <v>22</v>
      </c>
      <c r="Q919" s="1">
        <f t="shared" ca="1" si="104"/>
        <v>4053</v>
      </c>
      <c r="S919" s="1">
        <f t="shared" si="98"/>
        <v>20119</v>
      </c>
    </row>
    <row r="920" spans="1:19" x14ac:dyDescent="0.2">
      <c r="A920" s="57" t="s">
        <v>232</v>
      </c>
      <c r="B920" s="57" t="s">
        <v>237</v>
      </c>
      <c r="C920" s="57" t="s">
        <v>238</v>
      </c>
      <c r="D920" s="58">
        <v>165.05</v>
      </c>
      <c r="E920" s="59">
        <v>41081</v>
      </c>
      <c r="F920" s="58">
        <v>20119</v>
      </c>
      <c r="G920" s="58">
        <v>6943</v>
      </c>
      <c r="H920" s="58">
        <v>5524</v>
      </c>
      <c r="I920" s="58">
        <v>21472</v>
      </c>
      <c r="J920" s="58">
        <v>0</v>
      </c>
      <c r="K920" s="1">
        <f t="shared" si="99"/>
        <v>911736.20000000007</v>
      </c>
      <c r="L920" s="1">
        <f t="shared" si="100"/>
        <v>5524</v>
      </c>
      <c r="M920" s="1">
        <f>VLOOKUP(B920,'[1]Срок Годности'!$A$2:$B$4,2,0)</f>
        <v>1000</v>
      </c>
      <c r="N920" s="60">
        <f t="shared" si="101"/>
        <v>6943</v>
      </c>
      <c r="O920" s="1" t="str">
        <f t="shared" si="102"/>
        <v>25 2012</v>
      </c>
      <c r="P920" s="1">
        <f t="shared" si="103"/>
        <v>22</v>
      </c>
      <c r="Q920" s="1">
        <f t="shared" ca="1" si="104"/>
        <v>4052</v>
      </c>
      <c r="S920" s="1">
        <f t="shared" si="98"/>
        <v>21472</v>
      </c>
    </row>
    <row r="921" spans="1:19" x14ac:dyDescent="0.2">
      <c r="A921" s="57" t="s">
        <v>232</v>
      </c>
      <c r="B921" s="57" t="s">
        <v>237</v>
      </c>
      <c r="C921" s="57" t="s">
        <v>238</v>
      </c>
      <c r="D921" s="58">
        <v>165.05</v>
      </c>
      <c r="E921" s="59">
        <v>41082</v>
      </c>
      <c r="F921" s="58">
        <v>21472</v>
      </c>
      <c r="G921" s="58">
        <v>6734</v>
      </c>
      <c r="H921" s="58">
        <v>5730</v>
      </c>
      <c r="I921" s="58">
        <v>22329</v>
      </c>
      <c r="J921" s="58">
        <v>0</v>
      </c>
      <c r="K921" s="1">
        <f t="shared" si="99"/>
        <v>945736.50000000012</v>
      </c>
      <c r="L921" s="1">
        <f t="shared" si="100"/>
        <v>5730</v>
      </c>
      <c r="M921" s="1">
        <f>VLOOKUP(B921,'[1]Срок Годности'!$A$2:$B$4,2,0)</f>
        <v>1000</v>
      </c>
      <c r="N921" s="60">
        <f t="shared" si="101"/>
        <v>6734</v>
      </c>
      <c r="O921" s="1" t="str">
        <f t="shared" si="102"/>
        <v>25 2012</v>
      </c>
      <c r="P921" s="1">
        <f t="shared" si="103"/>
        <v>22</v>
      </c>
      <c r="Q921" s="1">
        <f t="shared" ca="1" si="104"/>
        <v>4051</v>
      </c>
      <c r="S921" s="1">
        <f t="shared" si="98"/>
        <v>22329</v>
      </c>
    </row>
    <row r="922" spans="1:19" x14ac:dyDescent="0.2">
      <c r="A922" s="57" t="s">
        <v>232</v>
      </c>
      <c r="B922" s="57" t="s">
        <v>237</v>
      </c>
      <c r="C922" s="57" t="s">
        <v>238</v>
      </c>
      <c r="D922" s="58">
        <v>165.05</v>
      </c>
      <c r="E922" s="59">
        <v>41083</v>
      </c>
      <c r="F922" s="58">
        <v>22329</v>
      </c>
      <c r="G922" s="58">
        <v>6701</v>
      </c>
      <c r="H922" s="58">
        <v>5609</v>
      </c>
      <c r="I922" s="58">
        <v>23328</v>
      </c>
      <c r="J922" s="58">
        <v>0</v>
      </c>
      <c r="K922" s="1">
        <f t="shared" si="99"/>
        <v>925765.45000000007</v>
      </c>
      <c r="L922" s="1">
        <f t="shared" si="100"/>
        <v>5609</v>
      </c>
      <c r="M922" s="1">
        <f>VLOOKUP(B922,'[1]Срок Годности'!$A$2:$B$4,2,0)</f>
        <v>1000</v>
      </c>
      <c r="N922" s="60">
        <f t="shared" si="101"/>
        <v>6701</v>
      </c>
      <c r="O922" s="1" t="str">
        <f t="shared" si="102"/>
        <v>25 2012</v>
      </c>
      <c r="P922" s="1">
        <f t="shared" si="103"/>
        <v>22</v>
      </c>
      <c r="Q922" s="1">
        <f t="shared" ca="1" si="104"/>
        <v>4050</v>
      </c>
      <c r="S922" s="1">
        <f t="shared" si="98"/>
        <v>23328</v>
      </c>
    </row>
    <row r="923" spans="1:19" x14ac:dyDescent="0.2">
      <c r="A923" s="57" t="s">
        <v>232</v>
      </c>
      <c r="B923" s="57" t="s">
        <v>237</v>
      </c>
      <c r="C923" s="57" t="s">
        <v>238</v>
      </c>
      <c r="D923" s="58">
        <v>165.05</v>
      </c>
      <c r="E923" s="59">
        <v>41084</v>
      </c>
      <c r="F923" s="58">
        <v>23328</v>
      </c>
      <c r="G923" s="58">
        <v>6148</v>
      </c>
      <c r="H923" s="58">
        <v>5599</v>
      </c>
      <c r="I923" s="58">
        <v>23810</v>
      </c>
      <c r="J923" s="58">
        <v>1</v>
      </c>
      <c r="K923" s="1">
        <f t="shared" si="99"/>
        <v>924114.95000000007</v>
      </c>
      <c r="L923" s="1">
        <f t="shared" si="100"/>
        <v>5599</v>
      </c>
      <c r="M923" s="1">
        <f>VLOOKUP(B923,'[1]Срок Годности'!$A$2:$B$4,2,0)</f>
        <v>1000</v>
      </c>
      <c r="N923" s="60">
        <f t="shared" si="101"/>
        <v>0</v>
      </c>
      <c r="O923" s="1" t="str">
        <f t="shared" si="102"/>
        <v>26 2012</v>
      </c>
      <c r="P923" s="1">
        <f t="shared" si="103"/>
        <v>22</v>
      </c>
      <c r="Q923" s="1">
        <f t="shared" ca="1" si="104"/>
        <v>4049</v>
      </c>
      <c r="S923" s="1">
        <f t="shared" si="98"/>
        <v>23809</v>
      </c>
    </row>
    <row r="924" spans="1:19" x14ac:dyDescent="0.2">
      <c r="A924" s="57" t="s">
        <v>232</v>
      </c>
      <c r="B924" s="57" t="s">
        <v>237</v>
      </c>
      <c r="C924" s="57" t="s">
        <v>238</v>
      </c>
      <c r="D924" s="58">
        <v>165.05</v>
      </c>
      <c r="E924" s="59">
        <v>41085</v>
      </c>
      <c r="F924" s="58">
        <v>23810</v>
      </c>
      <c r="G924" s="58">
        <v>4388</v>
      </c>
      <c r="H924" s="58">
        <v>5875</v>
      </c>
      <c r="I924" s="58">
        <v>22259</v>
      </c>
      <c r="J924" s="58">
        <v>3</v>
      </c>
      <c r="K924" s="1">
        <f t="shared" si="99"/>
        <v>969668.75000000012</v>
      </c>
      <c r="L924" s="1">
        <f t="shared" si="100"/>
        <v>5875</v>
      </c>
      <c r="M924" s="1">
        <f>VLOOKUP(B924,'[1]Срок Годности'!$A$2:$B$4,2,0)</f>
        <v>1000</v>
      </c>
      <c r="N924" s="60">
        <f t="shared" si="101"/>
        <v>4388</v>
      </c>
      <c r="O924" s="1" t="str">
        <f t="shared" si="102"/>
        <v>26 2012</v>
      </c>
      <c r="P924" s="1">
        <f t="shared" si="103"/>
        <v>22</v>
      </c>
      <c r="Q924" s="1">
        <f t="shared" ca="1" si="104"/>
        <v>4048</v>
      </c>
      <c r="S924" s="1">
        <f t="shared" si="98"/>
        <v>22256</v>
      </c>
    </row>
    <row r="925" spans="1:19" x14ac:dyDescent="0.2">
      <c r="A925" s="57" t="s">
        <v>232</v>
      </c>
      <c r="B925" s="57" t="s">
        <v>237</v>
      </c>
      <c r="C925" s="57" t="s">
        <v>238</v>
      </c>
      <c r="D925" s="58">
        <v>165.05</v>
      </c>
      <c r="E925" s="59">
        <v>41086</v>
      </c>
      <c r="F925" s="58">
        <v>22259</v>
      </c>
      <c r="G925" s="58">
        <v>4651</v>
      </c>
      <c r="H925" s="58">
        <v>6079</v>
      </c>
      <c r="I925" s="58">
        <v>20797</v>
      </c>
      <c r="J925" s="58">
        <v>0</v>
      </c>
      <c r="K925" s="1">
        <f t="shared" si="99"/>
        <v>1003338.9500000001</v>
      </c>
      <c r="L925" s="1">
        <f t="shared" si="100"/>
        <v>6079</v>
      </c>
      <c r="M925" s="1">
        <f>VLOOKUP(B925,'[1]Срок Годности'!$A$2:$B$4,2,0)</f>
        <v>1000</v>
      </c>
      <c r="N925" s="60">
        <f t="shared" si="101"/>
        <v>4651</v>
      </c>
      <c r="O925" s="1" t="str">
        <f t="shared" si="102"/>
        <v>26 2012</v>
      </c>
      <c r="P925" s="1">
        <f t="shared" si="103"/>
        <v>22</v>
      </c>
      <c r="Q925" s="1">
        <f t="shared" ca="1" si="104"/>
        <v>4047</v>
      </c>
      <c r="S925" s="1">
        <f t="shared" si="98"/>
        <v>20797</v>
      </c>
    </row>
    <row r="926" spans="1:19" x14ac:dyDescent="0.2">
      <c r="A926" s="57" t="s">
        <v>232</v>
      </c>
      <c r="B926" s="57" t="s">
        <v>237</v>
      </c>
      <c r="C926" s="57" t="s">
        <v>238</v>
      </c>
      <c r="D926" s="58">
        <v>165.05</v>
      </c>
      <c r="E926" s="59">
        <v>41087</v>
      </c>
      <c r="F926" s="58">
        <v>20797</v>
      </c>
      <c r="G926" s="58">
        <v>7643</v>
      </c>
      <c r="H926" s="58">
        <v>6532</v>
      </c>
      <c r="I926" s="58">
        <v>21788</v>
      </c>
      <c r="J926" s="58">
        <v>0</v>
      </c>
      <c r="K926" s="1">
        <f t="shared" si="99"/>
        <v>1078106.6000000001</v>
      </c>
      <c r="L926" s="1">
        <f t="shared" si="100"/>
        <v>6532</v>
      </c>
      <c r="M926" s="1">
        <f>VLOOKUP(B926,'[1]Срок Годности'!$A$2:$B$4,2,0)</f>
        <v>1000</v>
      </c>
      <c r="N926" s="60">
        <f t="shared" si="101"/>
        <v>7643</v>
      </c>
      <c r="O926" s="1" t="str">
        <f t="shared" si="102"/>
        <v>26 2012</v>
      </c>
      <c r="P926" s="1">
        <f t="shared" si="103"/>
        <v>22</v>
      </c>
      <c r="Q926" s="1">
        <f t="shared" ca="1" si="104"/>
        <v>4046</v>
      </c>
      <c r="S926" s="1">
        <f t="shared" si="98"/>
        <v>21788</v>
      </c>
    </row>
    <row r="927" spans="1:19" x14ac:dyDescent="0.2">
      <c r="A927" s="57" t="s">
        <v>232</v>
      </c>
      <c r="B927" s="57" t="s">
        <v>237</v>
      </c>
      <c r="C927" s="57" t="s">
        <v>238</v>
      </c>
      <c r="D927" s="58">
        <v>165.05</v>
      </c>
      <c r="E927" s="59">
        <v>41088</v>
      </c>
      <c r="F927" s="58">
        <v>21788</v>
      </c>
      <c r="G927" s="58">
        <v>8894</v>
      </c>
      <c r="H927" s="58">
        <v>7201</v>
      </c>
      <c r="I927" s="58">
        <v>23346</v>
      </c>
      <c r="J927" s="58">
        <v>0</v>
      </c>
      <c r="K927" s="1">
        <f t="shared" si="99"/>
        <v>1188525.05</v>
      </c>
      <c r="L927" s="1">
        <f t="shared" si="100"/>
        <v>7201</v>
      </c>
      <c r="M927" s="1">
        <f>VLOOKUP(B927,'[1]Срок Годности'!$A$2:$B$4,2,0)</f>
        <v>1000</v>
      </c>
      <c r="N927" s="60">
        <f t="shared" si="101"/>
        <v>8894</v>
      </c>
      <c r="O927" s="1" t="str">
        <f t="shared" si="102"/>
        <v>26 2012</v>
      </c>
      <c r="P927" s="1">
        <f t="shared" si="103"/>
        <v>22</v>
      </c>
      <c r="Q927" s="1">
        <f t="shared" ca="1" si="104"/>
        <v>4045</v>
      </c>
      <c r="S927" s="1">
        <f t="shared" si="98"/>
        <v>23346</v>
      </c>
    </row>
    <row r="928" spans="1:19" x14ac:dyDescent="0.2">
      <c r="A928" s="57" t="s">
        <v>232</v>
      </c>
      <c r="B928" s="57" t="s">
        <v>237</v>
      </c>
      <c r="C928" s="57" t="s">
        <v>238</v>
      </c>
      <c r="D928" s="58">
        <v>165.05</v>
      </c>
      <c r="E928" s="59">
        <v>41089</v>
      </c>
      <c r="F928" s="58">
        <v>23346</v>
      </c>
      <c r="G928" s="58">
        <v>5416</v>
      </c>
      <c r="H928" s="58">
        <v>8352</v>
      </c>
      <c r="I928" s="58">
        <v>20345</v>
      </c>
      <c r="J928" s="58">
        <v>0</v>
      </c>
      <c r="K928" s="1">
        <f t="shared" si="99"/>
        <v>1378497.6</v>
      </c>
      <c r="L928" s="1">
        <f t="shared" si="100"/>
        <v>8352</v>
      </c>
      <c r="M928" s="1">
        <f>VLOOKUP(B928,'[1]Срок Годности'!$A$2:$B$4,2,0)</f>
        <v>1000</v>
      </c>
      <c r="N928" s="60">
        <f t="shared" si="101"/>
        <v>5416</v>
      </c>
      <c r="O928" s="1" t="str">
        <f t="shared" si="102"/>
        <v>26 2012</v>
      </c>
      <c r="P928" s="1">
        <f t="shared" si="103"/>
        <v>22</v>
      </c>
      <c r="Q928" s="1">
        <f t="shared" ca="1" si="104"/>
        <v>4044</v>
      </c>
      <c r="S928" s="1">
        <f t="shared" si="98"/>
        <v>20345</v>
      </c>
    </row>
    <row r="929" spans="1:19" x14ac:dyDescent="0.2">
      <c r="A929" s="57" t="s">
        <v>232</v>
      </c>
      <c r="B929" s="57" t="s">
        <v>237</v>
      </c>
      <c r="C929" s="57" t="s">
        <v>238</v>
      </c>
      <c r="D929" s="58">
        <v>165.05</v>
      </c>
      <c r="E929" s="59">
        <v>41090</v>
      </c>
      <c r="F929" s="58">
        <v>20345</v>
      </c>
      <c r="G929" s="58">
        <v>395</v>
      </c>
      <c r="H929" s="58">
        <v>8033</v>
      </c>
      <c r="I929" s="58">
        <v>12621</v>
      </c>
      <c r="J929" s="58">
        <v>0</v>
      </c>
      <c r="K929" s="1">
        <f t="shared" si="99"/>
        <v>1325846.6500000001</v>
      </c>
      <c r="L929" s="1">
        <f t="shared" si="100"/>
        <v>8033</v>
      </c>
      <c r="M929" s="1">
        <f>VLOOKUP(B929,'[1]Срок Годности'!$A$2:$B$4,2,0)</f>
        <v>1000</v>
      </c>
      <c r="N929" s="60">
        <f t="shared" si="101"/>
        <v>395</v>
      </c>
      <c r="O929" s="1" t="str">
        <f t="shared" si="102"/>
        <v>26 2012</v>
      </c>
      <c r="P929" s="1">
        <f t="shared" si="103"/>
        <v>22</v>
      </c>
      <c r="Q929" s="1">
        <f t="shared" ca="1" si="104"/>
        <v>4043</v>
      </c>
      <c r="S929" s="1">
        <f t="shared" si="98"/>
        <v>12621</v>
      </c>
    </row>
    <row r="930" spans="1:19" x14ac:dyDescent="0.2">
      <c r="A930" s="57" t="s">
        <v>232</v>
      </c>
      <c r="B930" s="57" t="s">
        <v>237</v>
      </c>
      <c r="C930" s="57" t="s">
        <v>238</v>
      </c>
      <c r="D930" s="58">
        <v>165.05</v>
      </c>
      <c r="E930" s="59">
        <v>41091</v>
      </c>
      <c r="F930" s="58">
        <v>12621</v>
      </c>
      <c r="G930" s="58">
        <v>3542</v>
      </c>
      <c r="H930" s="58">
        <v>5590</v>
      </c>
      <c r="I930" s="58">
        <v>10554</v>
      </c>
      <c r="J930" s="58">
        <v>0</v>
      </c>
      <c r="K930" s="1">
        <f t="shared" si="99"/>
        <v>922629.50000000012</v>
      </c>
      <c r="L930" s="1">
        <f t="shared" si="100"/>
        <v>5590</v>
      </c>
      <c r="M930" s="1">
        <f>VLOOKUP(B930,'[1]Срок Годности'!$A$2:$B$4,2,0)</f>
        <v>1000</v>
      </c>
      <c r="N930" s="60">
        <f t="shared" si="101"/>
        <v>0</v>
      </c>
      <c r="O930" s="1" t="str">
        <f t="shared" si="102"/>
        <v>27 2012</v>
      </c>
      <c r="P930" s="1">
        <f t="shared" si="103"/>
        <v>22</v>
      </c>
      <c r="Q930" s="1">
        <f t="shared" ca="1" si="104"/>
        <v>4042</v>
      </c>
      <c r="S930" s="1">
        <f t="shared" si="98"/>
        <v>10554</v>
      </c>
    </row>
    <row r="931" spans="1:19" x14ac:dyDescent="0.2">
      <c r="A931" s="57" t="s">
        <v>232</v>
      </c>
      <c r="B931" s="57" t="s">
        <v>237</v>
      </c>
      <c r="C931" s="57" t="s">
        <v>238</v>
      </c>
      <c r="D931" s="58">
        <v>165.05</v>
      </c>
      <c r="E931" s="59">
        <v>41092</v>
      </c>
      <c r="F931" s="58">
        <v>10554</v>
      </c>
      <c r="G931" s="58">
        <v>4379</v>
      </c>
      <c r="H931" s="58">
        <v>5184</v>
      </c>
      <c r="I931" s="58">
        <v>9666</v>
      </c>
      <c r="J931" s="58">
        <v>0</v>
      </c>
      <c r="K931" s="1">
        <f t="shared" si="99"/>
        <v>855619.20000000007</v>
      </c>
      <c r="L931" s="1">
        <f t="shared" si="100"/>
        <v>5184</v>
      </c>
      <c r="M931" s="1">
        <f>VLOOKUP(B931,'[1]Срок Годности'!$A$2:$B$4,2,0)</f>
        <v>1000</v>
      </c>
      <c r="N931" s="60">
        <f t="shared" si="101"/>
        <v>4379</v>
      </c>
      <c r="O931" s="1" t="str">
        <f t="shared" si="102"/>
        <v>27 2012</v>
      </c>
      <c r="P931" s="1">
        <f t="shared" si="103"/>
        <v>22</v>
      </c>
      <c r="Q931" s="1">
        <f t="shared" ca="1" si="104"/>
        <v>4041</v>
      </c>
      <c r="S931" s="1">
        <f t="shared" si="98"/>
        <v>9666</v>
      </c>
    </row>
    <row r="932" spans="1:19" x14ac:dyDescent="0.2">
      <c r="A932" s="57" t="s">
        <v>232</v>
      </c>
      <c r="B932" s="57" t="s">
        <v>237</v>
      </c>
      <c r="C932" s="57" t="s">
        <v>238</v>
      </c>
      <c r="D932" s="58">
        <v>165.05</v>
      </c>
      <c r="E932" s="59">
        <v>41093</v>
      </c>
      <c r="F932" s="58">
        <v>9666</v>
      </c>
      <c r="G932" s="58">
        <v>3751</v>
      </c>
      <c r="H932" s="58">
        <v>4693</v>
      </c>
      <c r="I932" s="58">
        <v>8601</v>
      </c>
      <c r="J932" s="58">
        <v>0</v>
      </c>
      <c r="K932" s="1">
        <f t="shared" si="99"/>
        <v>774579.65</v>
      </c>
      <c r="L932" s="1">
        <f t="shared" si="100"/>
        <v>4693</v>
      </c>
      <c r="M932" s="1">
        <f>VLOOKUP(B932,'[1]Срок Годности'!$A$2:$B$4,2,0)</f>
        <v>1000</v>
      </c>
      <c r="N932" s="60">
        <f t="shared" si="101"/>
        <v>3751</v>
      </c>
      <c r="O932" s="1" t="str">
        <f t="shared" si="102"/>
        <v>27 2012</v>
      </c>
      <c r="P932" s="1">
        <f t="shared" si="103"/>
        <v>22</v>
      </c>
      <c r="Q932" s="1">
        <f t="shared" ca="1" si="104"/>
        <v>4040</v>
      </c>
      <c r="S932" s="1">
        <f t="shared" si="98"/>
        <v>8601</v>
      </c>
    </row>
    <row r="933" spans="1:19" x14ac:dyDescent="0.2">
      <c r="A933" s="57" t="s">
        <v>232</v>
      </c>
      <c r="B933" s="57" t="s">
        <v>237</v>
      </c>
      <c r="C933" s="57" t="s">
        <v>238</v>
      </c>
      <c r="D933" s="58">
        <v>165.05</v>
      </c>
      <c r="E933" s="59">
        <v>41094</v>
      </c>
      <c r="F933" s="58">
        <v>8601</v>
      </c>
      <c r="G933" s="58">
        <v>17277</v>
      </c>
      <c r="H933" s="58">
        <v>5903</v>
      </c>
      <c r="I933" s="58">
        <v>19920</v>
      </c>
      <c r="J933" s="58">
        <v>0</v>
      </c>
      <c r="K933" s="1">
        <f t="shared" si="99"/>
        <v>974290.15</v>
      </c>
      <c r="L933" s="1">
        <f t="shared" si="100"/>
        <v>5903</v>
      </c>
      <c r="M933" s="1">
        <f>VLOOKUP(B933,'[1]Срок Годности'!$A$2:$B$4,2,0)</f>
        <v>1000</v>
      </c>
      <c r="N933" s="60">
        <f t="shared" si="101"/>
        <v>17277</v>
      </c>
      <c r="O933" s="1" t="str">
        <f t="shared" si="102"/>
        <v>27 2012</v>
      </c>
      <c r="P933" s="1">
        <f t="shared" si="103"/>
        <v>22</v>
      </c>
      <c r="Q933" s="1">
        <f t="shared" ca="1" si="104"/>
        <v>4039</v>
      </c>
      <c r="S933" s="1">
        <f t="shared" si="98"/>
        <v>19920</v>
      </c>
    </row>
    <row r="934" spans="1:19" x14ac:dyDescent="0.2">
      <c r="A934" s="57" t="s">
        <v>232</v>
      </c>
      <c r="B934" s="57" t="s">
        <v>237</v>
      </c>
      <c r="C934" s="57" t="s">
        <v>238</v>
      </c>
      <c r="D934" s="58">
        <v>165.05</v>
      </c>
      <c r="E934" s="59">
        <v>41095</v>
      </c>
      <c r="F934" s="58">
        <v>19920</v>
      </c>
      <c r="G934" s="58">
        <v>7903</v>
      </c>
      <c r="H934" s="58">
        <v>7675</v>
      </c>
      <c r="I934" s="58">
        <v>20037</v>
      </c>
      <c r="J934" s="58">
        <v>0</v>
      </c>
      <c r="K934" s="1">
        <f t="shared" si="99"/>
        <v>1266758.75</v>
      </c>
      <c r="L934" s="1">
        <f t="shared" si="100"/>
        <v>7675</v>
      </c>
      <c r="M934" s="1">
        <f>VLOOKUP(B934,'[1]Срок Годности'!$A$2:$B$4,2,0)</f>
        <v>1000</v>
      </c>
      <c r="N934" s="60">
        <f t="shared" si="101"/>
        <v>7903</v>
      </c>
      <c r="O934" s="1" t="str">
        <f t="shared" si="102"/>
        <v>27 2012</v>
      </c>
      <c r="P934" s="1">
        <f t="shared" si="103"/>
        <v>22</v>
      </c>
      <c r="Q934" s="1">
        <f t="shared" ca="1" si="104"/>
        <v>4038</v>
      </c>
      <c r="S934" s="1">
        <f t="shared" si="98"/>
        <v>20037</v>
      </c>
    </row>
    <row r="935" spans="1:19" x14ac:dyDescent="0.2">
      <c r="A935" s="57" t="s">
        <v>232</v>
      </c>
      <c r="B935" s="57" t="s">
        <v>237</v>
      </c>
      <c r="C935" s="57" t="s">
        <v>238</v>
      </c>
      <c r="D935" s="58">
        <v>165.05</v>
      </c>
      <c r="E935" s="59">
        <v>41096</v>
      </c>
      <c r="F935" s="58">
        <v>20037</v>
      </c>
      <c r="G935" s="58">
        <v>7245</v>
      </c>
      <c r="H935" s="58">
        <v>9186</v>
      </c>
      <c r="I935" s="58">
        <v>17667</v>
      </c>
      <c r="J935" s="58">
        <v>1</v>
      </c>
      <c r="K935" s="1">
        <f t="shared" si="99"/>
        <v>1516149.3</v>
      </c>
      <c r="L935" s="1">
        <f t="shared" si="100"/>
        <v>9186</v>
      </c>
      <c r="M935" s="1">
        <f>VLOOKUP(B935,'[1]Срок Годности'!$A$2:$B$4,2,0)</f>
        <v>1000</v>
      </c>
      <c r="N935" s="60">
        <f t="shared" si="101"/>
        <v>7245</v>
      </c>
      <c r="O935" s="1" t="str">
        <f t="shared" si="102"/>
        <v>27 2012</v>
      </c>
      <c r="P935" s="1">
        <f t="shared" si="103"/>
        <v>22</v>
      </c>
      <c r="Q935" s="1">
        <f t="shared" ca="1" si="104"/>
        <v>4037</v>
      </c>
      <c r="S935" s="1">
        <f t="shared" si="98"/>
        <v>17666</v>
      </c>
    </row>
    <row r="936" spans="1:19" x14ac:dyDescent="0.2">
      <c r="A936" s="57" t="s">
        <v>232</v>
      </c>
      <c r="B936" s="57" t="s">
        <v>237</v>
      </c>
      <c r="C936" s="57" t="s">
        <v>238</v>
      </c>
      <c r="D936" s="58">
        <v>165.05</v>
      </c>
      <c r="E936" s="59">
        <v>41097</v>
      </c>
      <c r="F936" s="58">
        <v>17667</v>
      </c>
      <c r="G936" s="58">
        <v>3918</v>
      </c>
      <c r="H936" s="58">
        <v>7269</v>
      </c>
      <c r="I936" s="58">
        <v>14441</v>
      </c>
      <c r="J936" s="58">
        <v>0</v>
      </c>
      <c r="K936" s="1">
        <f t="shared" si="99"/>
        <v>1199748.4500000002</v>
      </c>
      <c r="L936" s="1">
        <f t="shared" si="100"/>
        <v>7269</v>
      </c>
      <c r="M936" s="1">
        <f>VLOOKUP(B936,'[1]Срок Годности'!$A$2:$B$4,2,0)</f>
        <v>1000</v>
      </c>
      <c r="N936" s="60">
        <f t="shared" si="101"/>
        <v>3918</v>
      </c>
      <c r="O936" s="1" t="str">
        <f t="shared" si="102"/>
        <v>27 2012</v>
      </c>
      <c r="P936" s="1">
        <f t="shared" si="103"/>
        <v>22</v>
      </c>
      <c r="Q936" s="1">
        <f t="shared" ca="1" si="104"/>
        <v>4036</v>
      </c>
      <c r="S936" s="1">
        <f t="shared" si="98"/>
        <v>14441</v>
      </c>
    </row>
    <row r="937" spans="1:19" x14ac:dyDescent="0.2">
      <c r="A937" s="57" t="s">
        <v>232</v>
      </c>
      <c r="B937" s="57" t="s">
        <v>237</v>
      </c>
      <c r="C937" s="57" t="s">
        <v>238</v>
      </c>
      <c r="D937" s="58">
        <v>165.05</v>
      </c>
      <c r="E937" s="59">
        <v>41098</v>
      </c>
      <c r="F937" s="58">
        <v>14441</v>
      </c>
      <c r="G937" s="58">
        <v>4370</v>
      </c>
      <c r="H937" s="58">
        <v>5898</v>
      </c>
      <c r="I937" s="58">
        <v>12810</v>
      </c>
      <c r="J937" s="58">
        <v>0</v>
      </c>
      <c r="K937" s="1">
        <f t="shared" si="99"/>
        <v>973464.9</v>
      </c>
      <c r="L937" s="1">
        <f t="shared" si="100"/>
        <v>5898</v>
      </c>
      <c r="M937" s="1">
        <f>VLOOKUP(B937,'[1]Срок Годности'!$A$2:$B$4,2,0)</f>
        <v>1000</v>
      </c>
      <c r="N937" s="60">
        <f t="shared" si="101"/>
        <v>0</v>
      </c>
      <c r="O937" s="1" t="str">
        <f t="shared" si="102"/>
        <v>28 2012</v>
      </c>
      <c r="P937" s="1">
        <f t="shared" si="103"/>
        <v>22</v>
      </c>
      <c r="Q937" s="1">
        <f t="shared" ca="1" si="104"/>
        <v>4035</v>
      </c>
      <c r="S937" s="1">
        <f t="shared" si="98"/>
        <v>12810</v>
      </c>
    </row>
    <row r="938" spans="1:19" x14ac:dyDescent="0.2">
      <c r="A938" s="57" t="s">
        <v>232</v>
      </c>
      <c r="B938" s="57" t="s">
        <v>237</v>
      </c>
      <c r="C938" s="57" t="s">
        <v>238</v>
      </c>
      <c r="D938" s="58">
        <v>165.05</v>
      </c>
      <c r="E938" s="59">
        <v>41099</v>
      </c>
      <c r="F938" s="58">
        <v>12810</v>
      </c>
      <c r="G938" s="58">
        <v>10134</v>
      </c>
      <c r="H938" s="58">
        <v>6291</v>
      </c>
      <c r="I938" s="58">
        <v>16484</v>
      </c>
      <c r="J938" s="58">
        <v>0</v>
      </c>
      <c r="K938" s="1">
        <f t="shared" si="99"/>
        <v>1038329.55</v>
      </c>
      <c r="L938" s="1">
        <f t="shared" si="100"/>
        <v>6291</v>
      </c>
      <c r="M938" s="1">
        <f>VLOOKUP(B938,'[1]Срок Годности'!$A$2:$B$4,2,0)</f>
        <v>1000</v>
      </c>
      <c r="N938" s="60">
        <f t="shared" si="101"/>
        <v>10134</v>
      </c>
      <c r="O938" s="1" t="str">
        <f t="shared" si="102"/>
        <v>28 2012</v>
      </c>
      <c r="P938" s="1">
        <f t="shared" si="103"/>
        <v>22</v>
      </c>
      <c r="Q938" s="1">
        <f t="shared" ca="1" si="104"/>
        <v>4034</v>
      </c>
      <c r="S938" s="1">
        <f t="shared" si="98"/>
        <v>16484</v>
      </c>
    </row>
    <row r="939" spans="1:19" x14ac:dyDescent="0.2">
      <c r="A939" s="57" t="s">
        <v>232</v>
      </c>
      <c r="B939" s="57" t="s">
        <v>237</v>
      </c>
      <c r="C939" s="57" t="s">
        <v>238</v>
      </c>
      <c r="D939" s="58">
        <v>165.05</v>
      </c>
      <c r="E939" s="59">
        <v>41100</v>
      </c>
      <c r="F939" s="58">
        <v>16484</v>
      </c>
      <c r="G939" s="58">
        <v>7546</v>
      </c>
      <c r="H939" s="58">
        <v>7286</v>
      </c>
      <c r="I939" s="58">
        <v>16585</v>
      </c>
      <c r="J939" s="58">
        <v>0</v>
      </c>
      <c r="K939" s="1">
        <f t="shared" si="99"/>
        <v>1202554.3</v>
      </c>
      <c r="L939" s="1">
        <f t="shared" si="100"/>
        <v>7286</v>
      </c>
      <c r="M939" s="1">
        <f>VLOOKUP(B939,'[1]Срок Годности'!$A$2:$B$4,2,0)</f>
        <v>1000</v>
      </c>
      <c r="N939" s="60">
        <f t="shared" si="101"/>
        <v>7546</v>
      </c>
      <c r="O939" s="1" t="str">
        <f t="shared" si="102"/>
        <v>28 2012</v>
      </c>
      <c r="P939" s="1">
        <f t="shared" si="103"/>
        <v>22</v>
      </c>
      <c r="Q939" s="1">
        <f t="shared" ca="1" si="104"/>
        <v>4033</v>
      </c>
      <c r="S939" s="1">
        <f t="shared" si="98"/>
        <v>16585</v>
      </c>
    </row>
    <row r="940" spans="1:19" x14ac:dyDescent="0.2">
      <c r="A940" s="57" t="s">
        <v>232</v>
      </c>
      <c r="B940" s="57" t="s">
        <v>237</v>
      </c>
      <c r="C940" s="57" t="s">
        <v>238</v>
      </c>
      <c r="D940" s="58">
        <v>165.05</v>
      </c>
      <c r="E940" s="59">
        <v>41101</v>
      </c>
      <c r="F940" s="58">
        <v>16585</v>
      </c>
      <c r="G940" s="58">
        <v>3388</v>
      </c>
      <c r="H940" s="58">
        <v>6570</v>
      </c>
      <c r="I940" s="58">
        <v>13217</v>
      </c>
      <c r="J940" s="58">
        <v>0</v>
      </c>
      <c r="K940" s="1">
        <f t="shared" si="99"/>
        <v>1084378.5</v>
      </c>
      <c r="L940" s="1">
        <f t="shared" si="100"/>
        <v>6570</v>
      </c>
      <c r="M940" s="1">
        <f>VLOOKUP(B940,'[1]Срок Годности'!$A$2:$B$4,2,0)</f>
        <v>1000</v>
      </c>
      <c r="N940" s="60">
        <f t="shared" si="101"/>
        <v>3388</v>
      </c>
      <c r="O940" s="1" t="str">
        <f t="shared" si="102"/>
        <v>28 2012</v>
      </c>
      <c r="P940" s="1">
        <f t="shared" si="103"/>
        <v>22</v>
      </c>
      <c r="Q940" s="1">
        <f t="shared" ca="1" si="104"/>
        <v>4032</v>
      </c>
      <c r="S940" s="1">
        <f t="shared" si="98"/>
        <v>13217</v>
      </c>
    </row>
    <row r="941" spans="1:19" x14ac:dyDescent="0.2">
      <c r="A941" s="57" t="s">
        <v>232</v>
      </c>
      <c r="B941" s="57" t="s">
        <v>237</v>
      </c>
      <c r="C941" s="57" t="s">
        <v>238</v>
      </c>
      <c r="D941" s="58">
        <v>165.05</v>
      </c>
      <c r="E941" s="59">
        <v>41102</v>
      </c>
      <c r="F941" s="58">
        <v>13217</v>
      </c>
      <c r="G941" s="58">
        <v>18046</v>
      </c>
      <c r="H941" s="58">
        <v>6771</v>
      </c>
      <c r="I941" s="58">
        <v>24332</v>
      </c>
      <c r="J941" s="58">
        <v>0</v>
      </c>
      <c r="K941" s="1">
        <f t="shared" si="99"/>
        <v>1117553.55</v>
      </c>
      <c r="L941" s="1">
        <f t="shared" si="100"/>
        <v>6771</v>
      </c>
      <c r="M941" s="1">
        <f>VLOOKUP(B941,'[1]Срок Годности'!$A$2:$B$4,2,0)</f>
        <v>1000</v>
      </c>
      <c r="N941" s="60">
        <f t="shared" si="101"/>
        <v>18046</v>
      </c>
      <c r="O941" s="1" t="str">
        <f t="shared" si="102"/>
        <v>28 2012</v>
      </c>
      <c r="P941" s="1">
        <f t="shared" si="103"/>
        <v>22</v>
      </c>
      <c r="Q941" s="1">
        <f t="shared" ca="1" si="104"/>
        <v>4031</v>
      </c>
      <c r="S941" s="1">
        <f t="shared" si="98"/>
        <v>24332</v>
      </c>
    </row>
    <row r="942" spans="1:19" x14ac:dyDescent="0.2">
      <c r="A942" s="57" t="s">
        <v>232</v>
      </c>
      <c r="B942" s="57" t="s">
        <v>237</v>
      </c>
      <c r="C942" s="57" t="s">
        <v>238</v>
      </c>
      <c r="D942" s="58">
        <v>165.05</v>
      </c>
      <c r="E942" s="59">
        <v>41103</v>
      </c>
      <c r="F942" s="58">
        <v>24332</v>
      </c>
      <c r="G942" s="58">
        <v>11226</v>
      </c>
      <c r="H942" s="58">
        <v>7679</v>
      </c>
      <c r="I942" s="58">
        <v>27772</v>
      </c>
      <c r="J942" s="58">
        <v>0</v>
      </c>
      <c r="K942" s="1">
        <f t="shared" si="99"/>
        <v>1267418.9500000002</v>
      </c>
      <c r="L942" s="1">
        <f t="shared" si="100"/>
        <v>7679</v>
      </c>
      <c r="M942" s="1">
        <f>VLOOKUP(B942,'[1]Срок Годности'!$A$2:$B$4,2,0)</f>
        <v>1000</v>
      </c>
      <c r="N942" s="60">
        <f t="shared" si="101"/>
        <v>11226</v>
      </c>
      <c r="O942" s="1" t="str">
        <f t="shared" si="102"/>
        <v>28 2012</v>
      </c>
      <c r="P942" s="1">
        <f t="shared" si="103"/>
        <v>22</v>
      </c>
      <c r="Q942" s="1">
        <f t="shared" ca="1" si="104"/>
        <v>4030</v>
      </c>
      <c r="S942" s="1">
        <f t="shared" si="98"/>
        <v>27772</v>
      </c>
    </row>
    <row r="943" spans="1:19" x14ac:dyDescent="0.2">
      <c r="A943" s="57" t="s">
        <v>232</v>
      </c>
      <c r="B943" s="57" t="s">
        <v>237</v>
      </c>
      <c r="C943" s="57" t="s">
        <v>238</v>
      </c>
      <c r="D943" s="58">
        <v>165.05</v>
      </c>
      <c r="E943" s="59">
        <v>41104</v>
      </c>
      <c r="F943" s="58">
        <v>27772</v>
      </c>
      <c r="G943" s="58">
        <v>9807</v>
      </c>
      <c r="H943" s="58">
        <v>9817</v>
      </c>
      <c r="I943" s="58">
        <v>27661</v>
      </c>
      <c r="J943" s="58">
        <v>0</v>
      </c>
      <c r="K943" s="1">
        <f t="shared" si="99"/>
        <v>1620295.85</v>
      </c>
      <c r="L943" s="1">
        <f t="shared" si="100"/>
        <v>9817</v>
      </c>
      <c r="M943" s="1">
        <f>VLOOKUP(B943,'[1]Срок Годности'!$A$2:$B$4,2,0)</f>
        <v>1000</v>
      </c>
      <c r="N943" s="60">
        <f t="shared" si="101"/>
        <v>9807</v>
      </c>
      <c r="O943" s="1" t="str">
        <f t="shared" si="102"/>
        <v>28 2012</v>
      </c>
      <c r="P943" s="1">
        <f t="shared" si="103"/>
        <v>22</v>
      </c>
      <c r="Q943" s="1">
        <f t="shared" ca="1" si="104"/>
        <v>4029</v>
      </c>
      <c r="S943" s="1">
        <f t="shared" si="98"/>
        <v>27661</v>
      </c>
    </row>
    <row r="944" spans="1:19" x14ac:dyDescent="0.2">
      <c r="A944" s="57" t="s">
        <v>232</v>
      </c>
      <c r="B944" s="57" t="s">
        <v>237</v>
      </c>
      <c r="C944" s="57" t="s">
        <v>238</v>
      </c>
      <c r="D944" s="58">
        <v>165.05</v>
      </c>
      <c r="E944" s="59">
        <v>41105</v>
      </c>
      <c r="F944" s="58">
        <v>27661</v>
      </c>
      <c r="G944" s="58">
        <v>9555</v>
      </c>
      <c r="H944" s="58">
        <v>9457</v>
      </c>
      <c r="I944" s="58">
        <v>27643</v>
      </c>
      <c r="J944" s="58">
        <v>0</v>
      </c>
      <c r="K944" s="1">
        <f t="shared" si="99"/>
        <v>1560877.85</v>
      </c>
      <c r="L944" s="1">
        <f t="shared" si="100"/>
        <v>9457</v>
      </c>
      <c r="M944" s="1">
        <f>VLOOKUP(B944,'[1]Срок Годности'!$A$2:$B$4,2,0)</f>
        <v>1000</v>
      </c>
      <c r="N944" s="60">
        <f t="shared" si="101"/>
        <v>0</v>
      </c>
      <c r="O944" s="1" t="str">
        <f t="shared" si="102"/>
        <v>29 2012</v>
      </c>
      <c r="P944" s="1">
        <f t="shared" si="103"/>
        <v>22</v>
      </c>
      <c r="Q944" s="1">
        <f t="shared" ca="1" si="104"/>
        <v>4028</v>
      </c>
      <c r="S944" s="1">
        <f t="shared" si="98"/>
        <v>27643</v>
      </c>
    </row>
    <row r="945" spans="1:19" x14ac:dyDescent="0.2">
      <c r="A945" s="57" t="s">
        <v>232</v>
      </c>
      <c r="B945" s="57" t="s">
        <v>237</v>
      </c>
      <c r="C945" s="57" t="s">
        <v>238</v>
      </c>
      <c r="D945" s="58">
        <v>165.05</v>
      </c>
      <c r="E945" s="59">
        <v>41106</v>
      </c>
      <c r="F945" s="58">
        <v>27643</v>
      </c>
      <c r="G945" s="58">
        <v>11827</v>
      </c>
      <c r="H945" s="58">
        <v>9193</v>
      </c>
      <c r="I945" s="58">
        <v>30223</v>
      </c>
      <c r="J945" s="58">
        <v>0</v>
      </c>
      <c r="K945" s="1">
        <f t="shared" si="99"/>
        <v>1517304.6500000001</v>
      </c>
      <c r="L945" s="1">
        <f t="shared" si="100"/>
        <v>9193</v>
      </c>
      <c r="M945" s="1">
        <f>VLOOKUP(B945,'[1]Срок Годности'!$A$2:$B$4,2,0)</f>
        <v>1000</v>
      </c>
      <c r="N945" s="60">
        <f t="shared" si="101"/>
        <v>11827</v>
      </c>
      <c r="O945" s="1" t="str">
        <f t="shared" si="102"/>
        <v>29 2012</v>
      </c>
      <c r="P945" s="1">
        <f t="shared" si="103"/>
        <v>22</v>
      </c>
      <c r="Q945" s="1">
        <f t="shared" ca="1" si="104"/>
        <v>4027</v>
      </c>
      <c r="S945" s="1">
        <f t="shared" si="98"/>
        <v>30223</v>
      </c>
    </row>
    <row r="946" spans="1:19" x14ac:dyDescent="0.2">
      <c r="A946" s="57" t="s">
        <v>232</v>
      </c>
      <c r="B946" s="57" t="s">
        <v>237</v>
      </c>
      <c r="C946" s="57" t="s">
        <v>238</v>
      </c>
      <c r="D946" s="58">
        <v>165.05</v>
      </c>
      <c r="E946" s="59">
        <v>41107</v>
      </c>
      <c r="F946" s="58">
        <v>30223</v>
      </c>
      <c r="G946" s="58">
        <v>12073</v>
      </c>
      <c r="H946" s="58">
        <v>8147</v>
      </c>
      <c r="I946" s="58">
        <v>34091</v>
      </c>
      <c r="J946" s="58">
        <v>0</v>
      </c>
      <c r="K946" s="1">
        <f t="shared" si="99"/>
        <v>1344662.35</v>
      </c>
      <c r="L946" s="1">
        <f t="shared" si="100"/>
        <v>8147</v>
      </c>
      <c r="M946" s="1">
        <f>VLOOKUP(B946,'[1]Срок Годности'!$A$2:$B$4,2,0)</f>
        <v>1000</v>
      </c>
      <c r="N946" s="60">
        <f t="shared" si="101"/>
        <v>12073</v>
      </c>
      <c r="O946" s="1" t="str">
        <f t="shared" si="102"/>
        <v>29 2012</v>
      </c>
      <c r="P946" s="1">
        <f t="shared" si="103"/>
        <v>22</v>
      </c>
      <c r="Q946" s="1">
        <f t="shared" ca="1" si="104"/>
        <v>4026</v>
      </c>
      <c r="S946" s="1">
        <f t="shared" si="98"/>
        <v>34091</v>
      </c>
    </row>
    <row r="947" spans="1:19" x14ac:dyDescent="0.2">
      <c r="A947" s="57" t="s">
        <v>239</v>
      </c>
      <c r="B947" s="57" t="s">
        <v>225</v>
      </c>
      <c r="C947" s="57" t="s">
        <v>226</v>
      </c>
      <c r="D947" s="58">
        <v>317.08</v>
      </c>
      <c r="E947" s="59">
        <v>41061</v>
      </c>
      <c r="F947" s="58">
        <v>6630</v>
      </c>
      <c r="G947" s="58">
        <v>343</v>
      </c>
      <c r="H947" s="58">
        <v>566</v>
      </c>
      <c r="I947" s="58">
        <v>6406</v>
      </c>
      <c r="J947" s="58">
        <v>0</v>
      </c>
      <c r="K947" s="1">
        <f t="shared" si="99"/>
        <v>179467.28</v>
      </c>
      <c r="L947" s="1" t="str">
        <f t="shared" si="100"/>
        <v/>
      </c>
      <c r="M947" s="1">
        <f>VLOOKUP(B947,'[1]Срок Годности'!$A$2:$B$4,2,0)</f>
        <v>500</v>
      </c>
      <c r="N947" s="60">
        <f t="shared" si="101"/>
        <v>343</v>
      </c>
      <c r="O947" s="1" t="str">
        <f t="shared" si="102"/>
        <v>22 2012</v>
      </c>
      <c r="P947" s="1">
        <f t="shared" si="103"/>
        <v>23</v>
      </c>
      <c r="Q947" s="1">
        <f t="shared" ca="1" si="104"/>
        <v>4072</v>
      </c>
      <c r="S947" s="1">
        <f t="shared" si="98"/>
        <v>6406</v>
      </c>
    </row>
    <row r="948" spans="1:19" x14ac:dyDescent="0.2">
      <c r="A948" s="57" t="s">
        <v>239</v>
      </c>
      <c r="B948" s="57" t="s">
        <v>225</v>
      </c>
      <c r="C948" s="57" t="s">
        <v>226</v>
      </c>
      <c r="D948" s="58">
        <v>317.08</v>
      </c>
      <c r="E948" s="59">
        <v>41062</v>
      </c>
      <c r="F948" s="58">
        <v>6406</v>
      </c>
      <c r="G948" s="58">
        <v>652</v>
      </c>
      <c r="H948" s="58">
        <v>597</v>
      </c>
      <c r="I948" s="58">
        <v>6458</v>
      </c>
      <c r="J948" s="58">
        <v>0</v>
      </c>
      <c r="K948" s="1">
        <f t="shared" si="99"/>
        <v>189296.75999999998</v>
      </c>
      <c r="L948" s="1" t="str">
        <f t="shared" si="100"/>
        <v/>
      </c>
      <c r="M948" s="1">
        <f>VLOOKUP(B948,'[1]Срок Годности'!$A$2:$B$4,2,0)</f>
        <v>500</v>
      </c>
      <c r="N948" s="60">
        <f t="shared" si="101"/>
        <v>652</v>
      </c>
      <c r="O948" s="1" t="str">
        <f t="shared" si="102"/>
        <v>22 2012</v>
      </c>
      <c r="P948" s="1">
        <f t="shared" si="103"/>
        <v>23</v>
      </c>
      <c r="Q948" s="1">
        <f t="shared" ca="1" si="104"/>
        <v>4071</v>
      </c>
      <c r="S948" s="1">
        <f t="shared" si="98"/>
        <v>6458</v>
      </c>
    </row>
    <row r="949" spans="1:19" x14ac:dyDescent="0.2">
      <c r="A949" s="57" t="s">
        <v>239</v>
      </c>
      <c r="B949" s="57" t="s">
        <v>225</v>
      </c>
      <c r="C949" s="57" t="s">
        <v>226</v>
      </c>
      <c r="D949" s="58">
        <v>317.08</v>
      </c>
      <c r="E949" s="59">
        <v>41063</v>
      </c>
      <c r="F949" s="58">
        <v>6458</v>
      </c>
      <c r="G949" s="58">
        <v>355</v>
      </c>
      <c r="H949" s="58">
        <v>557</v>
      </c>
      <c r="I949" s="58">
        <v>6252</v>
      </c>
      <c r="J949" s="58">
        <v>0</v>
      </c>
      <c r="K949" s="1">
        <f t="shared" si="99"/>
        <v>176613.56</v>
      </c>
      <c r="L949" s="1" t="str">
        <f t="shared" si="100"/>
        <v/>
      </c>
      <c r="M949" s="1">
        <f>VLOOKUP(B949,'[1]Срок Годности'!$A$2:$B$4,2,0)</f>
        <v>500</v>
      </c>
      <c r="N949" s="60">
        <f t="shared" si="101"/>
        <v>0</v>
      </c>
      <c r="O949" s="1" t="str">
        <f t="shared" si="102"/>
        <v>23 2012</v>
      </c>
      <c r="P949" s="1">
        <f t="shared" si="103"/>
        <v>23</v>
      </c>
      <c r="Q949" s="1">
        <f t="shared" ca="1" si="104"/>
        <v>4070</v>
      </c>
      <c r="S949" s="1">
        <f t="shared" si="98"/>
        <v>6252</v>
      </c>
    </row>
    <row r="950" spans="1:19" x14ac:dyDescent="0.2">
      <c r="A950" s="57" t="s">
        <v>239</v>
      </c>
      <c r="B950" s="57" t="s">
        <v>225</v>
      </c>
      <c r="C950" s="57" t="s">
        <v>226</v>
      </c>
      <c r="D950" s="58">
        <v>317.08</v>
      </c>
      <c r="E950" s="59">
        <v>41064</v>
      </c>
      <c r="F950" s="58">
        <v>6252</v>
      </c>
      <c r="G950" s="58">
        <v>611</v>
      </c>
      <c r="H950" s="58">
        <v>704</v>
      </c>
      <c r="I950" s="58">
        <v>6154</v>
      </c>
      <c r="J950" s="58">
        <v>0</v>
      </c>
      <c r="K950" s="1">
        <f t="shared" si="99"/>
        <v>223224.31999999998</v>
      </c>
      <c r="L950" s="1" t="str">
        <f t="shared" si="100"/>
        <v/>
      </c>
      <c r="M950" s="1">
        <f>VLOOKUP(B950,'[1]Срок Годности'!$A$2:$B$4,2,0)</f>
        <v>500</v>
      </c>
      <c r="N950" s="60">
        <f t="shared" si="101"/>
        <v>611</v>
      </c>
      <c r="O950" s="1" t="str">
        <f t="shared" si="102"/>
        <v>23 2012</v>
      </c>
      <c r="P950" s="1">
        <f t="shared" si="103"/>
        <v>23</v>
      </c>
      <c r="Q950" s="1">
        <f t="shared" ca="1" si="104"/>
        <v>4069</v>
      </c>
      <c r="S950" s="1">
        <f t="shared" si="98"/>
        <v>6154</v>
      </c>
    </row>
    <row r="951" spans="1:19" x14ac:dyDescent="0.2">
      <c r="A951" s="57" t="s">
        <v>239</v>
      </c>
      <c r="B951" s="57" t="s">
        <v>225</v>
      </c>
      <c r="C951" s="57" t="s">
        <v>226</v>
      </c>
      <c r="D951" s="58">
        <v>317.08</v>
      </c>
      <c r="E951" s="59">
        <v>41065</v>
      </c>
      <c r="F951" s="58">
        <v>6154</v>
      </c>
      <c r="G951" s="58">
        <v>545</v>
      </c>
      <c r="H951" s="58">
        <v>803</v>
      </c>
      <c r="I951" s="58">
        <v>5839</v>
      </c>
      <c r="J951" s="58">
        <v>0</v>
      </c>
      <c r="K951" s="1">
        <f t="shared" si="99"/>
        <v>254615.24</v>
      </c>
      <c r="L951" s="1" t="str">
        <f t="shared" si="100"/>
        <v/>
      </c>
      <c r="M951" s="1">
        <f>VLOOKUP(B951,'[1]Срок Годности'!$A$2:$B$4,2,0)</f>
        <v>500</v>
      </c>
      <c r="N951" s="60">
        <f t="shared" si="101"/>
        <v>545</v>
      </c>
      <c r="O951" s="1" t="str">
        <f t="shared" si="102"/>
        <v>23 2012</v>
      </c>
      <c r="P951" s="1">
        <f t="shared" si="103"/>
        <v>23</v>
      </c>
      <c r="Q951" s="1">
        <f t="shared" ca="1" si="104"/>
        <v>4068</v>
      </c>
      <c r="S951" s="1">
        <f t="shared" si="98"/>
        <v>5839</v>
      </c>
    </row>
    <row r="952" spans="1:19" x14ac:dyDescent="0.2">
      <c r="A952" s="57" t="s">
        <v>239</v>
      </c>
      <c r="B952" s="57" t="s">
        <v>225</v>
      </c>
      <c r="C952" s="57" t="s">
        <v>226</v>
      </c>
      <c r="D952" s="58">
        <v>317.08</v>
      </c>
      <c r="E952" s="59">
        <v>41066</v>
      </c>
      <c r="F952" s="58">
        <v>5839</v>
      </c>
      <c r="G952" s="58">
        <v>680</v>
      </c>
      <c r="H952" s="58">
        <v>763</v>
      </c>
      <c r="I952" s="58">
        <v>5756</v>
      </c>
      <c r="J952" s="58">
        <v>0</v>
      </c>
      <c r="K952" s="1">
        <f t="shared" si="99"/>
        <v>241932.03999999998</v>
      </c>
      <c r="L952" s="1" t="str">
        <f t="shared" si="100"/>
        <v/>
      </c>
      <c r="M952" s="1">
        <f>VLOOKUP(B952,'[1]Срок Годности'!$A$2:$B$4,2,0)</f>
        <v>500</v>
      </c>
      <c r="N952" s="60">
        <f t="shared" si="101"/>
        <v>680</v>
      </c>
      <c r="O952" s="1" t="str">
        <f t="shared" si="102"/>
        <v>23 2012</v>
      </c>
      <c r="P952" s="1">
        <f t="shared" si="103"/>
        <v>23</v>
      </c>
      <c r="Q952" s="1">
        <f t="shared" ca="1" si="104"/>
        <v>4067</v>
      </c>
      <c r="S952" s="1">
        <f t="shared" si="98"/>
        <v>5756</v>
      </c>
    </row>
    <row r="953" spans="1:19" x14ac:dyDescent="0.2">
      <c r="A953" s="57" t="s">
        <v>239</v>
      </c>
      <c r="B953" s="57" t="s">
        <v>225</v>
      </c>
      <c r="C953" s="57" t="s">
        <v>226</v>
      </c>
      <c r="D953" s="58">
        <v>317.08</v>
      </c>
      <c r="E953" s="59">
        <v>41067</v>
      </c>
      <c r="F953" s="58">
        <v>5756</v>
      </c>
      <c r="G953" s="58">
        <v>397</v>
      </c>
      <c r="H953" s="58">
        <v>864</v>
      </c>
      <c r="I953" s="58">
        <v>5285</v>
      </c>
      <c r="J953" s="58">
        <v>0</v>
      </c>
      <c r="K953" s="1">
        <f t="shared" si="99"/>
        <v>273957.12</v>
      </c>
      <c r="L953" s="1" t="str">
        <f t="shared" si="100"/>
        <v/>
      </c>
      <c r="M953" s="1">
        <f>VLOOKUP(B953,'[1]Срок Годности'!$A$2:$B$4,2,0)</f>
        <v>500</v>
      </c>
      <c r="N953" s="60">
        <f t="shared" si="101"/>
        <v>397</v>
      </c>
      <c r="O953" s="1" t="str">
        <f t="shared" si="102"/>
        <v>23 2012</v>
      </c>
      <c r="P953" s="1">
        <f t="shared" si="103"/>
        <v>23</v>
      </c>
      <c r="Q953" s="1">
        <f t="shared" ca="1" si="104"/>
        <v>4066</v>
      </c>
      <c r="S953" s="1">
        <f t="shared" si="98"/>
        <v>5285</v>
      </c>
    </row>
    <row r="954" spans="1:19" x14ac:dyDescent="0.2">
      <c r="A954" s="57" t="s">
        <v>239</v>
      </c>
      <c r="B954" s="57" t="s">
        <v>225</v>
      </c>
      <c r="C954" s="57" t="s">
        <v>226</v>
      </c>
      <c r="D954" s="58">
        <v>317.08</v>
      </c>
      <c r="E954" s="59">
        <v>41068</v>
      </c>
      <c r="F954" s="58">
        <v>5285</v>
      </c>
      <c r="G954" s="58">
        <v>1074</v>
      </c>
      <c r="H954" s="58">
        <v>743</v>
      </c>
      <c r="I954" s="58">
        <v>5604</v>
      </c>
      <c r="J954" s="58">
        <v>0</v>
      </c>
      <c r="K954" s="1">
        <f t="shared" si="99"/>
        <v>235590.44</v>
      </c>
      <c r="L954" s="1" t="str">
        <f t="shared" si="100"/>
        <v/>
      </c>
      <c r="M954" s="1">
        <f>VLOOKUP(B954,'[1]Срок Годности'!$A$2:$B$4,2,0)</f>
        <v>500</v>
      </c>
      <c r="N954" s="60">
        <f t="shared" si="101"/>
        <v>1074</v>
      </c>
      <c r="O954" s="1" t="str">
        <f t="shared" si="102"/>
        <v>23 2012</v>
      </c>
      <c r="P954" s="1">
        <f t="shared" si="103"/>
        <v>23</v>
      </c>
      <c r="Q954" s="1">
        <f t="shared" ca="1" si="104"/>
        <v>4065</v>
      </c>
      <c r="S954" s="1">
        <f t="shared" si="98"/>
        <v>5604</v>
      </c>
    </row>
    <row r="955" spans="1:19" x14ac:dyDescent="0.2">
      <c r="A955" s="57" t="s">
        <v>239</v>
      </c>
      <c r="B955" s="57" t="s">
        <v>225</v>
      </c>
      <c r="C955" s="57" t="s">
        <v>226</v>
      </c>
      <c r="D955" s="58">
        <v>317.08</v>
      </c>
      <c r="E955" s="59">
        <v>41069</v>
      </c>
      <c r="F955" s="58">
        <v>5604</v>
      </c>
      <c r="G955" s="58">
        <v>903</v>
      </c>
      <c r="H955" s="58">
        <v>870</v>
      </c>
      <c r="I955" s="58">
        <v>5629</v>
      </c>
      <c r="J955" s="58">
        <v>0</v>
      </c>
      <c r="K955" s="1">
        <f t="shared" si="99"/>
        <v>275859.59999999998</v>
      </c>
      <c r="L955" s="1" t="str">
        <f t="shared" si="100"/>
        <v/>
      </c>
      <c r="M955" s="1">
        <f>VLOOKUP(B955,'[1]Срок Годности'!$A$2:$B$4,2,0)</f>
        <v>500</v>
      </c>
      <c r="N955" s="60">
        <f t="shared" si="101"/>
        <v>903</v>
      </c>
      <c r="O955" s="1" t="str">
        <f t="shared" si="102"/>
        <v>23 2012</v>
      </c>
      <c r="P955" s="1">
        <f t="shared" si="103"/>
        <v>23</v>
      </c>
      <c r="Q955" s="1">
        <f t="shared" ca="1" si="104"/>
        <v>4064</v>
      </c>
      <c r="S955" s="1">
        <f t="shared" si="98"/>
        <v>5629</v>
      </c>
    </row>
    <row r="956" spans="1:19" x14ac:dyDescent="0.2">
      <c r="A956" s="57" t="s">
        <v>239</v>
      </c>
      <c r="B956" s="57" t="s">
        <v>225</v>
      </c>
      <c r="C956" s="57" t="s">
        <v>226</v>
      </c>
      <c r="D956" s="58">
        <v>317.08</v>
      </c>
      <c r="E956" s="59">
        <v>41070</v>
      </c>
      <c r="F956" s="58">
        <v>5629</v>
      </c>
      <c r="G956" s="58">
        <v>885</v>
      </c>
      <c r="H956" s="58">
        <v>680</v>
      </c>
      <c r="I956" s="58">
        <v>5827</v>
      </c>
      <c r="J956" s="58">
        <v>0</v>
      </c>
      <c r="K956" s="1">
        <f t="shared" si="99"/>
        <v>215614.4</v>
      </c>
      <c r="L956" s="1" t="str">
        <f t="shared" si="100"/>
        <v/>
      </c>
      <c r="M956" s="1">
        <f>VLOOKUP(B956,'[1]Срок Годности'!$A$2:$B$4,2,0)</f>
        <v>500</v>
      </c>
      <c r="N956" s="60">
        <f t="shared" si="101"/>
        <v>0</v>
      </c>
      <c r="O956" s="1" t="str">
        <f t="shared" si="102"/>
        <v>24 2012</v>
      </c>
      <c r="P956" s="1">
        <f t="shared" si="103"/>
        <v>23</v>
      </c>
      <c r="Q956" s="1">
        <f t="shared" ca="1" si="104"/>
        <v>4063</v>
      </c>
      <c r="S956" s="1">
        <f t="shared" si="98"/>
        <v>5827</v>
      </c>
    </row>
    <row r="957" spans="1:19" x14ac:dyDescent="0.2">
      <c r="A957" s="57" t="s">
        <v>239</v>
      </c>
      <c r="B957" s="57" t="s">
        <v>225</v>
      </c>
      <c r="C957" s="57" t="s">
        <v>226</v>
      </c>
      <c r="D957" s="58">
        <v>317.08</v>
      </c>
      <c r="E957" s="59">
        <v>41071</v>
      </c>
      <c r="F957" s="58">
        <v>5827</v>
      </c>
      <c r="G957" s="58">
        <v>543</v>
      </c>
      <c r="H957" s="58">
        <v>702</v>
      </c>
      <c r="I957" s="58">
        <v>5666</v>
      </c>
      <c r="J957" s="58">
        <v>0</v>
      </c>
      <c r="K957" s="1">
        <f t="shared" si="99"/>
        <v>222590.15999999997</v>
      </c>
      <c r="L957" s="1" t="str">
        <f t="shared" si="100"/>
        <v/>
      </c>
      <c r="M957" s="1">
        <f>VLOOKUP(B957,'[1]Срок Годности'!$A$2:$B$4,2,0)</f>
        <v>500</v>
      </c>
      <c r="N957" s="60">
        <f t="shared" si="101"/>
        <v>543</v>
      </c>
      <c r="O957" s="1" t="str">
        <f t="shared" si="102"/>
        <v>24 2012</v>
      </c>
      <c r="P957" s="1">
        <f t="shared" si="103"/>
        <v>23</v>
      </c>
      <c r="Q957" s="1">
        <f t="shared" ca="1" si="104"/>
        <v>4062</v>
      </c>
      <c r="S957" s="1">
        <f t="shared" si="98"/>
        <v>5666</v>
      </c>
    </row>
    <row r="958" spans="1:19" x14ac:dyDescent="0.2">
      <c r="A958" s="57" t="s">
        <v>239</v>
      </c>
      <c r="B958" s="57" t="s">
        <v>225</v>
      </c>
      <c r="C958" s="57" t="s">
        <v>226</v>
      </c>
      <c r="D958" s="58">
        <v>317.08</v>
      </c>
      <c r="E958" s="59">
        <v>41072</v>
      </c>
      <c r="F958" s="58">
        <v>5666</v>
      </c>
      <c r="G958" s="58">
        <v>754</v>
      </c>
      <c r="H958" s="58">
        <v>576</v>
      </c>
      <c r="I958" s="58">
        <v>5792</v>
      </c>
      <c r="J958" s="58">
        <v>0</v>
      </c>
      <c r="K958" s="1">
        <f t="shared" si="99"/>
        <v>182638.07999999999</v>
      </c>
      <c r="L958" s="1" t="str">
        <f t="shared" si="100"/>
        <v/>
      </c>
      <c r="M958" s="1">
        <f>VLOOKUP(B958,'[1]Срок Годности'!$A$2:$B$4,2,0)</f>
        <v>500</v>
      </c>
      <c r="N958" s="60">
        <f t="shared" si="101"/>
        <v>754</v>
      </c>
      <c r="O958" s="1" t="str">
        <f t="shared" si="102"/>
        <v>24 2012</v>
      </c>
      <c r="P958" s="1">
        <f t="shared" si="103"/>
        <v>23</v>
      </c>
      <c r="Q958" s="1">
        <f t="shared" ca="1" si="104"/>
        <v>4061</v>
      </c>
      <c r="S958" s="1">
        <f t="shared" si="98"/>
        <v>5792</v>
      </c>
    </row>
    <row r="959" spans="1:19" x14ac:dyDescent="0.2">
      <c r="A959" s="57" t="s">
        <v>239</v>
      </c>
      <c r="B959" s="57" t="s">
        <v>225</v>
      </c>
      <c r="C959" s="57" t="s">
        <v>226</v>
      </c>
      <c r="D959" s="58">
        <v>317.08</v>
      </c>
      <c r="E959" s="59">
        <v>41073</v>
      </c>
      <c r="F959" s="58">
        <v>5792</v>
      </c>
      <c r="G959" s="58">
        <v>447</v>
      </c>
      <c r="H959" s="58">
        <v>640</v>
      </c>
      <c r="I959" s="58">
        <v>5561</v>
      </c>
      <c r="J959" s="58">
        <v>0</v>
      </c>
      <c r="K959" s="1">
        <f t="shared" si="99"/>
        <v>202931.19999999998</v>
      </c>
      <c r="L959" s="1" t="str">
        <f t="shared" si="100"/>
        <v/>
      </c>
      <c r="M959" s="1">
        <f>VLOOKUP(B959,'[1]Срок Годности'!$A$2:$B$4,2,0)</f>
        <v>500</v>
      </c>
      <c r="N959" s="60">
        <f t="shared" si="101"/>
        <v>447</v>
      </c>
      <c r="O959" s="1" t="str">
        <f t="shared" si="102"/>
        <v>24 2012</v>
      </c>
      <c r="P959" s="1">
        <f t="shared" si="103"/>
        <v>23</v>
      </c>
      <c r="Q959" s="1">
        <f t="shared" ca="1" si="104"/>
        <v>4060</v>
      </c>
      <c r="S959" s="1">
        <f t="shared" si="98"/>
        <v>5561</v>
      </c>
    </row>
    <row r="960" spans="1:19" x14ac:dyDescent="0.2">
      <c r="A960" s="57" t="s">
        <v>239</v>
      </c>
      <c r="B960" s="57" t="s">
        <v>225</v>
      </c>
      <c r="C960" s="57" t="s">
        <v>226</v>
      </c>
      <c r="D960" s="58">
        <v>317.08</v>
      </c>
      <c r="E960" s="59">
        <v>41074</v>
      </c>
      <c r="F960" s="58">
        <v>5561</v>
      </c>
      <c r="G960" s="58">
        <v>611</v>
      </c>
      <c r="H960" s="58">
        <v>734</v>
      </c>
      <c r="I960" s="58">
        <v>5428</v>
      </c>
      <c r="J960" s="58">
        <v>0</v>
      </c>
      <c r="K960" s="1">
        <f t="shared" si="99"/>
        <v>232736.72</v>
      </c>
      <c r="L960" s="1" t="str">
        <f t="shared" si="100"/>
        <v/>
      </c>
      <c r="M960" s="1">
        <f>VLOOKUP(B960,'[1]Срок Годности'!$A$2:$B$4,2,0)</f>
        <v>500</v>
      </c>
      <c r="N960" s="60">
        <f t="shared" si="101"/>
        <v>611</v>
      </c>
      <c r="O960" s="1" t="str">
        <f t="shared" si="102"/>
        <v>24 2012</v>
      </c>
      <c r="P960" s="1">
        <f t="shared" si="103"/>
        <v>23</v>
      </c>
      <c r="Q960" s="1">
        <f t="shared" ca="1" si="104"/>
        <v>4059</v>
      </c>
      <c r="S960" s="1">
        <f t="shared" si="98"/>
        <v>5428</v>
      </c>
    </row>
    <row r="961" spans="1:19" x14ac:dyDescent="0.2">
      <c r="A961" s="57" t="s">
        <v>239</v>
      </c>
      <c r="B961" s="57" t="s">
        <v>225</v>
      </c>
      <c r="C961" s="57" t="s">
        <v>226</v>
      </c>
      <c r="D961" s="58">
        <v>317.08</v>
      </c>
      <c r="E961" s="59">
        <v>41075</v>
      </c>
      <c r="F961" s="58">
        <v>5428</v>
      </c>
      <c r="G961" s="58">
        <v>468</v>
      </c>
      <c r="H961" s="58">
        <v>888</v>
      </c>
      <c r="I961" s="58">
        <v>4996</v>
      </c>
      <c r="J961" s="58">
        <v>0</v>
      </c>
      <c r="K961" s="1">
        <f t="shared" si="99"/>
        <v>281567.03999999998</v>
      </c>
      <c r="L961" s="1" t="str">
        <f t="shared" si="100"/>
        <v/>
      </c>
      <c r="M961" s="1">
        <f>VLOOKUP(B961,'[1]Срок Годности'!$A$2:$B$4,2,0)</f>
        <v>500</v>
      </c>
      <c r="N961" s="60">
        <f t="shared" si="101"/>
        <v>468</v>
      </c>
      <c r="O961" s="1" t="str">
        <f t="shared" si="102"/>
        <v>24 2012</v>
      </c>
      <c r="P961" s="1">
        <f t="shared" si="103"/>
        <v>23</v>
      </c>
      <c r="Q961" s="1">
        <f t="shared" ca="1" si="104"/>
        <v>4058</v>
      </c>
      <c r="S961" s="1">
        <f t="shared" si="98"/>
        <v>4996</v>
      </c>
    </row>
    <row r="962" spans="1:19" x14ac:dyDescent="0.2">
      <c r="A962" s="57" t="s">
        <v>239</v>
      </c>
      <c r="B962" s="57" t="s">
        <v>225</v>
      </c>
      <c r="C962" s="57" t="s">
        <v>226</v>
      </c>
      <c r="D962" s="58">
        <v>317.08</v>
      </c>
      <c r="E962" s="59">
        <v>41076</v>
      </c>
      <c r="F962" s="58">
        <v>4996</v>
      </c>
      <c r="G962" s="58">
        <v>752</v>
      </c>
      <c r="H962" s="58">
        <v>902</v>
      </c>
      <c r="I962" s="58">
        <v>4829</v>
      </c>
      <c r="J962" s="58">
        <v>0</v>
      </c>
      <c r="K962" s="1">
        <f t="shared" si="99"/>
        <v>286006.15999999997</v>
      </c>
      <c r="L962" s="1" t="str">
        <f t="shared" si="100"/>
        <v/>
      </c>
      <c r="M962" s="1">
        <f>VLOOKUP(B962,'[1]Срок Годности'!$A$2:$B$4,2,0)</f>
        <v>500</v>
      </c>
      <c r="N962" s="60">
        <f t="shared" si="101"/>
        <v>752</v>
      </c>
      <c r="O962" s="1" t="str">
        <f t="shared" si="102"/>
        <v>24 2012</v>
      </c>
      <c r="P962" s="1">
        <f t="shared" si="103"/>
        <v>23</v>
      </c>
      <c r="Q962" s="1">
        <f t="shared" ca="1" si="104"/>
        <v>4057</v>
      </c>
      <c r="S962" s="1">
        <f t="shared" si="98"/>
        <v>4829</v>
      </c>
    </row>
    <row r="963" spans="1:19" x14ac:dyDescent="0.2">
      <c r="A963" s="57" t="s">
        <v>239</v>
      </c>
      <c r="B963" s="57" t="s">
        <v>225</v>
      </c>
      <c r="C963" s="57" t="s">
        <v>226</v>
      </c>
      <c r="D963" s="58">
        <v>317.08</v>
      </c>
      <c r="E963" s="59">
        <v>41077</v>
      </c>
      <c r="F963" s="58">
        <v>4829</v>
      </c>
      <c r="G963" s="58">
        <v>588</v>
      </c>
      <c r="H963" s="58">
        <v>900</v>
      </c>
      <c r="I963" s="58">
        <v>4512</v>
      </c>
      <c r="J963" s="58">
        <v>0</v>
      </c>
      <c r="K963" s="1">
        <f t="shared" si="99"/>
        <v>285372</v>
      </c>
      <c r="L963" s="1" t="str">
        <f t="shared" si="100"/>
        <v/>
      </c>
      <c r="M963" s="1">
        <f>VLOOKUP(B963,'[1]Срок Годности'!$A$2:$B$4,2,0)</f>
        <v>500</v>
      </c>
      <c r="N963" s="60">
        <f t="shared" si="101"/>
        <v>0</v>
      </c>
      <c r="O963" s="1" t="str">
        <f t="shared" si="102"/>
        <v>25 2012</v>
      </c>
      <c r="P963" s="1">
        <f t="shared" si="103"/>
        <v>23</v>
      </c>
      <c r="Q963" s="1">
        <f t="shared" ca="1" si="104"/>
        <v>4056</v>
      </c>
      <c r="S963" s="1">
        <f t="shared" si="98"/>
        <v>4512</v>
      </c>
    </row>
    <row r="964" spans="1:19" x14ac:dyDescent="0.2">
      <c r="A964" s="57" t="s">
        <v>239</v>
      </c>
      <c r="B964" s="57" t="s">
        <v>225</v>
      </c>
      <c r="C964" s="57" t="s">
        <v>226</v>
      </c>
      <c r="D964" s="58">
        <v>317.08</v>
      </c>
      <c r="E964" s="59">
        <v>41078</v>
      </c>
      <c r="F964" s="58">
        <v>4512</v>
      </c>
      <c r="G964" s="58">
        <v>1042</v>
      </c>
      <c r="H964" s="58">
        <v>961</v>
      </c>
      <c r="I964" s="58">
        <v>4598</v>
      </c>
      <c r="J964" s="58">
        <v>0</v>
      </c>
      <c r="K964" s="1">
        <f t="shared" si="99"/>
        <v>304713.88</v>
      </c>
      <c r="L964" s="1" t="str">
        <f t="shared" si="100"/>
        <v/>
      </c>
      <c r="M964" s="1">
        <f>VLOOKUP(B964,'[1]Срок Годности'!$A$2:$B$4,2,0)</f>
        <v>500</v>
      </c>
      <c r="N964" s="60">
        <f t="shared" si="101"/>
        <v>1042</v>
      </c>
      <c r="O964" s="1" t="str">
        <f t="shared" si="102"/>
        <v>25 2012</v>
      </c>
      <c r="P964" s="1">
        <f t="shared" si="103"/>
        <v>23</v>
      </c>
      <c r="Q964" s="1">
        <f t="shared" ca="1" si="104"/>
        <v>4055</v>
      </c>
      <c r="S964" s="1">
        <f t="shared" si="98"/>
        <v>4598</v>
      </c>
    </row>
    <row r="965" spans="1:19" x14ac:dyDescent="0.2">
      <c r="A965" s="57" t="s">
        <v>239</v>
      </c>
      <c r="B965" s="57" t="s">
        <v>225</v>
      </c>
      <c r="C965" s="57" t="s">
        <v>226</v>
      </c>
      <c r="D965" s="58">
        <v>317.08</v>
      </c>
      <c r="E965" s="59">
        <v>41079</v>
      </c>
      <c r="F965" s="58">
        <v>4598</v>
      </c>
      <c r="G965" s="58">
        <v>928</v>
      </c>
      <c r="H965" s="58">
        <v>766</v>
      </c>
      <c r="I965" s="58">
        <v>4748</v>
      </c>
      <c r="J965" s="58">
        <v>0</v>
      </c>
      <c r="K965" s="1">
        <f t="shared" si="99"/>
        <v>242883.28</v>
      </c>
      <c r="L965" s="1" t="str">
        <f t="shared" si="100"/>
        <v/>
      </c>
      <c r="M965" s="1">
        <f>VLOOKUP(B965,'[1]Срок Годности'!$A$2:$B$4,2,0)</f>
        <v>500</v>
      </c>
      <c r="N965" s="60">
        <f t="shared" si="101"/>
        <v>928</v>
      </c>
      <c r="O965" s="1" t="str">
        <f t="shared" si="102"/>
        <v>25 2012</v>
      </c>
      <c r="P965" s="1">
        <f t="shared" si="103"/>
        <v>23</v>
      </c>
      <c r="Q965" s="1">
        <f t="shared" ca="1" si="104"/>
        <v>4054</v>
      </c>
      <c r="S965" s="1">
        <f t="shared" si="98"/>
        <v>4748</v>
      </c>
    </row>
    <row r="966" spans="1:19" x14ac:dyDescent="0.2">
      <c r="A966" s="57" t="s">
        <v>239</v>
      </c>
      <c r="B966" s="57" t="s">
        <v>225</v>
      </c>
      <c r="C966" s="57" t="s">
        <v>226</v>
      </c>
      <c r="D966" s="58">
        <v>317.08</v>
      </c>
      <c r="E966" s="59">
        <v>41080</v>
      </c>
      <c r="F966" s="58">
        <v>4748</v>
      </c>
      <c r="G966" s="58">
        <v>1834</v>
      </c>
      <c r="H966" s="58">
        <v>904</v>
      </c>
      <c r="I966" s="58">
        <v>5670</v>
      </c>
      <c r="J966" s="58">
        <v>0</v>
      </c>
      <c r="K966" s="1">
        <f t="shared" si="99"/>
        <v>286640.32</v>
      </c>
      <c r="L966" s="1" t="str">
        <f t="shared" si="100"/>
        <v/>
      </c>
      <c r="M966" s="1">
        <f>VLOOKUP(B966,'[1]Срок Годности'!$A$2:$B$4,2,0)</f>
        <v>500</v>
      </c>
      <c r="N966" s="60">
        <f t="shared" si="101"/>
        <v>1834</v>
      </c>
      <c r="O966" s="1" t="str">
        <f t="shared" si="102"/>
        <v>25 2012</v>
      </c>
      <c r="P966" s="1">
        <f t="shared" si="103"/>
        <v>23</v>
      </c>
      <c r="Q966" s="1">
        <f t="shared" ca="1" si="104"/>
        <v>4053</v>
      </c>
      <c r="S966" s="1">
        <f t="shared" si="98"/>
        <v>5670</v>
      </c>
    </row>
    <row r="967" spans="1:19" x14ac:dyDescent="0.2">
      <c r="A967" s="57" t="s">
        <v>239</v>
      </c>
      <c r="B967" s="57" t="s">
        <v>225</v>
      </c>
      <c r="C967" s="57" t="s">
        <v>226</v>
      </c>
      <c r="D967" s="58">
        <v>317.08</v>
      </c>
      <c r="E967" s="59">
        <v>41081</v>
      </c>
      <c r="F967" s="58">
        <v>5670</v>
      </c>
      <c r="G967" s="58">
        <v>899</v>
      </c>
      <c r="H967" s="58">
        <v>1088</v>
      </c>
      <c r="I967" s="58">
        <v>5474</v>
      </c>
      <c r="J967" s="58">
        <v>0</v>
      </c>
      <c r="K967" s="1">
        <f t="shared" si="99"/>
        <v>344983.03999999998</v>
      </c>
      <c r="L967" s="1">
        <f t="shared" si="100"/>
        <v>1088</v>
      </c>
      <c r="M967" s="1">
        <f>VLOOKUP(B967,'[1]Срок Годности'!$A$2:$B$4,2,0)</f>
        <v>500</v>
      </c>
      <c r="N967" s="60">
        <f t="shared" si="101"/>
        <v>899</v>
      </c>
      <c r="O967" s="1" t="str">
        <f t="shared" si="102"/>
        <v>25 2012</v>
      </c>
      <c r="P967" s="1">
        <f t="shared" si="103"/>
        <v>23</v>
      </c>
      <c r="Q967" s="1">
        <f t="shared" ca="1" si="104"/>
        <v>4052</v>
      </c>
      <c r="S967" s="1">
        <f t="shared" ref="S967:S1030" si="105">I967-J967</f>
        <v>5474</v>
      </c>
    </row>
    <row r="968" spans="1:19" x14ac:dyDescent="0.2">
      <c r="A968" s="57" t="s">
        <v>239</v>
      </c>
      <c r="B968" s="57" t="s">
        <v>225</v>
      </c>
      <c r="C968" s="57" t="s">
        <v>226</v>
      </c>
      <c r="D968" s="58">
        <v>317.08</v>
      </c>
      <c r="E968" s="59">
        <v>41082</v>
      </c>
      <c r="F968" s="58">
        <v>5474</v>
      </c>
      <c r="G968" s="58">
        <v>1325</v>
      </c>
      <c r="H968" s="58">
        <v>1176</v>
      </c>
      <c r="I968" s="58">
        <v>5618</v>
      </c>
      <c r="J968" s="58">
        <v>0</v>
      </c>
      <c r="K968" s="1">
        <f t="shared" ref="K968:K1031" si="106">H968*D968</f>
        <v>372886.07999999996</v>
      </c>
      <c r="L968" s="1">
        <f t="shared" ref="L968:L1031" si="107">IF(H968&gt;1000,H968,"")</f>
        <v>1176</v>
      </c>
      <c r="M968" s="1">
        <f>VLOOKUP(B968,'[1]Срок Годности'!$A$2:$B$4,2,0)</f>
        <v>500</v>
      </c>
      <c r="N968" s="60">
        <f t="shared" ref="N968:N1031" si="108">IF(WEEKDAY(E968) = 1, 0, G968)</f>
        <v>1325</v>
      </c>
      <c r="O968" s="1" t="str">
        <f t="shared" ref="O968:O1031" si="109">WEEKNUM(E968) &amp; " " &amp; YEAR(E968)</f>
        <v>25 2012</v>
      </c>
      <c r="P968" s="1">
        <f t="shared" ref="P968:P1031" si="110">LEN(C968)</f>
        <v>23</v>
      </c>
      <c r="Q968" s="1">
        <f t="shared" ref="Q968:Q1031" ca="1" si="111">DATEDIF(E968,NOW(),"D")</f>
        <v>4051</v>
      </c>
      <c r="S968" s="1">
        <f t="shared" si="105"/>
        <v>5618</v>
      </c>
    </row>
    <row r="969" spans="1:19" x14ac:dyDescent="0.2">
      <c r="A969" s="57" t="s">
        <v>239</v>
      </c>
      <c r="B969" s="57" t="s">
        <v>225</v>
      </c>
      <c r="C969" s="57" t="s">
        <v>226</v>
      </c>
      <c r="D969" s="58">
        <v>317.08</v>
      </c>
      <c r="E969" s="59">
        <v>41083</v>
      </c>
      <c r="F969" s="58">
        <v>5618</v>
      </c>
      <c r="G969" s="58">
        <v>1008</v>
      </c>
      <c r="H969" s="58">
        <v>1195</v>
      </c>
      <c r="I969" s="58">
        <v>5426</v>
      </c>
      <c r="J969" s="58">
        <v>0</v>
      </c>
      <c r="K969" s="1">
        <f t="shared" si="106"/>
        <v>378910.6</v>
      </c>
      <c r="L969" s="1">
        <f t="shared" si="107"/>
        <v>1195</v>
      </c>
      <c r="M969" s="1">
        <f>VLOOKUP(B969,'[1]Срок Годности'!$A$2:$B$4,2,0)</f>
        <v>500</v>
      </c>
      <c r="N969" s="60">
        <f t="shared" si="108"/>
        <v>1008</v>
      </c>
      <c r="O969" s="1" t="str">
        <f t="shared" si="109"/>
        <v>25 2012</v>
      </c>
      <c r="P969" s="1">
        <f t="shared" si="110"/>
        <v>23</v>
      </c>
      <c r="Q969" s="1">
        <f t="shared" ca="1" si="111"/>
        <v>4050</v>
      </c>
      <c r="S969" s="1">
        <f t="shared" si="105"/>
        <v>5426</v>
      </c>
    </row>
    <row r="970" spans="1:19" x14ac:dyDescent="0.2">
      <c r="A970" s="57" t="s">
        <v>239</v>
      </c>
      <c r="B970" s="57" t="s">
        <v>225</v>
      </c>
      <c r="C970" s="57" t="s">
        <v>226</v>
      </c>
      <c r="D970" s="58">
        <v>317.08</v>
      </c>
      <c r="E970" s="59">
        <v>41084</v>
      </c>
      <c r="F970" s="58">
        <v>5426</v>
      </c>
      <c r="G970" s="58">
        <v>1588</v>
      </c>
      <c r="H970" s="58">
        <v>1439</v>
      </c>
      <c r="I970" s="58">
        <v>5579</v>
      </c>
      <c r="J970" s="58">
        <v>0</v>
      </c>
      <c r="K970" s="1">
        <f t="shared" si="106"/>
        <v>456278.12</v>
      </c>
      <c r="L970" s="1">
        <f t="shared" si="107"/>
        <v>1439</v>
      </c>
      <c r="M970" s="1">
        <f>VLOOKUP(B970,'[1]Срок Годности'!$A$2:$B$4,2,0)</f>
        <v>500</v>
      </c>
      <c r="N970" s="60">
        <f t="shared" si="108"/>
        <v>0</v>
      </c>
      <c r="O970" s="1" t="str">
        <f t="shared" si="109"/>
        <v>26 2012</v>
      </c>
      <c r="P970" s="1">
        <f t="shared" si="110"/>
        <v>23</v>
      </c>
      <c r="Q970" s="1">
        <f t="shared" ca="1" si="111"/>
        <v>4049</v>
      </c>
      <c r="S970" s="1">
        <f t="shared" si="105"/>
        <v>5579</v>
      </c>
    </row>
    <row r="971" spans="1:19" x14ac:dyDescent="0.2">
      <c r="A971" s="57" t="s">
        <v>239</v>
      </c>
      <c r="B971" s="57" t="s">
        <v>225</v>
      </c>
      <c r="C971" s="57" t="s">
        <v>226</v>
      </c>
      <c r="D971" s="58">
        <v>317.08</v>
      </c>
      <c r="E971" s="59">
        <v>41085</v>
      </c>
      <c r="F971" s="58">
        <v>5579</v>
      </c>
      <c r="G971" s="58">
        <v>1143</v>
      </c>
      <c r="H971" s="58">
        <v>1288</v>
      </c>
      <c r="I971" s="58">
        <v>5424</v>
      </c>
      <c r="J971" s="58">
        <v>0</v>
      </c>
      <c r="K971" s="1">
        <f t="shared" si="106"/>
        <v>408399.04</v>
      </c>
      <c r="L971" s="1">
        <f t="shared" si="107"/>
        <v>1288</v>
      </c>
      <c r="M971" s="1">
        <f>VLOOKUP(B971,'[1]Срок Годности'!$A$2:$B$4,2,0)</f>
        <v>500</v>
      </c>
      <c r="N971" s="60">
        <f t="shared" si="108"/>
        <v>1143</v>
      </c>
      <c r="O971" s="1" t="str">
        <f t="shared" si="109"/>
        <v>26 2012</v>
      </c>
      <c r="P971" s="1">
        <f t="shared" si="110"/>
        <v>23</v>
      </c>
      <c r="Q971" s="1">
        <f t="shared" ca="1" si="111"/>
        <v>4048</v>
      </c>
      <c r="S971" s="1">
        <f t="shared" si="105"/>
        <v>5424</v>
      </c>
    </row>
    <row r="972" spans="1:19" x14ac:dyDescent="0.2">
      <c r="A972" s="57" t="s">
        <v>239</v>
      </c>
      <c r="B972" s="57" t="s">
        <v>225</v>
      </c>
      <c r="C972" s="57" t="s">
        <v>226</v>
      </c>
      <c r="D972" s="58">
        <v>317.08</v>
      </c>
      <c r="E972" s="59">
        <v>41086</v>
      </c>
      <c r="F972" s="58">
        <v>5424</v>
      </c>
      <c r="G972" s="58">
        <v>110</v>
      </c>
      <c r="H972" s="58">
        <v>1133</v>
      </c>
      <c r="I972" s="58">
        <v>4387</v>
      </c>
      <c r="J972" s="58">
        <v>0</v>
      </c>
      <c r="K972" s="1">
        <f t="shared" si="106"/>
        <v>359251.63999999996</v>
      </c>
      <c r="L972" s="1">
        <f t="shared" si="107"/>
        <v>1133</v>
      </c>
      <c r="M972" s="1">
        <f>VLOOKUP(B972,'[1]Срок Годности'!$A$2:$B$4,2,0)</f>
        <v>500</v>
      </c>
      <c r="N972" s="60">
        <f t="shared" si="108"/>
        <v>110</v>
      </c>
      <c r="O972" s="1" t="str">
        <f t="shared" si="109"/>
        <v>26 2012</v>
      </c>
      <c r="P972" s="1">
        <f t="shared" si="110"/>
        <v>23</v>
      </c>
      <c r="Q972" s="1">
        <f t="shared" ca="1" si="111"/>
        <v>4047</v>
      </c>
      <c r="S972" s="1">
        <f t="shared" si="105"/>
        <v>4387</v>
      </c>
    </row>
    <row r="973" spans="1:19" x14ac:dyDescent="0.2">
      <c r="A973" s="57" t="s">
        <v>239</v>
      </c>
      <c r="B973" s="57" t="s">
        <v>225</v>
      </c>
      <c r="C973" s="57" t="s">
        <v>226</v>
      </c>
      <c r="D973" s="58">
        <v>317.08</v>
      </c>
      <c r="E973" s="59">
        <v>41087</v>
      </c>
      <c r="F973" s="58">
        <v>4387</v>
      </c>
      <c r="G973" s="58">
        <v>21</v>
      </c>
      <c r="H973" s="58">
        <v>917</v>
      </c>
      <c r="I973" s="58">
        <v>3497</v>
      </c>
      <c r="J973" s="58">
        <v>0</v>
      </c>
      <c r="K973" s="1">
        <f t="shared" si="106"/>
        <v>290762.36</v>
      </c>
      <c r="L973" s="1" t="str">
        <f t="shared" si="107"/>
        <v/>
      </c>
      <c r="M973" s="1">
        <f>VLOOKUP(B973,'[1]Срок Годности'!$A$2:$B$4,2,0)</f>
        <v>500</v>
      </c>
      <c r="N973" s="60">
        <f t="shared" si="108"/>
        <v>21</v>
      </c>
      <c r="O973" s="1" t="str">
        <f t="shared" si="109"/>
        <v>26 2012</v>
      </c>
      <c r="P973" s="1">
        <f t="shared" si="110"/>
        <v>23</v>
      </c>
      <c r="Q973" s="1">
        <f t="shared" ca="1" si="111"/>
        <v>4046</v>
      </c>
      <c r="S973" s="1">
        <f t="shared" si="105"/>
        <v>3497</v>
      </c>
    </row>
    <row r="974" spans="1:19" x14ac:dyDescent="0.2">
      <c r="A974" s="57" t="s">
        <v>239</v>
      </c>
      <c r="B974" s="57" t="s">
        <v>225</v>
      </c>
      <c r="C974" s="57" t="s">
        <v>226</v>
      </c>
      <c r="D974" s="58">
        <v>317.08</v>
      </c>
      <c r="E974" s="59">
        <v>41088</v>
      </c>
      <c r="F974" s="58">
        <v>3497</v>
      </c>
      <c r="G974" s="58">
        <v>0</v>
      </c>
      <c r="H974" s="58">
        <v>748</v>
      </c>
      <c r="I974" s="58">
        <v>2751</v>
      </c>
      <c r="J974" s="58">
        <v>0</v>
      </c>
      <c r="K974" s="1">
        <f t="shared" si="106"/>
        <v>237175.84</v>
      </c>
      <c r="L974" s="1" t="str">
        <f t="shared" si="107"/>
        <v/>
      </c>
      <c r="M974" s="1">
        <f>VLOOKUP(B974,'[1]Срок Годности'!$A$2:$B$4,2,0)</f>
        <v>500</v>
      </c>
      <c r="N974" s="60">
        <f t="shared" si="108"/>
        <v>0</v>
      </c>
      <c r="O974" s="1" t="str">
        <f t="shared" si="109"/>
        <v>26 2012</v>
      </c>
      <c r="P974" s="1">
        <f t="shared" si="110"/>
        <v>23</v>
      </c>
      <c r="Q974" s="1">
        <f t="shared" ca="1" si="111"/>
        <v>4045</v>
      </c>
      <c r="S974" s="1">
        <f t="shared" si="105"/>
        <v>2751</v>
      </c>
    </row>
    <row r="975" spans="1:19" x14ac:dyDescent="0.2">
      <c r="A975" s="57" t="s">
        <v>239</v>
      </c>
      <c r="B975" s="57" t="s">
        <v>225</v>
      </c>
      <c r="C975" s="57" t="s">
        <v>226</v>
      </c>
      <c r="D975" s="58">
        <v>317.08</v>
      </c>
      <c r="E975" s="59">
        <v>41089</v>
      </c>
      <c r="F975" s="58">
        <v>2751</v>
      </c>
      <c r="G975" s="58">
        <v>-26</v>
      </c>
      <c r="H975" s="58">
        <v>635</v>
      </c>
      <c r="I975" s="58">
        <v>2088</v>
      </c>
      <c r="J975" s="58">
        <v>0</v>
      </c>
      <c r="K975" s="1">
        <f t="shared" si="106"/>
        <v>201345.8</v>
      </c>
      <c r="L975" s="1" t="str">
        <f t="shared" si="107"/>
        <v/>
      </c>
      <c r="M975" s="1">
        <f>VLOOKUP(B975,'[1]Срок Годности'!$A$2:$B$4,2,0)</f>
        <v>500</v>
      </c>
      <c r="N975" s="60">
        <f t="shared" si="108"/>
        <v>-26</v>
      </c>
      <c r="O975" s="1" t="str">
        <f t="shared" si="109"/>
        <v>26 2012</v>
      </c>
      <c r="P975" s="1">
        <f t="shared" si="110"/>
        <v>23</v>
      </c>
      <c r="Q975" s="1">
        <f t="shared" ca="1" si="111"/>
        <v>4044</v>
      </c>
      <c r="S975" s="1">
        <f t="shared" si="105"/>
        <v>2088</v>
      </c>
    </row>
    <row r="976" spans="1:19" x14ac:dyDescent="0.2">
      <c r="A976" s="57" t="s">
        <v>239</v>
      </c>
      <c r="B976" s="57" t="s">
        <v>225</v>
      </c>
      <c r="C976" s="57" t="s">
        <v>226</v>
      </c>
      <c r="D976" s="58">
        <v>317.08</v>
      </c>
      <c r="E976" s="59">
        <v>41090</v>
      </c>
      <c r="F976" s="58">
        <v>2088</v>
      </c>
      <c r="G976" s="58">
        <v>1725</v>
      </c>
      <c r="H976" s="58">
        <v>931</v>
      </c>
      <c r="I976" s="58">
        <v>2871</v>
      </c>
      <c r="J976" s="58">
        <v>0</v>
      </c>
      <c r="K976" s="1">
        <f t="shared" si="106"/>
        <v>295201.48</v>
      </c>
      <c r="L976" s="1" t="str">
        <f t="shared" si="107"/>
        <v/>
      </c>
      <c r="M976" s="1">
        <f>VLOOKUP(B976,'[1]Срок Годности'!$A$2:$B$4,2,0)</f>
        <v>500</v>
      </c>
      <c r="N976" s="60">
        <f t="shared" si="108"/>
        <v>1725</v>
      </c>
      <c r="O976" s="1" t="str">
        <f t="shared" si="109"/>
        <v>26 2012</v>
      </c>
      <c r="P976" s="1">
        <f t="shared" si="110"/>
        <v>23</v>
      </c>
      <c r="Q976" s="1">
        <f t="shared" ca="1" si="111"/>
        <v>4043</v>
      </c>
      <c r="S976" s="1">
        <f t="shared" si="105"/>
        <v>2871</v>
      </c>
    </row>
    <row r="977" spans="1:19" x14ac:dyDescent="0.2">
      <c r="A977" s="57" t="s">
        <v>239</v>
      </c>
      <c r="B977" s="57" t="s">
        <v>225</v>
      </c>
      <c r="C977" s="57" t="s">
        <v>226</v>
      </c>
      <c r="D977" s="58">
        <v>317.08</v>
      </c>
      <c r="E977" s="59">
        <v>41091</v>
      </c>
      <c r="F977" s="58">
        <v>2871</v>
      </c>
      <c r="G977" s="58">
        <v>50</v>
      </c>
      <c r="H977" s="58">
        <v>1053</v>
      </c>
      <c r="I977" s="58">
        <v>1863</v>
      </c>
      <c r="J977" s="58">
        <v>0</v>
      </c>
      <c r="K977" s="1">
        <f t="shared" si="106"/>
        <v>333885.24</v>
      </c>
      <c r="L977" s="1">
        <f t="shared" si="107"/>
        <v>1053</v>
      </c>
      <c r="M977" s="1">
        <f>VLOOKUP(B977,'[1]Срок Годности'!$A$2:$B$4,2,0)</f>
        <v>500</v>
      </c>
      <c r="N977" s="60">
        <f t="shared" si="108"/>
        <v>0</v>
      </c>
      <c r="O977" s="1" t="str">
        <f t="shared" si="109"/>
        <v>27 2012</v>
      </c>
      <c r="P977" s="1">
        <f t="shared" si="110"/>
        <v>23</v>
      </c>
      <c r="Q977" s="1">
        <f t="shared" ca="1" si="111"/>
        <v>4042</v>
      </c>
      <c r="S977" s="1">
        <f t="shared" si="105"/>
        <v>1863</v>
      </c>
    </row>
    <row r="978" spans="1:19" x14ac:dyDescent="0.2">
      <c r="A978" s="57" t="s">
        <v>239</v>
      </c>
      <c r="B978" s="57" t="s">
        <v>225</v>
      </c>
      <c r="C978" s="57" t="s">
        <v>226</v>
      </c>
      <c r="D978" s="58">
        <v>317.08</v>
      </c>
      <c r="E978" s="59">
        <v>41092</v>
      </c>
      <c r="F978" s="58">
        <v>1863</v>
      </c>
      <c r="G978" s="58">
        <v>0</v>
      </c>
      <c r="H978" s="58">
        <v>549</v>
      </c>
      <c r="I978" s="58">
        <v>1310</v>
      </c>
      <c r="J978" s="58">
        <v>0</v>
      </c>
      <c r="K978" s="1">
        <f t="shared" si="106"/>
        <v>174076.91999999998</v>
      </c>
      <c r="L978" s="1" t="str">
        <f t="shared" si="107"/>
        <v/>
      </c>
      <c r="M978" s="1">
        <f>VLOOKUP(B978,'[1]Срок Годности'!$A$2:$B$4,2,0)</f>
        <v>500</v>
      </c>
      <c r="N978" s="60">
        <f t="shared" si="108"/>
        <v>0</v>
      </c>
      <c r="O978" s="1" t="str">
        <f t="shared" si="109"/>
        <v>27 2012</v>
      </c>
      <c r="P978" s="1">
        <f t="shared" si="110"/>
        <v>23</v>
      </c>
      <c r="Q978" s="1">
        <f t="shared" ca="1" si="111"/>
        <v>4041</v>
      </c>
      <c r="S978" s="1">
        <f t="shared" si="105"/>
        <v>1310</v>
      </c>
    </row>
    <row r="979" spans="1:19" x14ac:dyDescent="0.2">
      <c r="A979" s="57" t="s">
        <v>239</v>
      </c>
      <c r="B979" s="57" t="s">
        <v>225</v>
      </c>
      <c r="C979" s="57" t="s">
        <v>226</v>
      </c>
      <c r="D979" s="58">
        <v>317.08</v>
      </c>
      <c r="E979" s="59">
        <v>41093</v>
      </c>
      <c r="F979" s="58">
        <v>1310</v>
      </c>
      <c r="G979" s="58">
        <v>39</v>
      </c>
      <c r="H979" s="58">
        <v>279</v>
      </c>
      <c r="I979" s="58">
        <v>1059</v>
      </c>
      <c r="J979" s="58">
        <v>0</v>
      </c>
      <c r="K979" s="1">
        <f t="shared" si="106"/>
        <v>88465.319999999992</v>
      </c>
      <c r="L979" s="1" t="str">
        <f t="shared" si="107"/>
        <v/>
      </c>
      <c r="M979" s="1">
        <f>VLOOKUP(B979,'[1]Срок Годности'!$A$2:$B$4,2,0)</f>
        <v>500</v>
      </c>
      <c r="N979" s="60">
        <f t="shared" si="108"/>
        <v>39</v>
      </c>
      <c r="O979" s="1" t="str">
        <f t="shared" si="109"/>
        <v>27 2012</v>
      </c>
      <c r="P979" s="1">
        <f t="shared" si="110"/>
        <v>23</v>
      </c>
      <c r="Q979" s="1">
        <f t="shared" ca="1" si="111"/>
        <v>4040</v>
      </c>
      <c r="S979" s="1">
        <f t="shared" si="105"/>
        <v>1059</v>
      </c>
    </row>
    <row r="980" spans="1:19" x14ac:dyDescent="0.2">
      <c r="A980" s="57" t="s">
        <v>239</v>
      </c>
      <c r="B980" s="57" t="s">
        <v>225</v>
      </c>
      <c r="C980" s="57" t="s">
        <v>226</v>
      </c>
      <c r="D980" s="58">
        <v>317.08</v>
      </c>
      <c r="E980" s="59">
        <v>41094</v>
      </c>
      <c r="F980" s="58">
        <v>1059</v>
      </c>
      <c r="G980" s="58">
        <v>6</v>
      </c>
      <c r="H980" s="58">
        <v>161</v>
      </c>
      <c r="I980" s="58">
        <v>885</v>
      </c>
      <c r="J980" s="58">
        <v>0</v>
      </c>
      <c r="K980" s="1">
        <f t="shared" si="106"/>
        <v>51049.88</v>
      </c>
      <c r="L980" s="1" t="str">
        <f t="shared" si="107"/>
        <v/>
      </c>
      <c r="M980" s="1">
        <f>VLOOKUP(B980,'[1]Срок Годности'!$A$2:$B$4,2,0)</f>
        <v>500</v>
      </c>
      <c r="N980" s="60">
        <f t="shared" si="108"/>
        <v>6</v>
      </c>
      <c r="O980" s="1" t="str">
        <f t="shared" si="109"/>
        <v>27 2012</v>
      </c>
      <c r="P980" s="1">
        <f t="shared" si="110"/>
        <v>23</v>
      </c>
      <c r="Q980" s="1">
        <f t="shared" ca="1" si="111"/>
        <v>4039</v>
      </c>
      <c r="S980" s="1">
        <f t="shared" si="105"/>
        <v>885</v>
      </c>
    </row>
    <row r="981" spans="1:19" x14ac:dyDescent="0.2">
      <c r="A981" s="57" t="s">
        <v>239</v>
      </c>
      <c r="B981" s="57" t="s">
        <v>225</v>
      </c>
      <c r="C981" s="57" t="s">
        <v>226</v>
      </c>
      <c r="D981" s="58">
        <v>317.08</v>
      </c>
      <c r="E981" s="59">
        <v>41095</v>
      </c>
      <c r="F981" s="58">
        <v>885</v>
      </c>
      <c r="G981" s="58">
        <v>3</v>
      </c>
      <c r="H981" s="58">
        <v>147</v>
      </c>
      <c r="I981" s="58">
        <v>721</v>
      </c>
      <c r="J981" s="58">
        <v>0</v>
      </c>
      <c r="K981" s="1">
        <f t="shared" si="106"/>
        <v>46610.759999999995</v>
      </c>
      <c r="L981" s="1" t="str">
        <f t="shared" si="107"/>
        <v/>
      </c>
      <c r="M981" s="1">
        <f>VLOOKUP(B981,'[1]Срок Годности'!$A$2:$B$4,2,0)</f>
        <v>500</v>
      </c>
      <c r="N981" s="60">
        <f t="shared" si="108"/>
        <v>3</v>
      </c>
      <c r="O981" s="1" t="str">
        <f t="shared" si="109"/>
        <v>27 2012</v>
      </c>
      <c r="P981" s="1">
        <f t="shared" si="110"/>
        <v>23</v>
      </c>
      <c r="Q981" s="1">
        <f t="shared" ca="1" si="111"/>
        <v>4038</v>
      </c>
      <c r="S981" s="1">
        <f t="shared" si="105"/>
        <v>721</v>
      </c>
    </row>
    <row r="982" spans="1:19" x14ac:dyDescent="0.2">
      <c r="A982" s="57" t="s">
        <v>239</v>
      </c>
      <c r="B982" s="57" t="s">
        <v>225</v>
      </c>
      <c r="C982" s="57" t="s">
        <v>226</v>
      </c>
      <c r="D982" s="58">
        <v>317.08</v>
      </c>
      <c r="E982" s="59">
        <v>41096</v>
      </c>
      <c r="F982" s="58">
        <v>721</v>
      </c>
      <c r="G982" s="58">
        <v>0</v>
      </c>
      <c r="H982" s="58">
        <v>88</v>
      </c>
      <c r="I982" s="58">
        <v>622</v>
      </c>
      <c r="J982" s="58">
        <v>0</v>
      </c>
      <c r="K982" s="1">
        <f t="shared" si="106"/>
        <v>27903.039999999997</v>
      </c>
      <c r="L982" s="1" t="str">
        <f t="shared" si="107"/>
        <v/>
      </c>
      <c r="M982" s="1">
        <f>VLOOKUP(B982,'[1]Срок Годности'!$A$2:$B$4,2,0)</f>
        <v>500</v>
      </c>
      <c r="N982" s="60">
        <f t="shared" si="108"/>
        <v>0</v>
      </c>
      <c r="O982" s="1" t="str">
        <f t="shared" si="109"/>
        <v>27 2012</v>
      </c>
      <c r="P982" s="1">
        <f t="shared" si="110"/>
        <v>23</v>
      </c>
      <c r="Q982" s="1">
        <f t="shared" ca="1" si="111"/>
        <v>4037</v>
      </c>
      <c r="S982" s="1">
        <f t="shared" si="105"/>
        <v>622</v>
      </c>
    </row>
    <row r="983" spans="1:19" x14ac:dyDescent="0.2">
      <c r="A983" s="57" t="s">
        <v>239</v>
      </c>
      <c r="B983" s="57" t="s">
        <v>225</v>
      </c>
      <c r="C983" s="57" t="s">
        <v>226</v>
      </c>
      <c r="D983" s="58">
        <v>317.08</v>
      </c>
      <c r="E983" s="59">
        <v>41097</v>
      </c>
      <c r="F983" s="58">
        <v>622</v>
      </c>
      <c r="G983" s="58">
        <v>5</v>
      </c>
      <c r="H983" s="58">
        <v>72</v>
      </c>
      <c r="I983" s="58">
        <v>555</v>
      </c>
      <c r="J983" s="58">
        <v>0</v>
      </c>
      <c r="K983" s="1">
        <f t="shared" si="106"/>
        <v>22829.759999999998</v>
      </c>
      <c r="L983" s="1" t="str">
        <f t="shared" si="107"/>
        <v/>
      </c>
      <c r="M983" s="1">
        <f>VLOOKUP(B983,'[1]Срок Годности'!$A$2:$B$4,2,0)</f>
        <v>500</v>
      </c>
      <c r="N983" s="60">
        <f t="shared" si="108"/>
        <v>5</v>
      </c>
      <c r="O983" s="1" t="str">
        <f t="shared" si="109"/>
        <v>27 2012</v>
      </c>
      <c r="P983" s="1">
        <f t="shared" si="110"/>
        <v>23</v>
      </c>
      <c r="Q983" s="1">
        <f t="shared" ca="1" si="111"/>
        <v>4036</v>
      </c>
      <c r="S983" s="1">
        <f t="shared" si="105"/>
        <v>555</v>
      </c>
    </row>
    <row r="984" spans="1:19" x14ac:dyDescent="0.2">
      <c r="A984" s="57" t="s">
        <v>239</v>
      </c>
      <c r="B984" s="57" t="s">
        <v>225</v>
      </c>
      <c r="C984" s="57" t="s">
        <v>226</v>
      </c>
      <c r="D984" s="58">
        <v>317.08</v>
      </c>
      <c r="E984" s="59">
        <v>41098</v>
      </c>
      <c r="F984" s="58">
        <v>555</v>
      </c>
      <c r="G984" s="58">
        <v>0</v>
      </c>
      <c r="H984" s="58">
        <v>40</v>
      </c>
      <c r="I984" s="58">
        <v>509</v>
      </c>
      <c r="J984" s="58">
        <v>0</v>
      </c>
      <c r="K984" s="1">
        <f t="shared" si="106"/>
        <v>12683.199999999999</v>
      </c>
      <c r="L984" s="1" t="str">
        <f t="shared" si="107"/>
        <v/>
      </c>
      <c r="M984" s="1">
        <f>VLOOKUP(B984,'[1]Срок Годности'!$A$2:$B$4,2,0)</f>
        <v>500</v>
      </c>
      <c r="N984" s="60">
        <f t="shared" si="108"/>
        <v>0</v>
      </c>
      <c r="O984" s="1" t="str">
        <f t="shared" si="109"/>
        <v>28 2012</v>
      </c>
      <c r="P984" s="1">
        <f t="shared" si="110"/>
        <v>23</v>
      </c>
      <c r="Q984" s="1">
        <f t="shared" ca="1" si="111"/>
        <v>4035</v>
      </c>
      <c r="S984" s="1">
        <f t="shared" si="105"/>
        <v>509</v>
      </c>
    </row>
    <row r="985" spans="1:19" x14ac:dyDescent="0.2">
      <c r="A985" s="57" t="s">
        <v>239</v>
      </c>
      <c r="B985" s="57" t="s">
        <v>225</v>
      </c>
      <c r="C985" s="57" t="s">
        <v>226</v>
      </c>
      <c r="D985" s="58">
        <v>317.08</v>
      </c>
      <c r="E985" s="59">
        <v>41099</v>
      </c>
      <c r="F985" s="58">
        <v>509</v>
      </c>
      <c r="G985" s="58">
        <v>2477</v>
      </c>
      <c r="H985" s="58">
        <v>217</v>
      </c>
      <c r="I985" s="58">
        <v>2757</v>
      </c>
      <c r="J985" s="58">
        <v>0</v>
      </c>
      <c r="K985" s="1">
        <f t="shared" si="106"/>
        <v>68806.36</v>
      </c>
      <c r="L985" s="1" t="str">
        <f t="shared" si="107"/>
        <v/>
      </c>
      <c r="M985" s="1">
        <f>VLOOKUP(B985,'[1]Срок Годности'!$A$2:$B$4,2,0)</f>
        <v>500</v>
      </c>
      <c r="N985" s="60">
        <f t="shared" si="108"/>
        <v>2477</v>
      </c>
      <c r="O985" s="1" t="str">
        <f t="shared" si="109"/>
        <v>28 2012</v>
      </c>
      <c r="P985" s="1">
        <f t="shared" si="110"/>
        <v>23</v>
      </c>
      <c r="Q985" s="1">
        <f t="shared" ca="1" si="111"/>
        <v>4034</v>
      </c>
      <c r="S985" s="1">
        <f t="shared" si="105"/>
        <v>2757</v>
      </c>
    </row>
    <row r="986" spans="1:19" x14ac:dyDescent="0.2">
      <c r="A986" s="57" t="s">
        <v>239</v>
      </c>
      <c r="B986" s="57" t="s">
        <v>225</v>
      </c>
      <c r="C986" s="57" t="s">
        <v>226</v>
      </c>
      <c r="D986" s="58">
        <v>317.08</v>
      </c>
      <c r="E986" s="59">
        <v>41100</v>
      </c>
      <c r="F986" s="58">
        <v>2757</v>
      </c>
      <c r="G986" s="58">
        <v>2173</v>
      </c>
      <c r="H986" s="58">
        <v>679</v>
      </c>
      <c r="I986" s="58">
        <v>4214</v>
      </c>
      <c r="J986" s="58">
        <v>0</v>
      </c>
      <c r="K986" s="1">
        <f t="shared" si="106"/>
        <v>215297.31999999998</v>
      </c>
      <c r="L986" s="1" t="str">
        <f t="shared" si="107"/>
        <v/>
      </c>
      <c r="M986" s="1">
        <f>VLOOKUP(B986,'[1]Срок Годности'!$A$2:$B$4,2,0)</f>
        <v>500</v>
      </c>
      <c r="N986" s="60">
        <f t="shared" si="108"/>
        <v>2173</v>
      </c>
      <c r="O986" s="1" t="str">
        <f t="shared" si="109"/>
        <v>28 2012</v>
      </c>
      <c r="P986" s="1">
        <f t="shared" si="110"/>
        <v>23</v>
      </c>
      <c r="Q986" s="1">
        <f t="shared" ca="1" si="111"/>
        <v>4033</v>
      </c>
      <c r="S986" s="1">
        <f t="shared" si="105"/>
        <v>4214</v>
      </c>
    </row>
    <row r="987" spans="1:19" x14ac:dyDescent="0.2">
      <c r="A987" s="57" t="s">
        <v>239</v>
      </c>
      <c r="B987" s="57" t="s">
        <v>225</v>
      </c>
      <c r="C987" s="57" t="s">
        <v>226</v>
      </c>
      <c r="D987" s="58">
        <v>317.08</v>
      </c>
      <c r="E987" s="59">
        <v>41101</v>
      </c>
      <c r="F987" s="58">
        <v>4214</v>
      </c>
      <c r="G987" s="58">
        <v>284</v>
      </c>
      <c r="H987" s="58">
        <v>1190</v>
      </c>
      <c r="I987" s="58">
        <v>3288</v>
      </c>
      <c r="J987" s="58">
        <v>0</v>
      </c>
      <c r="K987" s="1">
        <f t="shared" si="106"/>
        <v>377325.19999999995</v>
      </c>
      <c r="L987" s="1">
        <f t="shared" si="107"/>
        <v>1190</v>
      </c>
      <c r="M987" s="1">
        <f>VLOOKUP(B987,'[1]Срок Годности'!$A$2:$B$4,2,0)</f>
        <v>500</v>
      </c>
      <c r="N987" s="60">
        <f t="shared" si="108"/>
        <v>284</v>
      </c>
      <c r="O987" s="1" t="str">
        <f t="shared" si="109"/>
        <v>28 2012</v>
      </c>
      <c r="P987" s="1">
        <f t="shared" si="110"/>
        <v>23</v>
      </c>
      <c r="Q987" s="1">
        <f t="shared" ca="1" si="111"/>
        <v>4032</v>
      </c>
      <c r="S987" s="1">
        <f t="shared" si="105"/>
        <v>3288</v>
      </c>
    </row>
    <row r="988" spans="1:19" x14ac:dyDescent="0.2">
      <c r="A988" s="57" t="s">
        <v>239</v>
      </c>
      <c r="B988" s="57" t="s">
        <v>225</v>
      </c>
      <c r="C988" s="57" t="s">
        <v>226</v>
      </c>
      <c r="D988" s="58">
        <v>317.08</v>
      </c>
      <c r="E988" s="59">
        <v>41102</v>
      </c>
      <c r="F988" s="58">
        <v>3288</v>
      </c>
      <c r="G988" s="58">
        <v>132</v>
      </c>
      <c r="H988" s="58">
        <v>961</v>
      </c>
      <c r="I988" s="58">
        <v>2444</v>
      </c>
      <c r="J988" s="58">
        <v>0</v>
      </c>
      <c r="K988" s="1">
        <f t="shared" si="106"/>
        <v>304713.88</v>
      </c>
      <c r="L988" s="1" t="str">
        <f t="shared" si="107"/>
        <v/>
      </c>
      <c r="M988" s="1">
        <f>VLOOKUP(B988,'[1]Срок Годности'!$A$2:$B$4,2,0)</f>
        <v>500</v>
      </c>
      <c r="N988" s="60">
        <f t="shared" si="108"/>
        <v>132</v>
      </c>
      <c r="O988" s="1" t="str">
        <f t="shared" si="109"/>
        <v>28 2012</v>
      </c>
      <c r="P988" s="1">
        <f t="shared" si="110"/>
        <v>23</v>
      </c>
      <c r="Q988" s="1">
        <f t="shared" ca="1" si="111"/>
        <v>4031</v>
      </c>
      <c r="S988" s="1">
        <f t="shared" si="105"/>
        <v>2444</v>
      </c>
    </row>
    <row r="989" spans="1:19" x14ac:dyDescent="0.2">
      <c r="A989" s="57" t="s">
        <v>239</v>
      </c>
      <c r="B989" s="57" t="s">
        <v>225</v>
      </c>
      <c r="C989" s="57" t="s">
        <v>226</v>
      </c>
      <c r="D989" s="58">
        <v>317.08</v>
      </c>
      <c r="E989" s="59">
        <v>41103</v>
      </c>
      <c r="F989" s="58">
        <v>2444</v>
      </c>
      <c r="G989" s="58">
        <v>1981</v>
      </c>
      <c r="H989" s="58">
        <v>768</v>
      </c>
      <c r="I989" s="58">
        <v>3653</v>
      </c>
      <c r="J989" s="58">
        <v>0</v>
      </c>
      <c r="K989" s="1">
        <f t="shared" si="106"/>
        <v>243517.44</v>
      </c>
      <c r="L989" s="1" t="str">
        <f t="shared" si="107"/>
        <v/>
      </c>
      <c r="M989" s="1">
        <f>VLOOKUP(B989,'[1]Срок Годности'!$A$2:$B$4,2,0)</f>
        <v>500</v>
      </c>
      <c r="N989" s="60">
        <f t="shared" si="108"/>
        <v>1981</v>
      </c>
      <c r="O989" s="1" t="str">
        <f t="shared" si="109"/>
        <v>28 2012</v>
      </c>
      <c r="P989" s="1">
        <f t="shared" si="110"/>
        <v>23</v>
      </c>
      <c r="Q989" s="1">
        <f t="shared" ca="1" si="111"/>
        <v>4030</v>
      </c>
      <c r="S989" s="1">
        <f t="shared" si="105"/>
        <v>3653</v>
      </c>
    </row>
    <row r="990" spans="1:19" x14ac:dyDescent="0.2">
      <c r="A990" s="57" t="s">
        <v>239</v>
      </c>
      <c r="B990" s="57" t="s">
        <v>225</v>
      </c>
      <c r="C990" s="57" t="s">
        <v>226</v>
      </c>
      <c r="D990" s="58">
        <v>317.08</v>
      </c>
      <c r="E990" s="59">
        <v>41104</v>
      </c>
      <c r="F990" s="58">
        <v>3653</v>
      </c>
      <c r="G990" s="58">
        <v>3117</v>
      </c>
      <c r="H990" s="58">
        <v>1099</v>
      </c>
      <c r="I990" s="58">
        <v>5657</v>
      </c>
      <c r="J990" s="58">
        <v>0</v>
      </c>
      <c r="K990" s="1">
        <f t="shared" si="106"/>
        <v>348470.92</v>
      </c>
      <c r="L990" s="1">
        <f t="shared" si="107"/>
        <v>1099</v>
      </c>
      <c r="M990" s="1">
        <f>VLOOKUP(B990,'[1]Срок Годности'!$A$2:$B$4,2,0)</f>
        <v>500</v>
      </c>
      <c r="N990" s="60">
        <f t="shared" si="108"/>
        <v>3117</v>
      </c>
      <c r="O990" s="1" t="str">
        <f t="shared" si="109"/>
        <v>28 2012</v>
      </c>
      <c r="P990" s="1">
        <f t="shared" si="110"/>
        <v>23</v>
      </c>
      <c r="Q990" s="1">
        <f t="shared" ca="1" si="111"/>
        <v>4029</v>
      </c>
      <c r="S990" s="1">
        <f t="shared" si="105"/>
        <v>5657</v>
      </c>
    </row>
    <row r="991" spans="1:19" x14ac:dyDescent="0.2">
      <c r="A991" s="57" t="s">
        <v>239</v>
      </c>
      <c r="B991" s="57" t="s">
        <v>225</v>
      </c>
      <c r="C991" s="57" t="s">
        <v>226</v>
      </c>
      <c r="D991" s="58">
        <v>317.08</v>
      </c>
      <c r="E991" s="59">
        <v>41105</v>
      </c>
      <c r="F991" s="58">
        <v>5657</v>
      </c>
      <c r="G991" s="58">
        <v>902</v>
      </c>
      <c r="H991" s="58">
        <v>1529</v>
      </c>
      <c r="I991" s="58">
        <v>5023</v>
      </c>
      <c r="J991" s="58">
        <v>0</v>
      </c>
      <c r="K991" s="1">
        <f t="shared" si="106"/>
        <v>484815.31999999995</v>
      </c>
      <c r="L991" s="1">
        <f t="shared" si="107"/>
        <v>1529</v>
      </c>
      <c r="M991" s="1">
        <f>VLOOKUP(B991,'[1]Срок Годности'!$A$2:$B$4,2,0)</f>
        <v>500</v>
      </c>
      <c r="N991" s="60">
        <f t="shared" si="108"/>
        <v>0</v>
      </c>
      <c r="O991" s="1" t="str">
        <f t="shared" si="109"/>
        <v>29 2012</v>
      </c>
      <c r="P991" s="1">
        <f t="shared" si="110"/>
        <v>23</v>
      </c>
      <c r="Q991" s="1">
        <f t="shared" ca="1" si="111"/>
        <v>4028</v>
      </c>
      <c r="S991" s="1">
        <f t="shared" si="105"/>
        <v>5023</v>
      </c>
    </row>
    <row r="992" spans="1:19" x14ac:dyDescent="0.2">
      <c r="A992" s="57" t="s">
        <v>239</v>
      </c>
      <c r="B992" s="57" t="s">
        <v>225</v>
      </c>
      <c r="C992" s="57" t="s">
        <v>226</v>
      </c>
      <c r="D992" s="58">
        <v>317.08</v>
      </c>
      <c r="E992" s="59">
        <v>41106</v>
      </c>
      <c r="F992" s="58">
        <v>5023</v>
      </c>
      <c r="G992" s="58">
        <v>831</v>
      </c>
      <c r="H992" s="58">
        <v>1485</v>
      </c>
      <c r="I992" s="58">
        <v>4348</v>
      </c>
      <c r="J992" s="58">
        <v>0</v>
      </c>
      <c r="K992" s="1">
        <f t="shared" si="106"/>
        <v>470863.8</v>
      </c>
      <c r="L992" s="1">
        <f t="shared" si="107"/>
        <v>1485</v>
      </c>
      <c r="M992" s="1">
        <f>VLOOKUP(B992,'[1]Срок Годности'!$A$2:$B$4,2,0)</f>
        <v>500</v>
      </c>
      <c r="N992" s="60">
        <f t="shared" si="108"/>
        <v>831</v>
      </c>
      <c r="O992" s="1" t="str">
        <f t="shared" si="109"/>
        <v>29 2012</v>
      </c>
      <c r="P992" s="1">
        <f t="shared" si="110"/>
        <v>23</v>
      </c>
      <c r="Q992" s="1">
        <f t="shared" ca="1" si="111"/>
        <v>4027</v>
      </c>
      <c r="S992" s="1">
        <f t="shared" si="105"/>
        <v>4348</v>
      </c>
    </row>
    <row r="993" spans="1:19" x14ac:dyDescent="0.2">
      <c r="A993" s="57" t="s">
        <v>239</v>
      </c>
      <c r="B993" s="57" t="s">
        <v>225</v>
      </c>
      <c r="C993" s="57" t="s">
        <v>226</v>
      </c>
      <c r="D993" s="58">
        <v>317.08</v>
      </c>
      <c r="E993" s="59">
        <v>41107</v>
      </c>
      <c r="F993" s="58">
        <v>4348</v>
      </c>
      <c r="G993" s="58">
        <v>426</v>
      </c>
      <c r="H993" s="58">
        <v>1251</v>
      </c>
      <c r="I993" s="58">
        <v>3518</v>
      </c>
      <c r="J993" s="58">
        <v>0</v>
      </c>
      <c r="K993" s="1">
        <f t="shared" si="106"/>
        <v>396667.07999999996</v>
      </c>
      <c r="L993" s="1">
        <f t="shared" si="107"/>
        <v>1251</v>
      </c>
      <c r="M993" s="1">
        <f>VLOOKUP(B993,'[1]Срок Годности'!$A$2:$B$4,2,0)</f>
        <v>500</v>
      </c>
      <c r="N993" s="60">
        <f t="shared" si="108"/>
        <v>426</v>
      </c>
      <c r="O993" s="1" t="str">
        <f t="shared" si="109"/>
        <v>29 2012</v>
      </c>
      <c r="P993" s="1">
        <f t="shared" si="110"/>
        <v>23</v>
      </c>
      <c r="Q993" s="1">
        <f t="shared" ca="1" si="111"/>
        <v>4026</v>
      </c>
      <c r="S993" s="1">
        <f t="shared" si="105"/>
        <v>3518</v>
      </c>
    </row>
    <row r="994" spans="1:19" x14ac:dyDescent="0.2">
      <c r="A994" s="57" t="s">
        <v>239</v>
      </c>
      <c r="B994" s="57" t="s">
        <v>244</v>
      </c>
      <c r="C994" s="57" t="s">
        <v>245</v>
      </c>
      <c r="D994" s="58">
        <v>33.659999999999997</v>
      </c>
      <c r="E994" s="59">
        <v>41061</v>
      </c>
      <c r="F994" s="58">
        <v>87597.74</v>
      </c>
      <c r="G994" s="58">
        <v>12554</v>
      </c>
      <c r="H994" s="58">
        <v>12138</v>
      </c>
      <c r="I994" s="58">
        <v>87985.74</v>
      </c>
      <c r="J994" s="58">
        <v>0</v>
      </c>
      <c r="K994" s="1">
        <f t="shared" si="106"/>
        <v>408565.07999999996</v>
      </c>
      <c r="L994" s="1">
        <f t="shared" si="107"/>
        <v>12138</v>
      </c>
      <c r="M994" s="1">
        <f>VLOOKUP(B994,'[1]Срок Годности'!$A$2:$B$4,2,0)</f>
        <v>1500</v>
      </c>
      <c r="N994" s="60">
        <f t="shared" si="108"/>
        <v>12554</v>
      </c>
      <c r="O994" s="1" t="str">
        <f t="shared" si="109"/>
        <v>22 2012</v>
      </c>
      <c r="P994" s="1">
        <f t="shared" si="110"/>
        <v>21</v>
      </c>
      <c r="Q994" s="1">
        <f t="shared" ca="1" si="111"/>
        <v>4072</v>
      </c>
      <c r="S994" s="1">
        <f t="shared" si="105"/>
        <v>87985.74</v>
      </c>
    </row>
    <row r="995" spans="1:19" x14ac:dyDescent="0.2">
      <c r="A995" s="57" t="s">
        <v>239</v>
      </c>
      <c r="B995" s="57" t="s">
        <v>244</v>
      </c>
      <c r="C995" s="57" t="s">
        <v>245</v>
      </c>
      <c r="D995" s="58">
        <v>33.659999999999997</v>
      </c>
      <c r="E995" s="59">
        <v>41062</v>
      </c>
      <c r="F995" s="58">
        <v>87985.74</v>
      </c>
      <c r="G995" s="58">
        <v>15336</v>
      </c>
      <c r="H995" s="58">
        <v>11055</v>
      </c>
      <c r="I995" s="58">
        <v>91522.74</v>
      </c>
      <c r="J995" s="58">
        <v>0</v>
      </c>
      <c r="K995" s="1">
        <f t="shared" si="106"/>
        <v>372111.3</v>
      </c>
      <c r="L995" s="1">
        <f t="shared" si="107"/>
        <v>11055</v>
      </c>
      <c r="M995" s="1">
        <f>VLOOKUP(B995,'[1]Срок Годности'!$A$2:$B$4,2,0)</f>
        <v>1500</v>
      </c>
      <c r="N995" s="60">
        <f t="shared" si="108"/>
        <v>15336</v>
      </c>
      <c r="O995" s="1" t="str">
        <f t="shared" si="109"/>
        <v>22 2012</v>
      </c>
      <c r="P995" s="1">
        <f t="shared" si="110"/>
        <v>21</v>
      </c>
      <c r="Q995" s="1">
        <f t="shared" ca="1" si="111"/>
        <v>4071</v>
      </c>
      <c r="S995" s="1">
        <f t="shared" si="105"/>
        <v>91522.74</v>
      </c>
    </row>
    <row r="996" spans="1:19" x14ac:dyDescent="0.2">
      <c r="A996" s="57" t="s">
        <v>239</v>
      </c>
      <c r="B996" s="57" t="s">
        <v>244</v>
      </c>
      <c r="C996" s="57" t="s">
        <v>245</v>
      </c>
      <c r="D996" s="58">
        <v>33.659999999999997</v>
      </c>
      <c r="E996" s="59">
        <v>41063</v>
      </c>
      <c r="F996" s="58">
        <v>91522.74</v>
      </c>
      <c r="G996" s="58">
        <v>13914</v>
      </c>
      <c r="H996" s="58">
        <v>11269</v>
      </c>
      <c r="I996" s="58">
        <v>94128.74</v>
      </c>
      <c r="J996" s="58">
        <v>0</v>
      </c>
      <c r="K996" s="1">
        <f t="shared" si="106"/>
        <v>379314.54</v>
      </c>
      <c r="L996" s="1">
        <f t="shared" si="107"/>
        <v>11269</v>
      </c>
      <c r="M996" s="1">
        <f>VLOOKUP(B996,'[1]Срок Годности'!$A$2:$B$4,2,0)</f>
        <v>1500</v>
      </c>
      <c r="N996" s="60">
        <f t="shared" si="108"/>
        <v>0</v>
      </c>
      <c r="O996" s="1" t="str">
        <f t="shared" si="109"/>
        <v>23 2012</v>
      </c>
      <c r="P996" s="1">
        <f t="shared" si="110"/>
        <v>21</v>
      </c>
      <c r="Q996" s="1">
        <f t="shared" ca="1" si="111"/>
        <v>4070</v>
      </c>
      <c r="S996" s="1">
        <f t="shared" si="105"/>
        <v>94128.74</v>
      </c>
    </row>
    <row r="997" spans="1:19" x14ac:dyDescent="0.2">
      <c r="A997" s="57" t="s">
        <v>239</v>
      </c>
      <c r="B997" s="57" t="s">
        <v>244</v>
      </c>
      <c r="C997" s="57" t="s">
        <v>245</v>
      </c>
      <c r="D997" s="58">
        <v>33.659999999999997</v>
      </c>
      <c r="E997" s="59">
        <v>41064</v>
      </c>
      <c r="F997" s="58">
        <v>94128.74</v>
      </c>
      <c r="G997" s="58">
        <v>12870</v>
      </c>
      <c r="H997" s="58">
        <v>14132</v>
      </c>
      <c r="I997" s="58">
        <v>92807.74</v>
      </c>
      <c r="J997" s="58">
        <v>1</v>
      </c>
      <c r="K997" s="1">
        <f t="shared" si="106"/>
        <v>475683.11999999994</v>
      </c>
      <c r="L997" s="1">
        <f t="shared" si="107"/>
        <v>14132</v>
      </c>
      <c r="M997" s="1">
        <f>VLOOKUP(B997,'[1]Срок Годности'!$A$2:$B$4,2,0)</f>
        <v>1500</v>
      </c>
      <c r="N997" s="60">
        <f t="shared" si="108"/>
        <v>12870</v>
      </c>
      <c r="O997" s="1" t="str">
        <f t="shared" si="109"/>
        <v>23 2012</v>
      </c>
      <c r="P997" s="1">
        <f t="shared" si="110"/>
        <v>21</v>
      </c>
      <c r="Q997" s="1">
        <f t="shared" ca="1" si="111"/>
        <v>4069</v>
      </c>
      <c r="S997" s="1">
        <f t="shared" si="105"/>
        <v>92806.74</v>
      </c>
    </row>
    <row r="998" spans="1:19" x14ac:dyDescent="0.2">
      <c r="A998" s="57" t="s">
        <v>239</v>
      </c>
      <c r="B998" s="57" t="s">
        <v>244</v>
      </c>
      <c r="C998" s="57" t="s">
        <v>245</v>
      </c>
      <c r="D998" s="58">
        <v>33.659999999999997</v>
      </c>
      <c r="E998" s="59">
        <v>41065</v>
      </c>
      <c r="F998" s="58">
        <v>92807.74</v>
      </c>
      <c r="G998" s="58">
        <v>10786</v>
      </c>
      <c r="H998" s="58">
        <v>14329</v>
      </c>
      <c r="I998" s="58">
        <v>88715.74</v>
      </c>
      <c r="J998" s="58">
        <v>0</v>
      </c>
      <c r="K998" s="1">
        <f t="shared" si="106"/>
        <v>482314.13999999996</v>
      </c>
      <c r="L998" s="1">
        <f t="shared" si="107"/>
        <v>14329</v>
      </c>
      <c r="M998" s="1">
        <f>VLOOKUP(B998,'[1]Срок Годности'!$A$2:$B$4,2,0)</f>
        <v>1500</v>
      </c>
      <c r="N998" s="60">
        <f t="shared" si="108"/>
        <v>10786</v>
      </c>
      <c r="O998" s="1" t="str">
        <f t="shared" si="109"/>
        <v>23 2012</v>
      </c>
      <c r="P998" s="1">
        <f t="shared" si="110"/>
        <v>21</v>
      </c>
      <c r="Q998" s="1">
        <f t="shared" ca="1" si="111"/>
        <v>4068</v>
      </c>
      <c r="S998" s="1">
        <f t="shared" si="105"/>
        <v>88715.74</v>
      </c>
    </row>
    <row r="999" spans="1:19" x14ac:dyDescent="0.2">
      <c r="A999" s="57" t="s">
        <v>239</v>
      </c>
      <c r="B999" s="57" t="s">
        <v>244</v>
      </c>
      <c r="C999" s="57" t="s">
        <v>245</v>
      </c>
      <c r="D999" s="58">
        <v>33.659999999999997</v>
      </c>
      <c r="E999" s="59">
        <v>41066</v>
      </c>
      <c r="F999" s="58">
        <v>88715.74</v>
      </c>
      <c r="G999" s="58">
        <v>10564</v>
      </c>
      <c r="H999" s="58">
        <v>13388</v>
      </c>
      <c r="I999" s="58">
        <v>85765.74</v>
      </c>
      <c r="J999" s="58">
        <v>0</v>
      </c>
      <c r="K999" s="1">
        <f t="shared" si="106"/>
        <v>450640.07999999996</v>
      </c>
      <c r="L999" s="1">
        <f t="shared" si="107"/>
        <v>13388</v>
      </c>
      <c r="M999" s="1">
        <f>VLOOKUP(B999,'[1]Срок Годности'!$A$2:$B$4,2,0)</f>
        <v>1500</v>
      </c>
      <c r="N999" s="60">
        <f t="shared" si="108"/>
        <v>10564</v>
      </c>
      <c r="O999" s="1" t="str">
        <f t="shared" si="109"/>
        <v>23 2012</v>
      </c>
      <c r="P999" s="1">
        <f t="shared" si="110"/>
        <v>21</v>
      </c>
      <c r="Q999" s="1">
        <f t="shared" ca="1" si="111"/>
        <v>4067</v>
      </c>
      <c r="S999" s="1">
        <f t="shared" si="105"/>
        <v>85765.74</v>
      </c>
    </row>
    <row r="1000" spans="1:19" x14ac:dyDescent="0.2">
      <c r="A1000" s="57" t="s">
        <v>239</v>
      </c>
      <c r="B1000" s="57" t="s">
        <v>244</v>
      </c>
      <c r="C1000" s="57" t="s">
        <v>245</v>
      </c>
      <c r="D1000" s="58">
        <v>33.659999999999997</v>
      </c>
      <c r="E1000" s="59">
        <v>41067</v>
      </c>
      <c r="F1000" s="58">
        <v>85765.74</v>
      </c>
      <c r="G1000" s="58">
        <v>19481</v>
      </c>
      <c r="H1000" s="58">
        <v>13541</v>
      </c>
      <c r="I1000" s="58">
        <v>91711.74</v>
      </c>
      <c r="J1000" s="58">
        <v>0</v>
      </c>
      <c r="K1000" s="1">
        <f t="shared" si="106"/>
        <v>455790.05999999994</v>
      </c>
      <c r="L1000" s="1">
        <f t="shared" si="107"/>
        <v>13541</v>
      </c>
      <c r="M1000" s="1">
        <f>VLOOKUP(B1000,'[1]Срок Годности'!$A$2:$B$4,2,0)</f>
        <v>1500</v>
      </c>
      <c r="N1000" s="60">
        <f t="shared" si="108"/>
        <v>19481</v>
      </c>
      <c r="O1000" s="1" t="str">
        <f t="shared" si="109"/>
        <v>23 2012</v>
      </c>
      <c r="P1000" s="1">
        <f t="shared" si="110"/>
        <v>21</v>
      </c>
      <c r="Q1000" s="1">
        <f t="shared" ca="1" si="111"/>
        <v>4066</v>
      </c>
      <c r="S1000" s="1">
        <f t="shared" si="105"/>
        <v>91711.74</v>
      </c>
    </row>
    <row r="1001" spans="1:19" x14ac:dyDescent="0.2">
      <c r="A1001" s="57" t="s">
        <v>239</v>
      </c>
      <c r="B1001" s="57" t="s">
        <v>244</v>
      </c>
      <c r="C1001" s="57" t="s">
        <v>245</v>
      </c>
      <c r="D1001" s="58">
        <v>33.659999999999997</v>
      </c>
      <c r="E1001" s="59">
        <v>41068</v>
      </c>
      <c r="F1001" s="58">
        <v>91711.74</v>
      </c>
      <c r="G1001" s="58">
        <v>17303</v>
      </c>
      <c r="H1001" s="58">
        <v>13294</v>
      </c>
      <c r="I1001" s="58">
        <v>95507.74</v>
      </c>
      <c r="J1001" s="58">
        <v>0</v>
      </c>
      <c r="K1001" s="1">
        <f t="shared" si="106"/>
        <v>447476.04</v>
      </c>
      <c r="L1001" s="1">
        <f t="shared" si="107"/>
        <v>13294</v>
      </c>
      <c r="M1001" s="1">
        <f>VLOOKUP(B1001,'[1]Срок Годности'!$A$2:$B$4,2,0)</f>
        <v>1500</v>
      </c>
      <c r="N1001" s="60">
        <f t="shared" si="108"/>
        <v>17303</v>
      </c>
      <c r="O1001" s="1" t="str">
        <f t="shared" si="109"/>
        <v>23 2012</v>
      </c>
      <c r="P1001" s="1">
        <f t="shared" si="110"/>
        <v>21</v>
      </c>
      <c r="Q1001" s="1">
        <f t="shared" ca="1" si="111"/>
        <v>4065</v>
      </c>
      <c r="S1001" s="1">
        <f t="shared" si="105"/>
        <v>95507.74</v>
      </c>
    </row>
    <row r="1002" spans="1:19" x14ac:dyDescent="0.2">
      <c r="A1002" s="57" t="s">
        <v>239</v>
      </c>
      <c r="B1002" s="57" t="s">
        <v>244</v>
      </c>
      <c r="C1002" s="57" t="s">
        <v>245</v>
      </c>
      <c r="D1002" s="58">
        <v>33.659999999999997</v>
      </c>
      <c r="E1002" s="59">
        <v>41069</v>
      </c>
      <c r="F1002" s="58">
        <v>95507.74</v>
      </c>
      <c r="G1002" s="58">
        <v>14506</v>
      </c>
      <c r="H1002" s="58">
        <v>13919</v>
      </c>
      <c r="I1002" s="58">
        <v>95478.74</v>
      </c>
      <c r="J1002" s="58">
        <v>2</v>
      </c>
      <c r="K1002" s="1">
        <f t="shared" si="106"/>
        <v>468513.54</v>
      </c>
      <c r="L1002" s="1">
        <f t="shared" si="107"/>
        <v>13919</v>
      </c>
      <c r="M1002" s="1">
        <f>VLOOKUP(B1002,'[1]Срок Годности'!$A$2:$B$4,2,0)</f>
        <v>1500</v>
      </c>
      <c r="N1002" s="60">
        <f t="shared" si="108"/>
        <v>14506</v>
      </c>
      <c r="O1002" s="1" t="str">
        <f t="shared" si="109"/>
        <v>23 2012</v>
      </c>
      <c r="P1002" s="1">
        <f t="shared" si="110"/>
        <v>21</v>
      </c>
      <c r="Q1002" s="1">
        <f t="shared" ca="1" si="111"/>
        <v>4064</v>
      </c>
      <c r="S1002" s="1">
        <f t="shared" si="105"/>
        <v>95476.74</v>
      </c>
    </row>
    <row r="1003" spans="1:19" x14ac:dyDescent="0.2">
      <c r="A1003" s="57" t="s">
        <v>239</v>
      </c>
      <c r="B1003" s="57" t="s">
        <v>244</v>
      </c>
      <c r="C1003" s="57" t="s">
        <v>245</v>
      </c>
      <c r="D1003" s="58">
        <v>33.659999999999997</v>
      </c>
      <c r="E1003" s="59">
        <v>41070</v>
      </c>
      <c r="F1003" s="58">
        <v>95478.74</v>
      </c>
      <c r="G1003" s="58">
        <v>14989</v>
      </c>
      <c r="H1003" s="58">
        <v>11058</v>
      </c>
      <c r="I1003" s="58">
        <v>99302.74</v>
      </c>
      <c r="J1003" s="58">
        <v>1</v>
      </c>
      <c r="K1003" s="1">
        <f t="shared" si="106"/>
        <v>372212.27999999997</v>
      </c>
      <c r="L1003" s="1">
        <f t="shared" si="107"/>
        <v>11058</v>
      </c>
      <c r="M1003" s="1">
        <f>VLOOKUP(B1003,'[1]Срок Годности'!$A$2:$B$4,2,0)</f>
        <v>1500</v>
      </c>
      <c r="N1003" s="60">
        <f t="shared" si="108"/>
        <v>0</v>
      </c>
      <c r="O1003" s="1" t="str">
        <f t="shared" si="109"/>
        <v>24 2012</v>
      </c>
      <c r="P1003" s="1">
        <f t="shared" si="110"/>
        <v>21</v>
      </c>
      <c r="Q1003" s="1">
        <f t="shared" ca="1" si="111"/>
        <v>4063</v>
      </c>
      <c r="S1003" s="1">
        <f t="shared" si="105"/>
        <v>99301.74</v>
      </c>
    </row>
    <row r="1004" spans="1:19" x14ac:dyDescent="0.2">
      <c r="A1004" s="57" t="s">
        <v>239</v>
      </c>
      <c r="B1004" s="57" t="s">
        <v>244</v>
      </c>
      <c r="C1004" s="57" t="s">
        <v>245</v>
      </c>
      <c r="D1004" s="58">
        <v>33.659999999999997</v>
      </c>
      <c r="E1004" s="59">
        <v>41071</v>
      </c>
      <c r="F1004" s="58">
        <v>99302.74</v>
      </c>
      <c r="G1004" s="58">
        <v>11964</v>
      </c>
      <c r="H1004" s="58">
        <v>9738</v>
      </c>
      <c r="I1004" s="58">
        <v>101334.74</v>
      </c>
      <c r="J1004" s="58">
        <v>0</v>
      </c>
      <c r="K1004" s="1">
        <f t="shared" si="106"/>
        <v>327781.07999999996</v>
      </c>
      <c r="L1004" s="1">
        <f t="shared" si="107"/>
        <v>9738</v>
      </c>
      <c r="M1004" s="1">
        <f>VLOOKUP(B1004,'[1]Срок Годности'!$A$2:$B$4,2,0)</f>
        <v>1500</v>
      </c>
      <c r="N1004" s="60">
        <f t="shared" si="108"/>
        <v>11964</v>
      </c>
      <c r="O1004" s="1" t="str">
        <f t="shared" si="109"/>
        <v>24 2012</v>
      </c>
      <c r="P1004" s="1">
        <f t="shared" si="110"/>
        <v>21</v>
      </c>
      <c r="Q1004" s="1">
        <f t="shared" ca="1" si="111"/>
        <v>4062</v>
      </c>
      <c r="S1004" s="1">
        <f t="shared" si="105"/>
        <v>101334.74</v>
      </c>
    </row>
    <row r="1005" spans="1:19" x14ac:dyDescent="0.2">
      <c r="A1005" s="57" t="s">
        <v>239</v>
      </c>
      <c r="B1005" s="57" t="s">
        <v>244</v>
      </c>
      <c r="C1005" s="57" t="s">
        <v>245</v>
      </c>
      <c r="D1005" s="58">
        <v>33.659999999999997</v>
      </c>
      <c r="E1005" s="59">
        <v>41072</v>
      </c>
      <c r="F1005" s="58">
        <v>101334.74</v>
      </c>
      <c r="G1005" s="58">
        <v>11301</v>
      </c>
      <c r="H1005" s="58">
        <v>9497</v>
      </c>
      <c r="I1005" s="58">
        <v>102814.74</v>
      </c>
      <c r="J1005" s="58">
        <v>0</v>
      </c>
      <c r="K1005" s="1">
        <f t="shared" si="106"/>
        <v>319669.01999999996</v>
      </c>
      <c r="L1005" s="1">
        <f t="shared" si="107"/>
        <v>9497</v>
      </c>
      <c r="M1005" s="1">
        <f>VLOOKUP(B1005,'[1]Срок Годности'!$A$2:$B$4,2,0)</f>
        <v>1500</v>
      </c>
      <c r="N1005" s="60">
        <f t="shared" si="108"/>
        <v>11301</v>
      </c>
      <c r="O1005" s="1" t="str">
        <f t="shared" si="109"/>
        <v>24 2012</v>
      </c>
      <c r="P1005" s="1">
        <f t="shared" si="110"/>
        <v>21</v>
      </c>
      <c r="Q1005" s="1">
        <f t="shared" ca="1" si="111"/>
        <v>4061</v>
      </c>
      <c r="S1005" s="1">
        <f t="shared" si="105"/>
        <v>102814.74</v>
      </c>
    </row>
    <row r="1006" spans="1:19" x14ac:dyDescent="0.2">
      <c r="A1006" s="57" t="s">
        <v>239</v>
      </c>
      <c r="B1006" s="57" t="s">
        <v>244</v>
      </c>
      <c r="C1006" s="57" t="s">
        <v>245</v>
      </c>
      <c r="D1006" s="58">
        <v>33.659999999999997</v>
      </c>
      <c r="E1006" s="59">
        <v>41073</v>
      </c>
      <c r="F1006" s="58">
        <v>102814.74</v>
      </c>
      <c r="G1006" s="58">
        <v>9388</v>
      </c>
      <c r="H1006" s="58">
        <v>11760</v>
      </c>
      <c r="I1006" s="58">
        <v>100118.74</v>
      </c>
      <c r="J1006" s="58">
        <v>0</v>
      </c>
      <c r="K1006" s="1">
        <f t="shared" si="106"/>
        <v>395841.6</v>
      </c>
      <c r="L1006" s="1">
        <f t="shared" si="107"/>
        <v>11760</v>
      </c>
      <c r="M1006" s="1">
        <f>VLOOKUP(B1006,'[1]Срок Годности'!$A$2:$B$4,2,0)</f>
        <v>1500</v>
      </c>
      <c r="N1006" s="60">
        <f t="shared" si="108"/>
        <v>9388</v>
      </c>
      <c r="O1006" s="1" t="str">
        <f t="shared" si="109"/>
        <v>24 2012</v>
      </c>
      <c r="P1006" s="1">
        <f t="shared" si="110"/>
        <v>21</v>
      </c>
      <c r="Q1006" s="1">
        <f t="shared" ca="1" si="111"/>
        <v>4060</v>
      </c>
      <c r="S1006" s="1">
        <f t="shared" si="105"/>
        <v>100118.74</v>
      </c>
    </row>
    <row r="1007" spans="1:19" x14ac:dyDescent="0.2">
      <c r="A1007" s="57" t="s">
        <v>239</v>
      </c>
      <c r="B1007" s="57" t="s">
        <v>244</v>
      </c>
      <c r="C1007" s="57" t="s">
        <v>245</v>
      </c>
      <c r="D1007" s="58">
        <v>33.659999999999997</v>
      </c>
      <c r="E1007" s="59">
        <v>41074</v>
      </c>
      <c r="F1007" s="58">
        <v>100118.74</v>
      </c>
      <c r="G1007" s="58">
        <v>10021</v>
      </c>
      <c r="H1007" s="58">
        <v>10888</v>
      </c>
      <c r="I1007" s="58">
        <v>98949.74</v>
      </c>
      <c r="J1007" s="58">
        <v>0</v>
      </c>
      <c r="K1007" s="1">
        <f t="shared" si="106"/>
        <v>366490.07999999996</v>
      </c>
      <c r="L1007" s="1">
        <f t="shared" si="107"/>
        <v>10888</v>
      </c>
      <c r="M1007" s="1">
        <f>VLOOKUP(B1007,'[1]Срок Годности'!$A$2:$B$4,2,0)</f>
        <v>1500</v>
      </c>
      <c r="N1007" s="60">
        <f t="shared" si="108"/>
        <v>10021</v>
      </c>
      <c r="O1007" s="1" t="str">
        <f t="shared" si="109"/>
        <v>24 2012</v>
      </c>
      <c r="P1007" s="1">
        <f t="shared" si="110"/>
        <v>21</v>
      </c>
      <c r="Q1007" s="1">
        <f t="shared" ca="1" si="111"/>
        <v>4059</v>
      </c>
      <c r="S1007" s="1">
        <f t="shared" si="105"/>
        <v>98949.74</v>
      </c>
    </row>
    <row r="1008" spans="1:19" x14ac:dyDescent="0.2">
      <c r="A1008" s="57" t="s">
        <v>239</v>
      </c>
      <c r="B1008" s="57" t="s">
        <v>244</v>
      </c>
      <c r="C1008" s="57" t="s">
        <v>245</v>
      </c>
      <c r="D1008" s="58">
        <v>33.659999999999997</v>
      </c>
      <c r="E1008" s="59">
        <v>41075</v>
      </c>
      <c r="F1008" s="58">
        <v>98949.74</v>
      </c>
      <c r="G1008" s="58">
        <v>9934</v>
      </c>
      <c r="H1008" s="58">
        <v>11865</v>
      </c>
      <c r="I1008" s="58">
        <v>95278.74</v>
      </c>
      <c r="J1008" s="58">
        <v>0</v>
      </c>
      <c r="K1008" s="1">
        <f t="shared" si="106"/>
        <v>399375.89999999997</v>
      </c>
      <c r="L1008" s="1">
        <f t="shared" si="107"/>
        <v>11865</v>
      </c>
      <c r="M1008" s="1">
        <f>VLOOKUP(B1008,'[1]Срок Годности'!$A$2:$B$4,2,0)</f>
        <v>1500</v>
      </c>
      <c r="N1008" s="60">
        <f t="shared" si="108"/>
        <v>9934</v>
      </c>
      <c r="O1008" s="1" t="str">
        <f t="shared" si="109"/>
        <v>24 2012</v>
      </c>
      <c r="P1008" s="1">
        <f t="shared" si="110"/>
        <v>21</v>
      </c>
      <c r="Q1008" s="1">
        <f t="shared" ca="1" si="111"/>
        <v>4058</v>
      </c>
      <c r="S1008" s="1">
        <f t="shared" si="105"/>
        <v>95278.74</v>
      </c>
    </row>
    <row r="1009" spans="1:19" x14ac:dyDescent="0.2">
      <c r="A1009" s="57" t="s">
        <v>239</v>
      </c>
      <c r="B1009" s="57" t="s">
        <v>244</v>
      </c>
      <c r="C1009" s="57" t="s">
        <v>245</v>
      </c>
      <c r="D1009" s="58">
        <v>33.659999999999997</v>
      </c>
      <c r="E1009" s="59">
        <v>41076</v>
      </c>
      <c r="F1009" s="58">
        <v>95278.74</v>
      </c>
      <c r="G1009" s="58">
        <v>10833</v>
      </c>
      <c r="H1009" s="58">
        <v>12049</v>
      </c>
      <c r="I1009" s="58">
        <v>93842.74</v>
      </c>
      <c r="J1009" s="58">
        <v>0</v>
      </c>
      <c r="K1009" s="1">
        <f t="shared" si="106"/>
        <v>405569.33999999997</v>
      </c>
      <c r="L1009" s="1">
        <f t="shared" si="107"/>
        <v>12049</v>
      </c>
      <c r="M1009" s="1">
        <f>VLOOKUP(B1009,'[1]Срок Годности'!$A$2:$B$4,2,0)</f>
        <v>1500</v>
      </c>
      <c r="N1009" s="60">
        <f t="shared" si="108"/>
        <v>10833</v>
      </c>
      <c r="O1009" s="1" t="str">
        <f t="shared" si="109"/>
        <v>24 2012</v>
      </c>
      <c r="P1009" s="1">
        <f t="shared" si="110"/>
        <v>21</v>
      </c>
      <c r="Q1009" s="1">
        <f t="shared" ca="1" si="111"/>
        <v>4057</v>
      </c>
      <c r="S1009" s="1">
        <f t="shared" si="105"/>
        <v>93842.74</v>
      </c>
    </row>
    <row r="1010" spans="1:19" x14ac:dyDescent="0.2">
      <c r="A1010" s="57" t="s">
        <v>239</v>
      </c>
      <c r="B1010" s="57" t="s">
        <v>244</v>
      </c>
      <c r="C1010" s="57" t="s">
        <v>245</v>
      </c>
      <c r="D1010" s="58">
        <v>33.659999999999997</v>
      </c>
      <c r="E1010" s="59">
        <v>41077</v>
      </c>
      <c r="F1010" s="58">
        <v>93842.74</v>
      </c>
      <c r="G1010" s="58">
        <v>11238</v>
      </c>
      <c r="H1010" s="58">
        <v>14359</v>
      </c>
      <c r="I1010" s="58">
        <v>90560.74</v>
      </c>
      <c r="J1010" s="58">
        <v>0</v>
      </c>
      <c r="K1010" s="1">
        <f t="shared" si="106"/>
        <v>483323.93999999994</v>
      </c>
      <c r="L1010" s="1">
        <f t="shared" si="107"/>
        <v>14359</v>
      </c>
      <c r="M1010" s="1">
        <f>VLOOKUP(B1010,'[1]Срок Годности'!$A$2:$B$4,2,0)</f>
        <v>1500</v>
      </c>
      <c r="N1010" s="60">
        <f t="shared" si="108"/>
        <v>0</v>
      </c>
      <c r="O1010" s="1" t="str">
        <f t="shared" si="109"/>
        <v>25 2012</v>
      </c>
      <c r="P1010" s="1">
        <f t="shared" si="110"/>
        <v>21</v>
      </c>
      <c r="Q1010" s="1">
        <f t="shared" ca="1" si="111"/>
        <v>4056</v>
      </c>
      <c r="S1010" s="1">
        <f t="shared" si="105"/>
        <v>90560.74</v>
      </c>
    </row>
    <row r="1011" spans="1:19" x14ac:dyDescent="0.2">
      <c r="A1011" s="57" t="s">
        <v>239</v>
      </c>
      <c r="B1011" s="57" t="s">
        <v>244</v>
      </c>
      <c r="C1011" s="57" t="s">
        <v>245</v>
      </c>
      <c r="D1011" s="58">
        <v>33.659999999999997</v>
      </c>
      <c r="E1011" s="59">
        <v>41078</v>
      </c>
      <c r="F1011" s="58">
        <v>90560.74</v>
      </c>
      <c r="G1011" s="58">
        <v>13077</v>
      </c>
      <c r="H1011" s="58">
        <v>15287</v>
      </c>
      <c r="I1011" s="58">
        <v>88503.74</v>
      </c>
      <c r="J1011" s="58">
        <v>2</v>
      </c>
      <c r="K1011" s="1">
        <f t="shared" si="106"/>
        <v>514560.41999999993</v>
      </c>
      <c r="L1011" s="1">
        <f t="shared" si="107"/>
        <v>15287</v>
      </c>
      <c r="M1011" s="1">
        <f>VLOOKUP(B1011,'[1]Срок Годности'!$A$2:$B$4,2,0)</f>
        <v>1500</v>
      </c>
      <c r="N1011" s="60">
        <f t="shared" si="108"/>
        <v>13077</v>
      </c>
      <c r="O1011" s="1" t="str">
        <f t="shared" si="109"/>
        <v>25 2012</v>
      </c>
      <c r="P1011" s="1">
        <f t="shared" si="110"/>
        <v>21</v>
      </c>
      <c r="Q1011" s="1">
        <f t="shared" ca="1" si="111"/>
        <v>4055</v>
      </c>
      <c r="S1011" s="1">
        <f t="shared" si="105"/>
        <v>88501.74</v>
      </c>
    </row>
    <row r="1012" spans="1:19" x14ac:dyDescent="0.2">
      <c r="A1012" s="57" t="s">
        <v>239</v>
      </c>
      <c r="B1012" s="57" t="s">
        <v>244</v>
      </c>
      <c r="C1012" s="57" t="s">
        <v>245</v>
      </c>
      <c r="D1012" s="58">
        <v>33.659999999999997</v>
      </c>
      <c r="E1012" s="59">
        <v>41079</v>
      </c>
      <c r="F1012" s="58">
        <v>88503.74</v>
      </c>
      <c r="G1012" s="58">
        <v>14986</v>
      </c>
      <c r="H1012" s="58">
        <v>14608</v>
      </c>
      <c r="I1012" s="58">
        <v>88828.74</v>
      </c>
      <c r="J1012" s="58">
        <v>0</v>
      </c>
      <c r="K1012" s="1">
        <f t="shared" si="106"/>
        <v>491705.27999999997</v>
      </c>
      <c r="L1012" s="1">
        <f t="shared" si="107"/>
        <v>14608</v>
      </c>
      <c r="M1012" s="1">
        <f>VLOOKUP(B1012,'[1]Срок Годности'!$A$2:$B$4,2,0)</f>
        <v>1500</v>
      </c>
      <c r="N1012" s="60">
        <f t="shared" si="108"/>
        <v>14986</v>
      </c>
      <c r="O1012" s="1" t="str">
        <f t="shared" si="109"/>
        <v>25 2012</v>
      </c>
      <c r="P1012" s="1">
        <f t="shared" si="110"/>
        <v>21</v>
      </c>
      <c r="Q1012" s="1">
        <f t="shared" ca="1" si="111"/>
        <v>4054</v>
      </c>
      <c r="S1012" s="1">
        <f t="shared" si="105"/>
        <v>88828.74</v>
      </c>
    </row>
    <row r="1013" spans="1:19" x14ac:dyDescent="0.2">
      <c r="A1013" s="57" t="s">
        <v>239</v>
      </c>
      <c r="B1013" s="57" t="s">
        <v>244</v>
      </c>
      <c r="C1013" s="57" t="s">
        <v>245</v>
      </c>
      <c r="D1013" s="58">
        <v>33.659999999999997</v>
      </c>
      <c r="E1013" s="59">
        <v>41080</v>
      </c>
      <c r="F1013" s="58">
        <v>88828.74</v>
      </c>
      <c r="G1013" s="58">
        <v>20787</v>
      </c>
      <c r="H1013" s="58">
        <v>16216</v>
      </c>
      <c r="I1013" s="58">
        <v>93359.74</v>
      </c>
      <c r="J1013" s="58">
        <v>0</v>
      </c>
      <c r="K1013" s="1">
        <f t="shared" si="106"/>
        <v>545830.55999999994</v>
      </c>
      <c r="L1013" s="1">
        <f t="shared" si="107"/>
        <v>16216</v>
      </c>
      <c r="M1013" s="1">
        <f>VLOOKUP(B1013,'[1]Срок Годности'!$A$2:$B$4,2,0)</f>
        <v>1500</v>
      </c>
      <c r="N1013" s="60">
        <f t="shared" si="108"/>
        <v>20787</v>
      </c>
      <c r="O1013" s="1" t="str">
        <f t="shared" si="109"/>
        <v>25 2012</v>
      </c>
      <c r="P1013" s="1">
        <f t="shared" si="110"/>
        <v>21</v>
      </c>
      <c r="Q1013" s="1">
        <f t="shared" ca="1" si="111"/>
        <v>4053</v>
      </c>
      <c r="S1013" s="1">
        <f t="shared" si="105"/>
        <v>93359.74</v>
      </c>
    </row>
    <row r="1014" spans="1:19" x14ac:dyDescent="0.2">
      <c r="A1014" s="57" t="s">
        <v>239</v>
      </c>
      <c r="B1014" s="57" t="s">
        <v>244</v>
      </c>
      <c r="C1014" s="57" t="s">
        <v>245</v>
      </c>
      <c r="D1014" s="58">
        <v>33.659999999999997</v>
      </c>
      <c r="E1014" s="59">
        <v>41081</v>
      </c>
      <c r="F1014" s="58">
        <v>93359.74</v>
      </c>
      <c r="G1014" s="58">
        <v>19224</v>
      </c>
      <c r="H1014" s="58">
        <v>16212</v>
      </c>
      <c r="I1014" s="58">
        <v>95469.74</v>
      </c>
      <c r="J1014" s="58">
        <v>0</v>
      </c>
      <c r="K1014" s="1">
        <f t="shared" si="106"/>
        <v>545695.91999999993</v>
      </c>
      <c r="L1014" s="1">
        <f t="shared" si="107"/>
        <v>16212</v>
      </c>
      <c r="M1014" s="1">
        <f>VLOOKUP(B1014,'[1]Срок Годности'!$A$2:$B$4,2,0)</f>
        <v>1500</v>
      </c>
      <c r="N1014" s="60">
        <f t="shared" si="108"/>
        <v>19224</v>
      </c>
      <c r="O1014" s="1" t="str">
        <f t="shared" si="109"/>
        <v>25 2012</v>
      </c>
      <c r="P1014" s="1">
        <f t="shared" si="110"/>
        <v>21</v>
      </c>
      <c r="Q1014" s="1">
        <f t="shared" ca="1" si="111"/>
        <v>4052</v>
      </c>
      <c r="S1014" s="1">
        <f t="shared" si="105"/>
        <v>95469.74</v>
      </c>
    </row>
    <row r="1015" spans="1:19" x14ac:dyDescent="0.2">
      <c r="A1015" s="57" t="s">
        <v>239</v>
      </c>
      <c r="B1015" s="57" t="s">
        <v>244</v>
      </c>
      <c r="C1015" s="57" t="s">
        <v>245</v>
      </c>
      <c r="D1015" s="58">
        <v>33.659999999999997</v>
      </c>
      <c r="E1015" s="59">
        <v>41082</v>
      </c>
      <c r="F1015" s="58">
        <v>95469.74</v>
      </c>
      <c r="G1015" s="58">
        <v>19334</v>
      </c>
      <c r="H1015" s="58">
        <v>16814</v>
      </c>
      <c r="I1015" s="58">
        <v>97890</v>
      </c>
      <c r="J1015" s="58">
        <v>1</v>
      </c>
      <c r="K1015" s="1">
        <f t="shared" si="106"/>
        <v>565959.24</v>
      </c>
      <c r="L1015" s="1">
        <f t="shared" si="107"/>
        <v>16814</v>
      </c>
      <c r="M1015" s="1">
        <f>VLOOKUP(B1015,'[1]Срок Годности'!$A$2:$B$4,2,0)</f>
        <v>1500</v>
      </c>
      <c r="N1015" s="60">
        <f t="shared" si="108"/>
        <v>19334</v>
      </c>
      <c r="O1015" s="1" t="str">
        <f t="shared" si="109"/>
        <v>25 2012</v>
      </c>
      <c r="P1015" s="1">
        <f t="shared" si="110"/>
        <v>21</v>
      </c>
      <c r="Q1015" s="1">
        <f t="shared" ca="1" si="111"/>
        <v>4051</v>
      </c>
      <c r="S1015" s="1">
        <f t="shared" si="105"/>
        <v>97889</v>
      </c>
    </row>
    <row r="1016" spans="1:19" x14ac:dyDescent="0.2">
      <c r="A1016" s="57" t="s">
        <v>239</v>
      </c>
      <c r="B1016" s="57" t="s">
        <v>244</v>
      </c>
      <c r="C1016" s="57" t="s">
        <v>245</v>
      </c>
      <c r="D1016" s="58">
        <v>33.659999999999997</v>
      </c>
      <c r="E1016" s="59">
        <v>41083</v>
      </c>
      <c r="F1016" s="58">
        <v>97890</v>
      </c>
      <c r="G1016" s="58">
        <v>16957</v>
      </c>
      <c r="H1016" s="58">
        <v>15607</v>
      </c>
      <c r="I1016" s="58">
        <v>98556</v>
      </c>
      <c r="J1016" s="58">
        <v>0</v>
      </c>
      <c r="K1016" s="1">
        <f t="shared" si="106"/>
        <v>525331.62</v>
      </c>
      <c r="L1016" s="1">
        <f t="shared" si="107"/>
        <v>15607</v>
      </c>
      <c r="M1016" s="1">
        <f>VLOOKUP(B1016,'[1]Срок Годности'!$A$2:$B$4,2,0)</f>
        <v>1500</v>
      </c>
      <c r="N1016" s="60">
        <f t="shared" si="108"/>
        <v>16957</v>
      </c>
      <c r="O1016" s="1" t="str">
        <f t="shared" si="109"/>
        <v>25 2012</v>
      </c>
      <c r="P1016" s="1">
        <f t="shared" si="110"/>
        <v>21</v>
      </c>
      <c r="Q1016" s="1">
        <f t="shared" ca="1" si="111"/>
        <v>4050</v>
      </c>
      <c r="S1016" s="1">
        <f t="shared" si="105"/>
        <v>98556</v>
      </c>
    </row>
    <row r="1017" spans="1:19" x14ac:dyDescent="0.2">
      <c r="A1017" s="57" t="s">
        <v>239</v>
      </c>
      <c r="B1017" s="57" t="s">
        <v>244</v>
      </c>
      <c r="C1017" s="57" t="s">
        <v>245</v>
      </c>
      <c r="D1017" s="58">
        <v>33.659999999999997</v>
      </c>
      <c r="E1017" s="59">
        <v>41084</v>
      </c>
      <c r="F1017" s="58">
        <v>98556</v>
      </c>
      <c r="G1017" s="58">
        <v>18239</v>
      </c>
      <c r="H1017" s="58">
        <v>17830</v>
      </c>
      <c r="I1017" s="58">
        <v>99161</v>
      </c>
      <c r="J1017" s="58">
        <v>1</v>
      </c>
      <c r="K1017" s="1">
        <f t="shared" si="106"/>
        <v>600157.79999999993</v>
      </c>
      <c r="L1017" s="1">
        <f t="shared" si="107"/>
        <v>17830</v>
      </c>
      <c r="M1017" s="1">
        <f>VLOOKUP(B1017,'[1]Срок Годности'!$A$2:$B$4,2,0)</f>
        <v>1500</v>
      </c>
      <c r="N1017" s="60">
        <f t="shared" si="108"/>
        <v>0</v>
      </c>
      <c r="O1017" s="1" t="str">
        <f t="shared" si="109"/>
        <v>26 2012</v>
      </c>
      <c r="P1017" s="1">
        <f t="shared" si="110"/>
        <v>21</v>
      </c>
      <c r="Q1017" s="1">
        <f t="shared" ca="1" si="111"/>
        <v>4049</v>
      </c>
      <c r="S1017" s="1">
        <f t="shared" si="105"/>
        <v>99160</v>
      </c>
    </row>
    <row r="1018" spans="1:19" x14ac:dyDescent="0.2">
      <c r="A1018" s="57" t="s">
        <v>239</v>
      </c>
      <c r="B1018" s="57" t="s">
        <v>244</v>
      </c>
      <c r="C1018" s="57" t="s">
        <v>245</v>
      </c>
      <c r="D1018" s="58">
        <v>33.659999999999997</v>
      </c>
      <c r="E1018" s="59">
        <v>41085</v>
      </c>
      <c r="F1018" s="58">
        <v>99161</v>
      </c>
      <c r="G1018" s="58">
        <v>19240</v>
      </c>
      <c r="H1018" s="58">
        <v>17871</v>
      </c>
      <c r="I1018" s="58">
        <v>100212</v>
      </c>
      <c r="J1018" s="58">
        <v>0</v>
      </c>
      <c r="K1018" s="1">
        <f t="shared" si="106"/>
        <v>601537.86</v>
      </c>
      <c r="L1018" s="1">
        <f t="shared" si="107"/>
        <v>17871</v>
      </c>
      <c r="M1018" s="1">
        <f>VLOOKUP(B1018,'[1]Срок Годности'!$A$2:$B$4,2,0)</f>
        <v>1500</v>
      </c>
      <c r="N1018" s="60">
        <f t="shared" si="108"/>
        <v>19240</v>
      </c>
      <c r="O1018" s="1" t="str">
        <f t="shared" si="109"/>
        <v>26 2012</v>
      </c>
      <c r="P1018" s="1">
        <f t="shared" si="110"/>
        <v>21</v>
      </c>
      <c r="Q1018" s="1">
        <f t="shared" ca="1" si="111"/>
        <v>4048</v>
      </c>
      <c r="S1018" s="1">
        <f t="shared" si="105"/>
        <v>100212</v>
      </c>
    </row>
    <row r="1019" spans="1:19" x14ac:dyDescent="0.2">
      <c r="A1019" s="57" t="s">
        <v>239</v>
      </c>
      <c r="B1019" s="57" t="s">
        <v>244</v>
      </c>
      <c r="C1019" s="57" t="s">
        <v>245</v>
      </c>
      <c r="D1019" s="58">
        <v>33.659999999999997</v>
      </c>
      <c r="E1019" s="59">
        <v>41086</v>
      </c>
      <c r="F1019" s="58">
        <v>100212</v>
      </c>
      <c r="G1019" s="58">
        <v>15590</v>
      </c>
      <c r="H1019" s="58">
        <v>15527</v>
      </c>
      <c r="I1019" s="58">
        <v>99088</v>
      </c>
      <c r="J1019" s="58">
        <v>0</v>
      </c>
      <c r="K1019" s="1">
        <f t="shared" si="106"/>
        <v>522638.81999999995</v>
      </c>
      <c r="L1019" s="1">
        <f t="shared" si="107"/>
        <v>15527</v>
      </c>
      <c r="M1019" s="1">
        <f>VLOOKUP(B1019,'[1]Срок Годности'!$A$2:$B$4,2,0)</f>
        <v>1500</v>
      </c>
      <c r="N1019" s="60">
        <f t="shared" si="108"/>
        <v>15590</v>
      </c>
      <c r="O1019" s="1" t="str">
        <f t="shared" si="109"/>
        <v>26 2012</v>
      </c>
      <c r="P1019" s="1">
        <f t="shared" si="110"/>
        <v>21</v>
      </c>
      <c r="Q1019" s="1">
        <f t="shared" ca="1" si="111"/>
        <v>4047</v>
      </c>
      <c r="S1019" s="1">
        <f t="shared" si="105"/>
        <v>99088</v>
      </c>
    </row>
    <row r="1020" spans="1:19" x14ac:dyDescent="0.2">
      <c r="A1020" s="57" t="s">
        <v>239</v>
      </c>
      <c r="B1020" s="57" t="s">
        <v>244</v>
      </c>
      <c r="C1020" s="57" t="s">
        <v>245</v>
      </c>
      <c r="D1020" s="58">
        <v>33.659999999999997</v>
      </c>
      <c r="E1020" s="59">
        <v>41087</v>
      </c>
      <c r="F1020" s="58">
        <v>99088</v>
      </c>
      <c r="G1020" s="58">
        <v>19915</v>
      </c>
      <c r="H1020" s="58">
        <v>15644</v>
      </c>
      <c r="I1020" s="58">
        <v>104315</v>
      </c>
      <c r="J1020" s="58">
        <v>0</v>
      </c>
      <c r="K1020" s="1">
        <f t="shared" si="106"/>
        <v>526577.03999999992</v>
      </c>
      <c r="L1020" s="1">
        <f t="shared" si="107"/>
        <v>15644</v>
      </c>
      <c r="M1020" s="1">
        <f>VLOOKUP(B1020,'[1]Срок Годности'!$A$2:$B$4,2,0)</f>
        <v>1500</v>
      </c>
      <c r="N1020" s="60">
        <f t="shared" si="108"/>
        <v>19915</v>
      </c>
      <c r="O1020" s="1" t="str">
        <f t="shared" si="109"/>
        <v>26 2012</v>
      </c>
      <c r="P1020" s="1">
        <f t="shared" si="110"/>
        <v>21</v>
      </c>
      <c r="Q1020" s="1">
        <f t="shared" ca="1" si="111"/>
        <v>4046</v>
      </c>
      <c r="S1020" s="1">
        <f t="shared" si="105"/>
        <v>104315</v>
      </c>
    </row>
    <row r="1021" spans="1:19" x14ac:dyDescent="0.2">
      <c r="A1021" s="57" t="s">
        <v>239</v>
      </c>
      <c r="B1021" s="57" t="s">
        <v>244</v>
      </c>
      <c r="C1021" s="57" t="s">
        <v>245</v>
      </c>
      <c r="D1021" s="58">
        <v>33.659999999999997</v>
      </c>
      <c r="E1021" s="59">
        <v>41088</v>
      </c>
      <c r="F1021" s="58">
        <v>104315</v>
      </c>
      <c r="G1021" s="58">
        <v>4405</v>
      </c>
      <c r="H1021" s="58">
        <v>16371</v>
      </c>
      <c r="I1021" s="58">
        <v>92340</v>
      </c>
      <c r="J1021" s="58">
        <v>1</v>
      </c>
      <c r="K1021" s="1">
        <f t="shared" si="106"/>
        <v>551047.86</v>
      </c>
      <c r="L1021" s="1">
        <f t="shared" si="107"/>
        <v>16371</v>
      </c>
      <c r="M1021" s="1">
        <f>VLOOKUP(B1021,'[1]Срок Годности'!$A$2:$B$4,2,0)</f>
        <v>1500</v>
      </c>
      <c r="N1021" s="60">
        <f t="shared" si="108"/>
        <v>4405</v>
      </c>
      <c r="O1021" s="1" t="str">
        <f t="shared" si="109"/>
        <v>26 2012</v>
      </c>
      <c r="P1021" s="1">
        <f t="shared" si="110"/>
        <v>21</v>
      </c>
      <c r="Q1021" s="1">
        <f t="shared" ca="1" si="111"/>
        <v>4045</v>
      </c>
      <c r="S1021" s="1">
        <f t="shared" si="105"/>
        <v>92339</v>
      </c>
    </row>
    <row r="1022" spans="1:19" x14ac:dyDescent="0.2">
      <c r="A1022" s="57" t="s">
        <v>239</v>
      </c>
      <c r="B1022" s="57" t="s">
        <v>244</v>
      </c>
      <c r="C1022" s="57" t="s">
        <v>245</v>
      </c>
      <c r="D1022" s="58">
        <v>33.659999999999997</v>
      </c>
      <c r="E1022" s="59">
        <v>41089</v>
      </c>
      <c r="F1022" s="58">
        <v>92340</v>
      </c>
      <c r="G1022" s="58">
        <v>2412</v>
      </c>
      <c r="H1022" s="58">
        <v>18141</v>
      </c>
      <c r="I1022" s="58">
        <v>76704</v>
      </c>
      <c r="J1022" s="58">
        <v>1</v>
      </c>
      <c r="K1022" s="1">
        <f t="shared" si="106"/>
        <v>610626.05999999994</v>
      </c>
      <c r="L1022" s="1">
        <f t="shared" si="107"/>
        <v>18141</v>
      </c>
      <c r="M1022" s="1">
        <f>VLOOKUP(B1022,'[1]Срок Годности'!$A$2:$B$4,2,0)</f>
        <v>1500</v>
      </c>
      <c r="N1022" s="60">
        <f t="shared" si="108"/>
        <v>2412</v>
      </c>
      <c r="O1022" s="1" t="str">
        <f t="shared" si="109"/>
        <v>26 2012</v>
      </c>
      <c r="P1022" s="1">
        <f t="shared" si="110"/>
        <v>21</v>
      </c>
      <c r="Q1022" s="1">
        <f t="shared" ca="1" si="111"/>
        <v>4044</v>
      </c>
      <c r="S1022" s="1">
        <f t="shared" si="105"/>
        <v>76703</v>
      </c>
    </row>
    <row r="1023" spans="1:19" x14ac:dyDescent="0.2">
      <c r="A1023" s="57" t="s">
        <v>239</v>
      </c>
      <c r="B1023" s="57" t="s">
        <v>244</v>
      </c>
      <c r="C1023" s="57" t="s">
        <v>245</v>
      </c>
      <c r="D1023" s="58">
        <v>33.659999999999997</v>
      </c>
      <c r="E1023" s="59">
        <v>41090</v>
      </c>
      <c r="F1023" s="58">
        <v>76704</v>
      </c>
      <c r="G1023" s="58">
        <v>34180</v>
      </c>
      <c r="H1023" s="58">
        <v>20098</v>
      </c>
      <c r="I1023" s="58">
        <v>90655</v>
      </c>
      <c r="J1023" s="58">
        <v>1</v>
      </c>
      <c r="K1023" s="1">
        <f t="shared" si="106"/>
        <v>676498.67999999993</v>
      </c>
      <c r="L1023" s="1">
        <f t="shared" si="107"/>
        <v>20098</v>
      </c>
      <c r="M1023" s="1">
        <f>VLOOKUP(B1023,'[1]Срок Годности'!$A$2:$B$4,2,0)</f>
        <v>1500</v>
      </c>
      <c r="N1023" s="60">
        <f t="shared" si="108"/>
        <v>34180</v>
      </c>
      <c r="O1023" s="1" t="str">
        <f t="shared" si="109"/>
        <v>26 2012</v>
      </c>
      <c r="P1023" s="1">
        <f t="shared" si="110"/>
        <v>21</v>
      </c>
      <c r="Q1023" s="1">
        <f t="shared" ca="1" si="111"/>
        <v>4043</v>
      </c>
      <c r="S1023" s="1">
        <f t="shared" si="105"/>
        <v>90654</v>
      </c>
    </row>
    <row r="1024" spans="1:19" x14ac:dyDescent="0.2">
      <c r="A1024" s="57" t="s">
        <v>239</v>
      </c>
      <c r="B1024" s="57" t="s">
        <v>244</v>
      </c>
      <c r="C1024" s="57" t="s">
        <v>245</v>
      </c>
      <c r="D1024" s="58">
        <v>33.659999999999997</v>
      </c>
      <c r="E1024" s="59">
        <v>41091</v>
      </c>
      <c r="F1024" s="58">
        <v>90655</v>
      </c>
      <c r="G1024" s="58">
        <v>20100</v>
      </c>
      <c r="H1024" s="58">
        <v>22398</v>
      </c>
      <c r="I1024" s="58">
        <v>88261</v>
      </c>
      <c r="J1024" s="58">
        <v>0</v>
      </c>
      <c r="K1024" s="1">
        <f t="shared" si="106"/>
        <v>753916.67999999993</v>
      </c>
      <c r="L1024" s="1">
        <f t="shared" si="107"/>
        <v>22398</v>
      </c>
      <c r="M1024" s="1">
        <f>VLOOKUP(B1024,'[1]Срок Годности'!$A$2:$B$4,2,0)</f>
        <v>1500</v>
      </c>
      <c r="N1024" s="60">
        <f t="shared" si="108"/>
        <v>0</v>
      </c>
      <c r="O1024" s="1" t="str">
        <f t="shared" si="109"/>
        <v>27 2012</v>
      </c>
      <c r="P1024" s="1">
        <f t="shared" si="110"/>
        <v>21</v>
      </c>
      <c r="Q1024" s="1">
        <f t="shared" ca="1" si="111"/>
        <v>4042</v>
      </c>
      <c r="S1024" s="1">
        <f t="shared" si="105"/>
        <v>88261</v>
      </c>
    </row>
    <row r="1025" spans="1:19" x14ac:dyDescent="0.2">
      <c r="A1025" s="57" t="s">
        <v>239</v>
      </c>
      <c r="B1025" s="57" t="s">
        <v>244</v>
      </c>
      <c r="C1025" s="57" t="s">
        <v>245</v>
      </c>
      <c r="D1025" s="58">
        <v>33.659999999999997</v>
      </c>
      <c r="E1025" s="59">
        <v>41092</v>
      </c>
      <c r="F1025" s="58">
        <v>88261</v>
      </c>
      <c r="G1025" s="58">
        <v>19397</v>
      </c>
      <c r="H1025" s="58">
        <v>20864</v>
      </c>
      <c r="I1025" s="58">
        <v>86542</v>
      </c>
      <c r="J1025" s="58">
        <v>0</v>
      </c>
      <c r="K1025" s="1">
        <f t="shared" si="106"/>
        <v>702282.23999999987</v>
      </c>
      <c r="L1025" s="1">
        <f t="shared" si="107"/>
        <v>20864</v>
      </c>
      <c r="M1025" s="1">
        <f>VLOOKUP(B1025,'[1]Срок Годности'!$A$2:$B$4,2,0)</f>
        <v>1500</v>
      </c>
      <c r="N1025" s="60">
        <f t="shared" si="108"/>
        <v>19397</v>
      </c>
      <c r="O1025" s="1" t="str">
        <f t="shared" si="109"/>
        <v>27 2012</v>
      </c>
      <c r="P1025" s="1">
        <f t="shared" si="110"/>
        <v>21</v>
      </c>
      <c r="Q1025" s="1">
        <f t="shared" ca="1" si="111"/>
        <v>4041</v>
      </c>
      <c r="S1025" s="1">
        <f t="shared" si="105"/>
        <v>86542</v>
      </c>
    </row>
    <row r="1026" spans="1:19" x14ac:dyDescent="0.2">
      <c r="A1026" s="57" t="s">
        <v>239</v>
      </c>
      <c r="B1026" s="57" t="s">
        <v>244</v>
      </c>
      <c r="C1026" s="57" t="s">
        <v>245</v>
      </c>
      <c r="D1026" s="58">
        <v>33.659999999999997</v>
      </c>
      <c r="E1026" s="59">
        <v>41093</v>
      </c>
      <c r="F1026" s="58">
        <v>86542</v>
      </c>
      <c r="G1026" s="58">
        <v>2954</v>
      </c>
      <c r="H1026" s="58">
        <v>18813</v>
      </c>
      <c r="I1026" s="58">
        <v>70699</v>
      </c>
      <c r="J1026" s="58">
        <v>0</v>
      </c>
      <c r="K1026" s="1">
        <f t="shared" si="106"/>
        <v>633245.57999999996</v>
      </c>
      <c r="L1026" s="1">
        <f t="shared" si="107"/>
        <v>18813</v>
      </c>
      <c r="M1026" s="1">
        <f>VLOOKUP(B1026,'[1]Срок Годности'!$A$2:$B$4,2,0)</f>
        <v>1500</v>
      </c>
      <c r="N1026" s="60">
        <f t="shared" si="108"/>
        <v>2954</v>
      </c>
      <c r="O1026" s="1" t="str">
        <f t="shared" si="109"/>
        <v>27 2012</v>
      </c>
      <c r="P1026" s="1">
        <f t="shared" si="110"/>
        <v>21</v>
      </c>
      <c r="Q1026" s="1">
        <f t="shared" ca="1" si="111"/>
        <v>4040</v>
      </c>
      <c r="S1026" s="1">
        <f t="shared" si="105"/>
        <v>70699</v>
      </c>
    </row>
    <row r="1027" spans="1:19" x14ac:dyDescent="0.2">
      <c r="A1027" s="57" t="s">
        <v>239</v>
      </c>
      <c r="B1027" s="57" t="s">
        <v>244</v>
      </c>
      <c r="C1027" s="57" t="s">
        <v>245</v>
      </c>
      <c r="D1027" s="58">
        <v>33.659999999999997</v>
      </c>
      <c r="E1027" s="59">
        <v>41094</v>
      </c>
      <c r="F1027" s="58">
        <v>70699</v>
      </c>
      <c r="G1027" s="58">
        <v>285</v>
      </c>
      <c r="H1027" s="58">
        <v>17185</v>
      </c>
      <c r="I1027" s="58">
        <v>53667</v>
      </c>
      <c r="J1027" s="58">
        <v>2</v>
      </c>
      <c r="K1027" s="1">
        <f t="shared" si="106"/>
        <v>578447.1</v>
      </c>
      <c r="L1027" s="1">
        <f t="shared" si="107"/>
        <v>17185</v>
      </c>
      <c r="M1027" s="1">
        <f>VLOOKUP(B1027,'[1]Срок Годности'!$A$2:$B$4,2,0)</f>
        <v>1500</v>
      </c>
      <c r="N1027" s="60">
        <f t="shared" si="108"/>
        <v>285</v>
      </c>
      <c r="O1027" s="1" t="str">
        <f t="shared" si="109"/>
        <v>27 2012</v>
      </c>
      <c r="P1027" s="1">
        <f t="shared" si="110"/>
        <v>21</v>
      </c>
      <c r="Q1027" s="1">
        <f t="shared" ca="1" si="111"/>
        <v>4039</v>
      </c>
      <c r="S1027" s="1">
        <f t="shared" si="105"/>
        <v>53665</v>
      </c>
    </row>
    <row r="1028" spans="1:19" x14ac:dyDescent="0.2">
      <c r="A1028" s="57" t="s">
        <v>239</v>
      </c>
      <c r="B1028" s="57" t="s">
        <v>244</v>
      </c>
      <c r="C1028" s="57" t="s">
        <v>245</v>
      </c>
      <c r="D1028" s="58">
        <v>33.659999999999997</v>
      </c>
      <c r="E1028" s="59">
        <v>41095</v>
      </c>
      <c r="F1028" s="58">
        <v>53667</v>
      </c>
      <c r="G1028" s="58">
        <v>19620</v>
      </c>
      <c r="H1028" s="58">
        <v>15987</v>
      </c>
      <c r="I1028" s="58">
        <v>57182</v>
      </c>
      <c r="J1028" s="58">
        <v>0</v>
      </c>
      <c r="K1028" s="1">
        <f t="shared" si="106"/>
        <v>538122.41999999993</v>
      </c>
      <c r="L1028" s="1">
        <f t="shared" si="107"/>
        <v>15987</v>
      </c>
      <c r="M1028" s="1">
        <f>VLOOKUP(B1028,'[1]Срок Годности'!$A$2:$B$4,2,0)</f>
        <v>1500</v>
      </c>
      <c r="N1028" s="60">
        <f t="shared" si="108"/>
        <v>19620</v>
      </c>
      <c r="O1028" s="1" t="str">
        <f t="shared" si="109"/>
        <v>27 2012</v>
      </c>
      <c r="P1028" s="1">
        <f t="shared" si="110"/>
        <v>21</v>
      </c>
      <c r="Q1028" s="1">
        <f t="shared" ca="1" si="111"/>
        <v>4038</v>
      </c>
      <c r="S1028" s="1">
        <f t="shared" si="105"/>
        <v>57182</v>
      </c>
    </row>
    <row r="1029" spans="1:19" x14ac:dyDescent="0.2">
      <c r="A1029" s="57" t="s">
        <v>239</v>
      </c>
      <c r="B1029" s="57" t="s">
        <v>244</v>
      </c>
      <c r="C1029" s="57" t="s">
        <v>245</v>
      </c>
      <c r="D1029" s="58">
        <v>33.659999999999997</v>
      </c>
      <c r="E1029" s="59">
        <v>41096</v>
      </c>
      <c r="F1029" s="58">
        <v>57182</v>
      </c>
      <c r="G1029" s="58">
        <v>37834</v>
      </c>
      <c r="H1029" s="58">
        <v>15352</v>
      </c>
      <c r="I1029" s="58">
        <v>79578</v>
      </c>
      <c r="J1029" s="58">
        <v>0</v>
      </c>
      <c r="K1029" s="1">
        <f t="shared" si="106"/>
        <v>516748.31999999995</v>
      </c>
      <c r="L1029" s="1">
        <f t="shared" si="107"/>
        <v>15352</v>
      </c>
      <c r="M1029" s="1">
        <f>VLOOKUP(B1029,'[1]Срок Годности'!$A$2:$B$4,2,0)</f>
        <v>1500</v>
      </c>
      <c r="N1029" s="60">
        <f t="shared" si="108"/>
        <v>37834</v>
      </c>
      <c r="O1029" s="1" t="str">
        <f t="shared" si="109"/>
        <v>27 2012</v>
      </c>
      <c r="P1029" s="1">
        <f t="shared" si="110"/>
        <v>21</v>
      </c>
      <c r="Q1029" s="1">
        <f t="shared" ca="1" si="111"/>
        <v>4037</v>
      </c>
      <c r="S1029" s="1">
        <f t="shared" si="105"/>
        <v>79578</v>
      </c>
    </row>
    <row r="1030" spans="1:19" x14ac:dyDescent="0.2">
      <c r="A1030" s="57" t="s">
        <v>239</v>
      </c>
      <c r="B1030" s="57" t="s">
        <v>244</v>
      </c>
      <c r="C1030" s="57" t="s">
        <v>245</v>
      </c>
      <c r="D1030" s="58">
        <v>33.659999999999997</v>
      </c>
      <c r="E1030" s="59">
        <v>41097</v>
      </c>
      <c r="F1030" s="58">
        <v>79578</v>
      </c>
      <c r="G1030" s="58">
        <v>29848</v>
      </c>
      <c r="H1030" s="58">
        <v>16746</v>
      </c>
      <c r="I1030" s="58">
        <v>92485</v>
      </c>
      <c r="J1030" s="58">
        <v>0</v>
      </c>
      <c r="K1030" s="1">
        <f t="shared" si="106"/>
        <v>563670.36</v>
      </c>
      <c r="L1030" s="1">
        <f t="shared" si="107"/>
        <v>16746</v>
      </c>
      <c r="M1030" s="1">
        <f>VLOOKUP(B1030,'[1]Срок Годности'!$A$2:$B$4,2,0)</f>
        <v>1500</v>
      </c>
      <c r="N1030" s="60">
        <f t="shared" si="108"/>
        <v>29848</v>
      </c>
      <c r="O1030" s="1" t="str">
        <f t="shared" si="109"/>
        <v>27 2012</v>
      </c>
      <c r="P1030" s="1">
        <f t="shared" si="110"/>
        <v>21</v>
      </c>
      <c r="Q1030" s="1">
        <f t="shared" ca="1" si="111"/>
        <v>4036</v>
      </c>
      <c r="S1030" s="1">
        <f t="shared" si="105"/>
        <v>92485</v>
      </c>
    </row>
    <row r="1031" spans="1:19" x14ac:dyDescent="0.2">
      <c r="A1031" s="57" t="s">
        <v>239</v>
      </c>
      <c r="B1031" s="57" t="s">
        <v>244</v>
      </c>
      <c r="C1031" s="57" t="s">
        <v>245</v>
      </c>
      <c r="D1031" s="58">
        <v>33.659999999999997</v>
      </c>
      <c r="E1031" s="59">
        <v>41098</v>
      </c>
      <c r="F1031" s="58">
        <v>92485</v>
      </c>
      <c r="G1031" s="58">
        <v>105</v>
      </c>
      <c r="H1031" s="58">
        <v>17320</v>
      </c>
      <c r="I1031" s="58">
        <v>75070</v>
      </c>
      <c r="J1031" s="58">
        <v>7</v>
      </c>
      <c r="K1031" s="1">
        <f t="shared" si="106"/>
        <v>582991.19999999995</v>
      </c>
      <c r="L1031" s="1">
        <f t="shared" si="107"/>
        <v>17320</v>
      </c>
      <c r="M1031" s="1">
        <f>VLOOKUP(B1031,'[1]Срок Годности'!$A$2:$B$4,2,0)</f>
        <v>1500</v>
      </c>
      <c r="N1031" s="60">
        <f t="shared" si="108"/>
        <v>0</v>
      </c>
      <c r="O1031" s="1" t="str">
        <f t="shared" si="109"/>
        <v>28 2012</v>
      </c>
      <c r="P1031" s="1">
        <f t="shared" si="110"/>
        <v>21</v>
      </c>
      <c r="Q1031" s="1">
        <f t="shared" ca="1" si="111"/>
        <v>4035</v>
      </c>
      <c r="S1031" s="1">
        <f t="shared" ref="S1031:S1094" si="112">I1031-J1031</f>
        <v>75063</v>
      </c>
    </row>
    <row r="1032" spans="1:19" x14ac:dyDescent="0.2">
      <c r="A1032" s="57" t="s">
        <v>239</v>
      </c>
      <c r="B1032" s="57" t="s">
        <v>244</v>
      </c>
      <c r="C1032" s="57" t="s">
        <v>245</v>
      </c>
      <c r="D1032" s="58">
        <v>33.659999999999997</v>
      </c>
      <c r="E1032" s="59">
        <v>41099</v>
      </c>
      <c r="F1032" s="58">
        <v>75070</v>
      </c>
      <c r="G1032" s="58">
        <v>16730</v>
      </c>
      <c r="H1032" s="58">
        <v>15527</v>
      </c>
      <c r="I1032" s="58">
        <v>76030</v>
      </c>
      <c r="J1032" s="58">
        <v>0</v>
      </c>
      <c r="K1032" s="1">
        <f t="shared" ref="K1032:K1095" si="113">H1032*D1032</f>
        <v>522638.81999999995</v>
      </c>
      <c r="L1032" s="1">
        <f t="shared" ref="L1032:L1095" si="114">IF(H1032&gt;1000,H1032,"")</f>
        <v>15527</v>
      </c>
      <c r="M1032" s="1">
        <f>VLOOKUP(B1032,'[1]Срок Годности'!$A$2:$B$4,2,0)</f>
        <v>1500</v>
      </c>
      <c r="N1032" s="60">
        <f t="shared" ref="N1032:N1095" si="115">IF(WEEKDAY(E1032) = 1, 0, G1032)</f>
        <v>16730</v>
      </c>
      <c r="O1032" s="1" t="str">
        <f t="shared" ref="O1032:O1095" si="116">WEEKNUM(E1032) &amp; " " &amp; YEAR(E1032)</f>
        <v>28 2012</v>
      </c>
      <c r="P1032" s="1">
        <f t="shared" ref="P1032:P1095" si="117">LEN(C1032)</f>
        <v>21</v>
      </c>
      <c r="Q1032" s="1">
        <f t="shared" ref="Q1032:Q1095" ca="1" si="118">DATEDIF(E1032,NOW(),"D")</f>
        <v>4034</v>
      </c>
      <c r="S1032" s="1">
        <f t="shared" si="112"/>
        <v>76030</v>
      </c>
    </row>
    <row r="1033" spans="1:19" x14ac:dyDescent="0.2">
      <c r="A1033" s="57" t="s">
        <v>239</v>
      </c>
      <c r="B1033" s="57" t="s">
        <v>244</v>
      </c>
      <c r="C1033" s="57" t="s">
        <v>245</v>
      </c>
      <c r="D1033" s="58">
        <v>33.659999999999997</v>
      </c>
      <c r="E1033" s="59">
        <v>41100</v>
      </c>
      <c r="F1033" s="58">
        <v>76030</v>
      </c>
      <c r="G1033" s="58">
        <v>6809</v>
      </c>
      <c r="H1033" s="58">
        <v>12915</v>
      </c>
      <c r="I1033" s="58">
        <v>69565</v>
      </c>
      <c r="J1033" s="58">
        <v>0</v>
      </c>
      <c r="K1033" s="1">
        <f t="shared" si="113"/>
        <v>434718.89999999997</v>
      </c>
      <c r="L1033" s="1">
        <f t="shared" si="114"/>
        <v>12915</v>
      </c>
      <c r="M1033" s="1">
        <f>VLOOKUP(B1033,'[1]Срок Годности'!$A$2:$B$4,2,0)</f>
        <v>1500</v>
      </c>
      <c r="N1033" s="60">
        <f t="shared" si="115"/>
        <v>6809</v>
      </c>
      <c r="O1033" s="1" t="str">
        <f t="shared" si="116"/>
        <v>28 2012</v>
      </c>
      <c r="P1033" s="1">
        <f t="shared" si="117"/>
        <v>21</v>
      </c>
      <c r="Q1033" s="1">
        <f t="shared" ca="1" si="118"/>
        <v>4033</v>
      </c>
      <c r="S1033" s="1">
        <f t="shared" si="112"/>
        <v>69565</v>
      </c>
    </row>
    <row r="1034" spans="1:19" x14ac:dyDescent="0.2">
      <c r="A1034" s="57" t="s">
        <v>239</v>
      </c>
      <c r="B1034" s="57" t="s">
        <v>244</v>
      </c>
      <c r="C1034" s="57" t="s">
        <v>245</v>
      </c>
      <c r="D1034" s="58">
        <v>33.659999999999997</v>
      </c>
      <c r="E1034" s="59">
        <v>41101</v>
      </c>
      <c r="F1034" s="58">
        <v>69565</v>
      </c>
      <c r="G1034" s="58">
        <v>34034</v>
      </c>
      <c r="H1034" s="58">
        <v>11731</v>
      </c>
      <c r="I1034" s="58">
        <v>91751</v>
      </c>
      <c r="J1034" s="58">
        <v>1</v>
      </c>
      <c r="K1034" s="1">
        <f t="shared" si="113"/>
        <v>394865.45999999996</v>
      </c>
      <c r="L1034" s="1">
        <f t="shared" si="114"/>
        <v>11731</v>
      </c>
      <c r="M1034" s="1">
        <f>VLOOKUP(B1034,'[1]Срок Годности'!$A$2:$B$4,2,0)</f>
        <v>1500</v>
      </c>
      <c r="N1034" s="60">
        <f t="shared" si="115"/>
        <v>34034</v>
      </c>
      <c r="O1034" s="1" t="str">
        <f t="shared" si="116"/>
        <v>28 2012</v>
      </c>
      <c r="P1034" s="1">
        <f t="shared" si="117"/>
        <v>21</v>
      </c>
      <c r="Q1034" s="1">
        <f t="shared" ca="1" si="118"/>
        <v>4032</v>
      </c>
      <c r="S1034" s="1">
        <f t="shared" si="112"/>
        <v>91750</v>
      </c>
    </row>
    <row r="1035" spans="1:19" x14ac:dyDescent="0.2">
      <c r="A1035" s="57" t="s">
        <v>239</v>
      </c>
      <c r="B1035" s="57" t="s">
        <v>244</v>
      </c>
      <c r="C1035" s="57" t="s">
        <v>245</v>
      </c>
      <c r="D1035" s="58">
        <v>33.659999999999997</v>
      </c>
      <c r="E1035" s="59">
        <v>41102</v>
      </c>
      <c r="F1035" s="58">
        <v>91751</v>
      </c>
      <c r="G1035" s="58">
        <v>28248</v>
      </c>
      <c r="H1035" s="58">
        <v>13415</v>
      </c>
      <c r="I1035" s="58">
        <v>106251</v>
      </c>
      <c r="J1035" s="58">
        <v>0</v>
      </c>
      <c r="K1035" s="1">
        <f t="shared" si="113"/>
        <v>451548.89999999997</v>
      </c>
      <c r="L1035" s="1">
        <f t="shared" si="114"/>
        <v>13415</v>
      </c>
      <c r="M1035" s="1">
        <f>VLOOKUP(B1035,'[1]Срок Годности'!$A$2:$B$4,2,0)</f>
        <v>1500</v>
      </c>
      <c r="N1035" s="60">
        <f t="shared" si="115"/>
        <v>28248</v>
      </c>
      <c r="O1035" s="1" t="str">
        <f t="shared" si="116"/>
        <v>28 2012</v>
      </c>
      <c r="P1035" s="1">
        <f t="shared" si="117"/>
        <v>21</v>
      </c>
      <c r="Q1035" s="1">
        <f t="shared" ca="1" si="118"/>
        <v>4031</v>
      </c>
      <c r="S1035" s="1">
        <f t="shared" si="112"/>
        <v>106251</v>
      </c>
    </row>
    <row r="1036" spans="1:19" x14ac:dyDescent="0.2">
      <c r="A1036" s="57" t="s">
        <v>239</v>
      </c>
      <c r="B1036" s="57" t="s">
        <v>244</v>
      </c>
      <c r="C1036" s="57" t="s">
        <v>245</v>
      </c>
      <c r="D1036" s="58">
        <v>33.659999999999997</v>
      </c>
      <c r="E1036" s="59">
        <v>41103</v>
      </c>
      <c r="F1036" s="58">
        <v>106251</v>
      </c>
      <c r="G1036" s="58">
        <v>21999</v>
      </c>
      <c r="H1036" s="58">
        <v>16258</v>
      </c>
      <c r="I1036" s="58">
        <v>111962</v>
      </c>
      <c r="J1036" s="58">
        <v>0</v>
      </c>
      <c r="K1036" s="1">
        <f t="shared" si="113"/>
        <v>547244.27999999991</v>
      </c>
      <c r="L1036" s="1">
        <f t="shared" si="114"/>
        <v>16258</v>
      </c>
      <c r="M1036" s="1">
        <f>VLOOKUP(B1036,'[1]Срок Годности'!$A$2:$B$4,2,0)</f>
        <v>1500</v>
      </c>
      <c r="N1036" s="60">
        <f t="shared" si="115"/>
        <v>21999</v>
      </c>
      <c r="O1036" s="1" t="str">
        <f t="shared" si="116"/>
        <v>28 2012</v>
      </c>
      <c r="P1036" s="1">
        <f t="shared" si="117"/>
        <v>21</v>
      </c>
      <c r="Q1036" s="1">
        <f t="shared" ca="1" si="118"/>
        <v>4030</v>
      </c>
      <c r="S1036" s="1">
        <f t="shared" si="112"/>
        <v>111962</v>
      </c>
    </row>
    <row r="1037" spans="1:19" x14ac:dyDescent="0.2">
      <c r="A1037" s="57" t="s">
        <v>239</v>
      </c>
      <c r="B1037" s="57" t="s">
        <v>244</v>
      </c>
      <c r="C1037" s="57" t="s">
        <v>245</v>
      </c>
      <c r="D1037" s="58">
        <v>33.659999999999997</v>
      </c>
      <c r="E1037" s="59">
        <v>41104</v>
      </c>
      <c r="F1037" s="58">
        <v>111962</v>
      </c>
      <c r="G1037" s="58">
        <v>23771</v>
      </c>
      <c r="H1037" s="58">
        <v>16402</v>
      </c>
      <c r="I1037" s="58">
        <v>119125</v>
      </c>
      <c r="J1037" s="58">
        <v>0</v>
      </c>
      <c r="K1037" s="1">
        <f t="shared" si="113"/>
        <v>552091.31999999995</v>
      </c>
      <c r="L1037" s="1">
        <f t="shared" si="114"/>
        <v>16402</v>
      </c>
      <c r="M1037" s="1">
        <f>VLOOKUP(B1037,'[1]Срок Годности'!$A$2:$B$4,2,0)</f>
        <v>1500</v>
      </c>
      <c r="N1037" s="60">
        <f t="shared" si="115"/>
        <v>23771</v>
      </c>
      <c r="O1037" s="1" t="str">
        <f t="shared" si="116"/>
        <v>28 2012</v>
      </c>
      <c r="P1037" s="1">
        <f t="shared" si="117"/>
        <v>21</v>
      </c>
      <c r="Q1037" s="1">
        <f t="shared" ca="1" si="118"/>
        <v>4029</v>
      </c>
      <c r="S1037" s="1">
        <f t="shared" si="112"/>
        <v>119125</v>
      </c>
    </row>
    <row r="1038" spans="1:19" x14ac:dyDescent="0.2">
      <c r="A1038" s="57" t="s">
        <v>239</v>
      </c>
      <c r="B1038" s="57" t="s">
        <v>244</v>
      </c>
      <c r="C1038" s="57" t="s">
        <v>245</v>
      </c>
      <c r="D1038" s="58">
        <v>33.659999999999997</v>
      </c>
      <c r="E1038" s="59">
        <v>41105</v>
      </c>
      <c r="F1038" s="58">
        <v>119125</v>
      </c>
      <c r="G1038" s="58">
        <v>17796</v>
      </c>
      <c r="H1038" s="58">
        <v>16862</v>
      </c>
      <c r="I1038" s="58">
        <v>119952</v>
      </c>
      <c r="J1038" s="58">
        <v>0</v>
      </c>
      <c r="K1038" s="1">
        <f t="shared" si="113"/>
        <v>567574.91999999993</v>
      </c>
      <c r="L1038" s="1">
        <f t="shared" si="114"/>
        <v>16862</v>
      </c>
      <c r="M1038" s="1">
        <f>VLOOKUP(B1038,'[1]Срок Годности'!$A$2:$B$4,2,0)</f>
        <v>1500</v>
      </c>
      <c r="N1038" s="60">
        <f t="shared" si="115"/>
        <v>0</v>
      </c>
      <c r="O1038" s="1" t="str">
        <f t="shared" si="116"/>
        <v>29 2012</v>
      </c>
      <c r="P1038" s="1">
        <f t="shared" si="117"/>
        <v>21</v>
      </c>
      <c r="Q1038" s="1">
        <f t="shared" ca="1" si="118"/>
        <v>4028</v>
      </c>
      <c r="S1038" s="1">
        <f t="shared" si="112"/>
        <v>119952</v>
      </c>
    </row>
    <row r="1039" spans="1:19" x14ac:dyDescent="0.2">
      <c r="A1039" s="57" t="s">
        <v>239</v>
      </c>
      <c r="B1039" s="57" t="s">
        <v>244</v>
      </c>
      <c r="C1039" s="57" t="s">
        <v>245</v>
      </c>
      <c r="D1039" s="58">
        <v>33.659999999999997</v>
      </c>
      <c r="E1039" s="59">
        <v>41106</v>
      </c>
      <c r="F1039" s="58">
        <v>119952</v>
      </c>
      <c r="G1039" s="58">
        <v>13825</v>
      </c>
      <c r="H1039" s="58">
        <v>19254</v>
      </c>
      <c r="I1039" s="58">
        <v>114342</v>
      </c>
      <c r="J1039" s="58">
        <v>0</v>
      </c>
      <c r="K1039" s="1">
        <f t="shared" si="113"/>
        <v>648089.6399999999</v>
      </c>
      <c r="L1039" s="1">
        <f t="shared" si="114"/>
        <v>19254</v>
      </c>
      <c r="M1039" s="1">
        <f>VLOOKUP(B1039,'[1]Срок Годности'!$A$2:$B$4,2,0)</f>
        <v>1500</v>
      </c>
      <c r="N1039" s="60">
        <f t="shared" si="115"/>
        <v>13825</v>
      </c>
      <c r="O1039" s="1" t="str">
        <f t="shared" si="116"/>
        <v>29 2012</v>
      </c>
      <c r="P1039" s="1">
        <f t="shared" si="117"/>
        <v>21</v>
      </c>
      <c r="Q1039" s="1">
        <f t="shared" ca="1" si="118"/>
        <v>4027</v>
      </c>
      <c r="S1039" s="1">
        <f t="shared" si="112"/>
        <v>114342</v>
      </c>
    </row>
    <row r="1040" spans="1:19" x14ac:dyDescent="0.2">
      <c r="A1040" s="57" t="s">
        <v>239</v>
      </c>
      <c r="B1040" s="57" t="s">
        <v>244</v>
      </c>
      <c r="C1040" s="57" t="s">
        <v>245</v>
      </c>
      <c r="D1040" s="58">
        <v>33.659999999999997</v>
      </c>
      <c r="E1040" s="59">
        <v>41107</v>
      </c>
      <c r="F1040" s="58">
        <v>114342</v>
      </c>
      <c r="G1040" s="58">
        <v>22082</v>
      </c>
      <c r="H1040" s="58">
        <v>17535</v>
      </c>
      <c r="I1040" s="58">
        <v>118787</v>
      </c>
      <c r="J1040" s="58">
        <v>0</v>
      </c>
      <c r="K1040" s="1">
        <f t="shared" si="113"/>
        <v>590228.1</v>
      </c>
      <c r="L1040" s="1">
        <f t="shared" si="114"/>
        <v>17535</v>
      </c>
      <c r="M1040" s="1">
        <f>VLOOKUP(B1040,'[1]Срок Годности'!$A$2:$B$4,2,0)</f>
        <v>1500</v>
      </c>
      <c r="N1040" s="60">
        <f t="shared" si="115"/>
        <v>22082</v>
      </c>
      <c r="O1040" s="1" t="str">
        <f t="shared" si="116"/>
        <v>29 2012</v>
      </c>
      <c r="P1040" s="1">
        <f t="shared" si="117"/>
        <v>21</v>
      </c>
      <c r="Q1040" s="1">
        <f t="shared" ca="1" si="118"/>
        <v>4026</v>
      </c>
      <c r="S1040" s="1">
        <f t="shared" si="112"/>
        <v>118787</v>
      </c>
    </row>
    <row r="1041" spans="1:19" x14ac:dyDescent="0.2">
      <c r="A1041" s="57" t="s">
        <v>239</v>
      </c>
      <c r="B1041" s="57" t="s">
        <v>237</v>
      </c>
      <c r="C1041" s="57" t="s">
        <v>238</v>
      </c>
      <c r="D1041" s="58">
        <v>165.05</v>
      </c>
      <c r="E1041" s="59">
        <v>41061</v>
      </c>
      <c r="F1041" s="58">
        <v>15642</v>
      </c>
      <c r="G1041" s="58">
        <v>1210</v>
      </c>
      <c r="H1041" s="58">
        <v>1486</v>
      </c>
      <c r="I1041" s="58">
        <v>15345</v>
      </c>
      <c r="J1041" s="58">
        <v>0</v>
      </c>
      <c r="K1041" s="1">
        <f t="shared" si="113"/>
        <v>245264.30000000002</v>
      </c>
      <c r="L1041" s="1">
        <f t="shared" si="114"/>
        <v>1486</v>
      </c>
      <c r="M1041" s="1">
        <f>VLOOKUP(B1041,'[1]Срок Годности'!$A$2:$B$4,2,0)</f>
        <v>1000</v>
      </c>
      <c r="N1041" s="60">
        <f t="shared" si="115"/>
        <v>1210</v>
      </c>
      <c r="O1041" s="1" t="str">
        <f t="shared" si="116"/>
        <v>22 2012</v>
      </c>
      <c r="P1041" s="1">
        <f t="shared" si="117"/>
        <v>22</v>
      </c>
      <c r="Q1041" s="1">
        <f t="shared" ca="1" si="118"/>
        <v>4072</v>
      </c>
      <c r="S1041" s="1">
        <f t="shared" si="112"/>
        <v>15345</v>
      </c>
    </row>
    <row r="1042" spans="1:19" x14ac:dyDescent="0.2">
      <c r="A1042" s="57" t="s">
        <v>239</v>
      </c>
      <c r="B1042" s="57" t="s">
        <v>237</v>
      </c>
      <c r="C1042" s="57" t="s">
        <v>238</v>
      </c>
      <c r="D1042" s="58">
        <v>165.05</v>
      </c>
      <c r="E1042" s="59">
        <v>41062</v>
      </c>
      <c r="F1042" s="58">
        <v>15345</v>
      </c>
      <c r="G1042" s="58">
        <v>1208</v>
      </c>
      <c r="H1042" s="58">
        <v>1430</v>
      </c>
      <c r="I1042" s="58">
        <v>15091</v>
      </c>
      <c r="J1042" s="58">
        <v>0</v>
      </c>
      <c r="K1042" s="1">
        <f t="shared" si="113"/>
        <v>236021.50000000003</v>
      </c>
      <c r="L1042" s="1">
        <f t="shared" si="114"/>
        <v>1430</v>
      </c>
      <c r="M1042" s="1">
        <f>VLOOKUP(B1042,'[1]Срок Годности'!$A$2:$B$4,2,0)</f>
        <v>1000</v>
      </c>
      <c r="N1042" s="60">
        <f t="shared" si="115"/>
        <v>1208</v>
      </c>
      <c r="O1042" s="1" t="str">
        <f t="shared" si="116"/>
        <v>22 2012</v>
      </c>
      <c r="P1042" s="1">
        <f t="shared" si="117"/>
        <v>22</v>
      </c>
      <c r="Q1042" s="1">
        <f t="shared" ca="1" si="118"/>
        <v>4071</v>
      </c>
      <c r="S1042" s="1">
        <f t="shared" si="112"/>
        <v>15091</v>
      </c>
    </row>
    <row r="1043" spans="1:19" x14ac:dyDescent="0.2">
      <c r="A1043" s="57" t="s">
        <v>239</v>
      </c>
      <c r="B1043" s="57" t="s">
        <v>237</v>
      </c>
      <c r="C1043" s="57" t="s">
        <v>238</v>
      </c>
      <c r="D1043" s="58">
        <v>165.05</v>
      </c>
      <c r="E1043" s="59">
        <v>41063</v>
      </c>
      <c r="F1043" s="58">
        <v>15091</v>
      </c>
      <c r="G1043" s="58">
        <v>1148</v>
      </c>
      <c r="H1043" s="58">
        <v>1430</v>
      </c>
      <c r="I1043" s="58">
        <v>14770</v>
      </c>
      <c r="J1043" s="58">
        <v>0</v>
      </c>
      <c r="K1043" s="1">
        <f t="shared" si="113"/>
        <v>236021.50000000003</v>
      </c>
      <c r="L1043" s="1">
        <f t="shared" si="114"/>
        <v>1430</v>
      </c>
      <c r="M1043" s="1">
        <f>VLOOKUP(B1043,'[1]Срок Годности'!$A$2:$B$4,2,0)</f>
        <v>1000</v>
      </c>
      <c r="N1043" s="60">
        <f t="shared" si="115"/>
        <v>0</v>
      </c>
      <c r="O1043" s="1" t="str">
        <f t="shared" si="116"/>
        <v>23 2012</v>
      </c>
      <c r="P1043" s="1">
        <f t="shared" si="117"/>
        <v>22</v>
      </c>
      <c r="Q1043" s="1">
        <f t="shared" ca="1" si="118"/>
        <v>4070</v>
      </c>
      <c r="S1043" s="1">
        <f t="shared" si="112"/>
        <v>14770</v>
      </c>
    </row>
    <row r="1044" spans="1:19" x14ac:dyDescent="0.2">
      <c r="A1044" s="57" t="s">
        <v>239</v>
      </c>
      <c r="B1044" s="57" t="s">
        <v>237</v>
      </c>
      <c r="C1044" s="57" t="s">
        <v>238</v>
      </c>
      <c r="D1044" s="58">
        <v>165.05</v>
      </c>
      <c r="E1044" s="59">
        <v>41064</v>
      </c>
      <c r="F1044" s="58">
        <v>14770</v>
      </c>
      <c r="G1044" s="58">
        <v>991</v>
      </c>
      <c r="H1044" s="58">
        <v>1699</v>
      </c>
      <c r="I1044" s="58">
        <v>13999</v>
      </c>
      <c r="J1044" s="58">
        <v>0</v>
      </c>
      <c r="K1044" s="1">
        <f t="shared" si="113"/>
        <v>280419.95</v>
      </c>
      <c r="L1044" s="1">
        <f t="shared" si="114"/>
        <v>1699</v>
      </c>
      <c r="M1044" s="1">
        <f>VLOOKUP(B1044,'[1]Срок Годности'!$A$2:$B$4,2,0)</f>
        <v>1000</v>
      </c>
      <c r="N1044" s="60">
        <f t="shared" si="115"/>
        <v>991</v>
      </c>
      <c r="O1044" s="1" t="str">
        <f t="shared" si="116"/>
        <v>23 2012</v>
      </c>
      <c r="P1044" s="1">
        <f t="shared" si="117"/>
        <v>22</v>
      </c>
      <c r="Q1044" s="1">
        <f t="shared" ca="1" si="118"/>
        <v>4069</v>
      </c>
      <c r="S1044" s="1">
        <f t="shared" si="112"/>
        <v>13999</v>
      </c>
    </row>
    <row r="1045" spans="1:19" x14ac:dyDescent="0.2">
      <c r="A1045" s="57" t="s">
        <v>239</v>
      </c>
      <c r="B1045" s="57" t="s">
        <v>237</v>
      </c>
      <c r="C1045" s="57" t="s">
        <v>238</v>
      </c>
      <c r="D1045" s="58">
        <v>165.05</v>
      </c>
      <c r="E1045" s="59">
        <v>41065</v>
      </c>
      <c r="F1045" s="58">
        <v>13999</v>
      </c>
      <c r="G1045" s="58">
        <v>1369</v>
      </c>
      <c r="H1045" s="58">
        <v>1716</v>
      </c>
      <c r="I1045" s="58">
        <v>13584</v>
      </c>
      <c r="J1045" s="58">
        <v>0</v>
      </c>
      <c r="K1045" s="1">
        <f t="shared" si="113"/>
        <v>283225.80000000005</v>
      </c>
      <c r="L1045" s="1">
        <f t="shared" si="114"/>
        <v>1716</v>
      </c>
      <c r="M1045" s="1">
        <f>VLOOKUP(B1045,'[1]Срок Годности'!$A$2:$B$4,2,0)</f>
        <v>1000</v>
      </c>
      <c r="N1045" s="60">
        <f t="shared" si="115"/>
        <v>1369</v>
      </c>
      <c r="O1045" s="1" t="str">
        <f t="shared" si="116"/>
        <v>23 2012</v>
      </c>
      <c r="P1045" s="1">
        <f t="shared" si="117"/>
        <v>22</v>
      </c>
      <c r="Q1045" s="1">
        <f t="shared" ca="1" si="118"/>
        <v>4068</v>
      </c>
      <c r="S1045" s="1">
        <f t="shared" si="112"/>
        <v>13584</v>
      </c>
    </row>
    <row r="1046" spans="1:19" x14ac:dyDescent="0.2">
      <c r="A1046" s="57" t="s">
        <v>239</v>
      </c>
      <c r="B1046" s="57" t="s">
        <v>237</v>
      </c>
      <c r="C1046" s="57" t="s">
        <v>238</v>
      </c>
      <c r="D1046" s="58">
        <v>165.05</v>
      </c>
      <c r="E1046" s="59">
        <v>41066</v>
      </c>
      <c r="F1046" s="58">
        <v>13584</v>
      </c>
      <c r="G1046" s="58">
        <v>1680</v>
      </c>
      <c r="H1046" s="58">
        <v>1734</v>
      </c>
      <c r="I1046" s="58">
        <v>13522</v>
      </c>
      <c r="J1046" s="58">
        <v>0</v>
      </c>
      <c r="K1046" s="1">
        <f t="shared" si="113"/>
        <v>286196.7</v>
      </c>
      <c r="L1046" s="1">
        <f t="shared" si="114"/>
        <v>1734</v>
      </c>
      <c r="M1046" s="1">
        <f>VLOOKUP(B1046,'[1]Срок Годности'!$A$2:$B$4,2,0)</f>
        <v>1000</v>
      </c>
      <c r="N1046" s="60">
        <f t="shared" si="115"/>
        <v>1680</v>
      </c>
      <c r="O1046" s="1" t="str">
        <f t="shared" si="116"/>
        <v>23 2012</v>
      </c>
      <c r="P1046" s="1">
        <f t="shared" si="117"/>
        <v>22</v>
      </c>
      <c r="Q1046" s="1">
        <f t="shared" ca="1" si="118"/>
        <v>4067</v>
      </c>
      <c r="S1046" s="1">
        <f t="shared" si="112"/>
        <v>13522</v>
      </c>
    </row>
    <row r="1047" spans="1:19" x14ac:dyDescent="0.2">
      <c r="A1047" s="57" t="s">
        <v>239</v>
      </c>
      <c r="B1047" s="57" t="s">
        <v>237</v>
      </c>
      <c r="C1047" s="57" t="s">
        <v>238</v>
      </c>
      <c r="D1047" s="58">
        <v>165.05</v>
      </c>
      <c r="E1047" s="59">
        <v>41067</v>
      </c>
      <c r="F1047" s="58">
        <v>13522</v>
      </c>
      <c r="G1047" s="58">
        <v>1719</v>
      </c>
      <c r="H1047" s="58">
        <v>1900</v>
      </c>
      <c r="I1047" s="58">
        <v>13312</v>
      </c>
      <c r="J1047" s="58">
        <v>0</v>
      </c>
      <c r="K1047" s="1">
        <f t="shared" si="113"/>
        <v>313595</v>
      </c>
      <c r="L1047" s="1">
        <f t="shared" si="114"/>
        <v>1900</v>
      </c>
      <c r="M1047" s="1">
        <f>VLOOKUP(B1047,'[1]Срок Годности'!$A$2:$B$4,2,0)</f>
        <v>1000</v>
      </c>
      <c r="N1047" s="60">
        <f t="shared" si="115"/>
        <v>1719</v>
      </c>
      <c r="O1047" s="1" t="str">
        <f t="shared" si="116"/>
        <v>23 2012</v>
      </c>
      <c r="P1047" s="1">
        <f t="shared" si="117"/>
        <v>22</v>
      </c>
      <c r="Q1047" s="1">
        <f t="shared" ca="1" si="118"/>
        <v>4066</v>
      </c>
      <c r="S1047" s="1">
        <f t="shared" si="112"/>
        <v>13312</v>
      </c>
    </row>
    <row r="1048" spans="1:19" x14ac:dyDescent="0.2">
      <c r="A1048" s="57" t="s">
        <v>239</v>
      </c>
      <c r="B1048" s="57" t="s">
        <v>237</v>
      </c>
      <c r="C1048" s="57" t="s">
        <v>238</v>
      </c>
      <c r="D1048" s="58">
        <v>165.05</v>
      </c>
      <c r="E1048" s="59">
        <v>41068</v>
      </c>
      <c r="F1048" s="58">
        <v>13312</v>
      </c>
      <c r="G1048" s="58">
        <v>1779</v>
      </c>
      <c r="H1048" s="58">
        <v>2144</v>
      </c>
      <c r="I1048" s="58">
        <v>12838</v>
      </c>
      <c r="J1048" s="58">
        <v>0</v>
      </c>
      <c r="K1048" s="1">
        <f t="shared" si="113"/>
        <v>353867.2</v>
      </c>
      <c r="L1048" s="1">
        <f t="shared" si="114"/>
        <v>2144</v>
      </c>
      <c r="M1048" s="1">
        <f>VLOOKUP(B1048,'[1]Срок Годности'!$A$2:$B$4,2,0)</f>
        <v>1000</v>
      </c>
      <c r="N1048" s="60">
        <f t="shared" si="115"/>
        <v>1779</v>
      </c>
      <c r="O1048" s="1" t="str">
        <f t="shared" si="116"/>
        <v>23 2012</v>
      </c>
      <c r="P1048" s="1">
        <f t="shared" si="117"/>
        <v>22</v>
      </c>
      <c r="Q1048" s="1">
        <f t="shared" ca="1" si="118"/>
        <v>4065</v>
      </c>
      <c r="S1048" s="1">
        <f t="shared" si="112"/>
        <v>12838</v>
      </c>
    </row>
    <row r="1049" spans="1:19" x14ac:dyDescent="0.2">
      <c r="A1049" s="57" t="s">
        <v>239</v>
      </c>
      <c r="B1049" s="57" t="s">
        <v>237</v>
      </c>
      <c r="C1049" s="57" t="s">
        <v>238</v>
      </c>
      <c r="D1049" s="58">
        <v>165.05</v>
      </c>
      <c r="E1049" s="59">
        <v>41069</v>
      </c>
      <c r="F1049" s="58">
        <v>12838</v>
      </c>
      <c r="G1049" s="58">
        <v>1910</v>
      </c>
      <c r="H1049" s="58">
        <v>2290</v>
      </c>
      <c r="I1049" s="58">
        <v>12352</v>
      </c>
      <c r="J1049" s="58">
        <v>0</v>
      </c>
      <c r="K1049" s="1">
        <f t="shared" si="113"/>
        <v>377964.5</v>
      </c>
      <c r="L1049" s="1">
        <f t="shared" si="114"/>
        <v>2290</v>
      </c>
      <c r="M1049" s="1">
        <f>VLOOKUP(B1049,'[1]Срок Годности'!$A$2:$B$4,2,0)</f>
        <v>1000</v>
      </c>
      <c r="N1049" s="60">
        <f t="shared" si="115"/>
        <v>1910</v>
      </c>
      <c r="O1049" s="1" t="str">
        <f t="shared" si="116"/>
        <v>23 2012</v>
      </c>
      <c r="P1049" s="1">
        <f t="shared" si="117"/>
        <v>22</v>
      </c>
      <c r="Q1049" s="1">
        <f t="shared" ca="1" si="118"/>
        <v>4064</v>
      </c>
      <c r="S1049" s="1">
        <f t="shared" si="112"/>
        <v>12352</v>
      </c>
    </row>
    <row r="1050" spans="1:19" x14ac:dyDescent="0.2">
      <c r="A1050" s="57" t="s">
        <v>239</v>
      </c>
      <c r="B1050" s="57" t="s">
        <v>237</v>
      </c>
      <c r="C1050" s="57" t="s">
        <v>238</v>
      </c>
      <c r="D1050" s="58">
        <v>165.05</v>
      </c>
      <c r="E1050" s="59">
        <v>41070</v>
      </c>
      <c r="F1050" s="58">
        <v>12352</v>
      </c>
      <c r="G1050" s="58">
        <v>2129</v>
      </c>
      <c r="H1050" s="58">
        <v>1623</v>
      </c>
      <c r="I1050" s="58">
        <v>12723</v>
      </c>
      <c r="J1050" s="58">
        <v>0</v>
      </c>
      <c r="K1050" s="1">
        <f t="shared" si="113"/>
        <v>267876.15000000002</v>
      </c>
      <c r="L1050" s="1">
        <f t="shared" si="114"/>
        <v>1623</v>
      </c>
      <c r="M1050" s="1">
        <f>VLOOKUP(B1050,'[1]Срок Годности'!$A$2:$B$4,2,0)</f>
        <v>1000</v>
      </c>
      <c r="N1050" s="60">
        <f t="shared" si="115"/>
        <v>0</v>
      </c>
      <c r="O1050" s="1" t="str">
        <f t="shared" si="116"/>
        <v>24 2012</v>
      </c>
      <c r="P1050" s="1">
        <f t="shared" si="117"/>
        <v>22</v>
      </c>
      <c r="Q1050" s="1">
        <f t="shared" ca="1" si="118"/>
        <v>4063</v>
      </c>
      <c r="S1050" s="1">
        <f t="shared" si="112"/>
        <v>12723</v>
      </c>
    </row>
    <row r="1051" spans="1:19" x14ac:dyDescent="0.2">
      <c r="A1051" s="57" t="s">
        <v>239</v>
      </c>
      <c r="B1051" s="57" t="s">
        <v>237</v>
      </c>
      <c r="C1051" s="57" t="s">
        <v>238</v>
      </c>
      <c r="D1051" s="58">
        <v>165.05</v>
      </c>
      <c r="E1051" s="59">
        <v>41071</v>
      </c>
      <c r="F1051" s="58">
        <v>12723</v>
      </c>
      <c r="G1051" s="58">
        <v>2135</v>
      </c>
      <c r="H1051" s="58">
        <v>1326</v>
      </c>
      <c r="I1051" s="58">
        <v>13450</v>
      </c>
      <c r="J1051" s="58">
        <v>0</v>
      </c>
      <c r="K1051" s="1">
        <f t="shared" si="113"/>
        <v>218856.30000000002</v>
      </c>
      <c r="L1051" s="1">
        <f t="shared" si="114"/>
        <v>1326</v>
      </c>
      <c r="M1051" s="1">
        <f>VLOOKUP(B1051,'[1]Срок Годности'!$A$2:$B$4,2,0)</f>
        <v>1000</v>
      </c>
      <c r="N1051" s="60">
        <f t="shared" si="115"/>
        <v>2135</v>
      </c>
      <c r="O1051" s="1" t="str">
        <f t="shared" si="116"/>
        <v>24 2012</v>
      </c>
      <c r="P1051" s="1">
        <f t="shared" si="117"/>
        <v>22</v>
      </c>
      <c r="Q1051" s="1">
        <f t="shared" ca="1" si="118"/>
        <v>4062</v>
      </c>
      <c r="S1051" s="1">
        <f t="shared" si="112"/>
        <v>13450</v>
      </c>
    </row>
    <row r="1052" spans="1:19" x14ac:dyDescent="0.2">
      <c r="A1052" s="57" t="s">
        <v>239</v>
      </c>
      <c r="B1052" s="57" t="s">
        <v>237</v>
      </c>
      <c r="C1052" s="57" t="s">
        <v>238</v>
      </c>
      <c r="D1052" s="58">
        <v>165.05</v>
      </c>
      <c r="E1052" s="59">
        <v>41072</v>
      </c>
      <c r="F1052" s="58">
        <v>13450</v>
      </c>
      <c r="G1052" s="58">
        <v>1755</v>
      </c>
      <c r="H1052" s="58">
        <v>1265</v>
      </c>
      <c r="I1052" s="58">
        <v>13725</v>
      </c>
      <c r="J1052" s="58">
        <v>0</v>
      </c>
      <c r="K1052" s="1">
        <f t="shared" si="113"/>
        <v>208788.25</v>
      </c>
      <c r="L1052" s="1">
        <f t="shared" si="114"/>
        <v>1265</v>
      </c>
      <c r="M1052" s="1">
        <f>VLOOKUP(B1052,'[1]Срок Годности'!$A$2:$B$4,2,0)</f>
        <v>1000</v>
      </c>
      <c r="N1052" s="60">
        <f t="shared" si="115"/>
        <v>1755</v>
      </c>
      <c r="O1052" s="1" t="str">
        <f t="shared" si="116"/>
        <v>24 2012</v>
      </c>
      <c r="P1052" s="1">
        <f t="shared" si="117"/>
        <v>22</v>
      </c>
      <c r="Q1052" s="1">
        <f t="shared" ca="1" si="118"/>
        <v>4061</v>
      </c>
      <c r="S1052" s="1">
        <f t="shared" si="112"/>
        <v>13725</v>
      </c>
    </row>
    <row r="1053" spans="1:19" x14ac:dyDescent="0.2">
      <c r="A1053" s="57" t="s">
        <v>239</v>
      </c>
      <c r="B1053" s="57" t="s">
        <v>237</v>
      </c>
      <c r="C1053" s="57" t="s">
        <v>238</v>
      </c>
      <c r="D1053" s="58">
        <v>165.05</v>
      </c>
      <c r="E1053" s="59">
        <v>41073</v>
      </c>
      <c r="F1053" s="58">
        <v>13725</v>
      </c>
      <c r="G1053" s="58">
        <v>1493</v>
      </c>
      <c r="H1053" s="58">
        <v>1380</v>
      </c>
      <c r="I1053" s="58">
        <v>13767</v>
      </c>
      <c r="J1053" s="58">
        <v>0</v>
      </c>
      <c r="K1053" s="1">
        <f t="shared" si="113"/>
        <v>227769.00000000003</v>
      </c>
      <c r="L1053" s="1">
        <f t="shared" si="114"/>
        <v>1380</v>
      </c>
      <c r="M1053" s="1">
        <f>VLOOKUP(B1053,'[1]Срок Годности'!$A$2:$B$4,2,0)</f>
        <v>1000</v>
      </c>
      <c r="N1053" s="60">
        <f t="shared" si="115"/>
        <v>1493</v>
      </c>
      <c r="O1053" s="1" t="str">
        <f t="shared" si="116"/>
        <v>24 2012</v>
      </c>
      <c r="P1053" s="1">
        <f t="shared" si="117"/>
        <v>22</v>
      </c>
      <c r="Q1053" s="1">
        <f t="shared" ca="1" si="118"/>
        <v>4060</v>
      </c>
      <c r="S1053" s="1">
        <f t="shared" si="112"/>
        <v>13767</v>
      </c>
    </row>
    <row r="1054" spans="1:19" x14ac:dyDescent="0.2">
      <c r="A1054" s="57" t="s">
        <v>239</v>
      </c>
      <c r="B1054" s="57" t="s">
        <v>237</v>
      </c>
      <c r="C1054" s="57" t="s">
        <v>238</v>
      </c>
      <c r="D1054" s="58">
        <v>165.05</v>
      </c>
      <c r="E1054" s="59">
        <v>41074</v>
      </c>
      <c r="F1054" s="58">
        <v>13767</v>
      </c>
      <c r="G1054" s="58">
        <v>1444</v>
      </c>
      <c r="H1054" s="58">
        <v>1576</v>
      </c>
      <c r="I1054" s="58">
        <v>13515</v>
      </c>
      <c r="J1054" s="58">
        <v>0</v>
      </c>
      <c r="K1054" s="1">
        <f t="shared" si="113"/>
        <v>260118.80000000002</v>
      </c>
      <c r="L1054" s="1">
        <f t="shared" si="114"/>
        <v>1576</v>
      </c>
      <c r="M1054" s="1">
        <f>VLOOKUP(B1054,'[1]Срок Годности'!$A$2:$B$4,2,0)</f>
        <v>1000</v>
      </c>
      <c r="N1054" s="60">
        <f t="shared" si="115"/>
        <v>1444</v>
      </c>
      <c r="O1054" s="1" t="str">
        <f t="shared" si="116"/>
        <v>24 2012</v>
      </c>
      <c r="P1054" s="1">
        <f t="shared" si="117"/>
        <v>22</v>
      </c>
      <c r="Q1054" s="1">
        <f t="shared" ca="1" si="118"/>
        <v>4059</v>
      </c>
      <c r="S1054" s="1">
        <f t="shared" si="112"/>
        <v>13515</v>
      </c>
    </row>
    <row r="1055" spans="1:19" x14ac:dyDescent="0.2">
      <c r="A1055" s="57" t="s">
        <v>239</v>
      </c>
      <c r="B1055" s="57" t="s">
        <v>237</v>
      </c>
      <c r="C1055" s="57" t="s">
        <v>238</v>
      </c>
      <c r="D1055" s="58">
        <v>165.05</v>
      </c>
      <c r="E1055" s="59">
        <v>41075</v>
      </c>
      <c r="F1055" s="58">
        <v>13515</v>
      </c>
      <c r="G1055" s="58">
        <v>1384</v>
      </c>
      <c r="H1055" s="58">
        <v>1936</v>
      </c>
      <c r="I1055" s="58">
        <v>12931</v>
      </c>
      <c r="J1055" s="58">
        <v>0</v>
      </c>
      <c r="K1055" s="1">
        <f t="shared" si="113"/>
        <v>319536.80000000005</v>
      </c>
      <c r="L1055" s="1">
        <f t="shared" si="114"/>
        <v>1936</v>
      </c>
      <c r="M1055" s="1">
        <f>VLOOKUP(B1055,'[1]Срок Годности'!$A$2:$B$4,2,0)</f>
        <v>1000</v>
      </c>
      <c r="N1055" s="60">
        <f t="shared" si="115"/>
        <v>1384</v>
      </c>
      <c r="O1055" s="1" t="str">
        <f t="shared" si="116"/>
        <v>24 2012</v>
      </c>
      <c r="P1055" s="1">
        <f t="shared" si="117"/>
        <v>22</v>
      </c>
      <c r="Q1055" s="1">
        <f t="shared" ca="1" si="118"/>
        <v>4058</v>
      </c>
      <c r="S1055" s="1">
        <f t="shared" si="112"/>
        <v>12931</v>
      </c>
    </row>
    <row r="1056" spans="1:19" x14ac:dyDescent="0.2">
      <c r="A1056" s="57" t="s">
        <v>239</v>
      </c>
      <c r="B1056" s="57" t="s">
        <v>237</v>
      </c>
      <c r="C1056" s="57" t="s">
        <v>238</v>
      </c>
      <c r="D1056" s="58">
        <v>165.05</v>
      </c>
      <c r="E1056" s="59">
        <v>41076</v>
      </c>
      <c r="F1056" s="58">
        <v>12931</v>
      </c>
      <c r="G1056" s="58">
        <v>1127</v>
      </c>
      <c r="H1056" s="58">
        <v>2184</v>
      </c>
      <c r="I1056" s="58">
        <v>11834</v>
      </c>
      <c r="J1056" s="58">
        <v>0</v>
      </c>
      <c r="K1056" s="1">
        <f t="shared" si="113"/>
        <v>360469.2</v>
      </c>
      <c r="L1056" s="1">
        <f t="shared" si="114"/>
        <v>2184</v>
      </c>
      <c r="M1056" s="1">
        <f>VLOOKUP(B1056,'[1]Срок Годности'!$A$2:$B$4,2,0)</f>
        <v>1000</v>
      </c>
      <c r="N1056" s="60">
        <f t="shared" si="115"/>
        <v>1127</v>
      </c>
      <c r="O1056" s="1" t="str">
        <f t="shared" si="116"/>
        <v>24 2012</v>
      </c>
      <c r="P1056" s="1">
        <f t="shared" si="117"/>
        <v>22</v>
      </c>
      <c r="Q1056" s="1">
        <f t="shared" ca="1" si="118"/>
        <v>4057</v>
      </c>
      <c r="S1056" s="1">
        <f t="shared" si="112"/>
        <v>11834</v>
      </c>
    </row>
    <row r="1057" spans="1:19" x14ac:dyDescent="0.2">
      <c r="A1057" s="57" t="s">
        <v>239</v>
      </c>
      <c r="B1057" s="57" t="s">
        <v>237</v>
      </c>
      <c r="C1057" s="57" t="s">
        <v>238</v>
      </c>
      <c r="D1057" s="58">
        <v>165.05</v>
      </c>
      <c r="E1057" s="59">
        <v>41077</v>
      </c>
      <c r="F1057" s="58">
        <v>11834</v>
      </c>
      <c r="G1057" s="58">
        <v>1825</v>
      </c>
      <c r="H1057" s="58">
        <v>2168</v>
      </c>
      <c r="I1057" s="58">
        <v>11448</v>
      </c>
      <c r="J1057" s="58">
        <v>0</v>
      </c>
      <c r="K1057" s="1">
        <f t="shared" si="113"/>
        <v>357828.4</v>
      </c>
      <c r="L1057" s="1">
        <f t="shared" si="114"/>
        <v>2168</v>
      </c>
      <c r="M1057" s="1">
        <f>VLOOKUP(B1057,'[1]Срок Годности'!$A$2:$B$4,2,0)</f>
        <v>1000</v>
      </c>
      <c r="N1057" s="60">
        <f t="shared" si="115"/>
        <v>0</v>
      </c>
      <c r="O1057" s="1" t="str">
        <f t="shared" si="116"/>
        <v>25 2012</v>
      </c>
      <c r="P1057" s="1">
        <f t="shared" si="117"/>
        <v>22</v>
      </c>
      <c r="Q1057" s="1">
        <f t="shared" ca="1" si="118"/>
        <v>4056</v>
      </c>
      <c r="S1057" s="1">
        <f t="shared" si="112"/>
        <v>11448</v>
      </c>
    </row>
    <row r="1058" spans="1:19" x14ac:dyDescent="0.2">
      <c r="A1058" s="57" t="s">
        <v>239</v>
      </c>
      <c r="B1058" s="57" t="s">
        <v>237</v>
      </c>
      <c r="C1058" s="57" t="s">
        <v>238</v>
      </c>
      <c r="D1058" s="58">
        <v>165.05</v>
      </c>
      <c r="E1058" s="59">
        <v>41078</v>
      </c>
      <c r="F1058" s="58">
        <v>11448</v>
      </c>
      <c r="G1058" s="58">
        <v>2321</v>
      </c>
      <c r="H1058" s="58">
        <v>2221</v>
      </c>
      <c r="I1058" s="58">
        <v>11540</v>
      </c>
      <c r="J1058" s="58">
        <v>0</v>
      </c>
      <c r="K1058" s="1">
        <f t="shared" si="113"/>
        <v>366576.05000000005</v>
      </c>
      <c r="L1058" s="1">
        <f t="shared" si="114"/>
        <v>2221</v>
      </c>
      <c r="M1058" s="1">
        <f>VLOOKUP(B1058,'[1]Срок Годности'!$A$2:$B$4,2,0)</f>
        <v>1000</v>
      </c>
      <c r="N1058" s="60">
        <f t="shared" si="115"/>
        <v>2321</v>
      </c>
      <c r="O1058" s="1" t="str">
        <f t="shared" si="116"/>
        <v>25 2012</v>
      </c>
      <c r="P1058" s="1">
        <f t="shared" si="117"/>
        <v>22</v>
      </c>
      <c r="Q1058" s="1">
        <f t="shared" ca="1" si="118"/>
        <v>4055</v>
      </c>
      <c r="S1058" s="1">
        <f t="shared" si="112"/>
        <v>11540</v>
      </c>
    </row>
    <row r="1059" spans="1:19" x14ac:dyDescent="0.2">
      <c r="A1059" s="57" t="s">
        <v>239</v>
      </c>
      <c r="B1059" s="57" t="s">
        <v>237</v>
      </c>
      <c r="C1059" s="57" t="s">
        <v>238</v>
      </c>
      <c r="D1059" s="58">
        <v>165.05</v>
      </c>
      <c r="E1059" s="59">
        <v>41079</v>
      </c>
      <c r="F1059" s="58">
        <v>11540</v>
      </c>
      <c r="G1059" s="58">
        <v>2640</v>
      </c>
      <c r="H1059" s="58">
        <v>1972</v>
      </c>
      <c r="I1059" s="58">
        <v>12138</v>
      </c>
      <c r="J1059" s="58">
        <v>0</v>
      </c>
      <c r="K1059" s="1">
        <f t="shared" si="113"/>
        <v>325478.60000000003</v>
      </c>
      <c r="L1059" s="1">
        <f t="shared" si="114"/>
        <v>1972</v>
      </c>
      <c r="M1059" s="1">
        <f>VLOOKUP(B1059,'[1]Срок Годности'!$A$2:$B$4,2,0)</f>
        <v>1000</v>
      </c>
      <c r="N1059" s="60">
        <f t="shared" si="115"/>
        <v>2640</v>
      </c>
      <c r="O1059" s="1" t="str">
        <f t="shared" si="116"/>
        <v>25 2012</v>
      </c>
      <c r="P1059" s="1">
        <f t="shared" si="117"/>
        <v>22</v>
      </c>
      <c r="Q1059" s="1">
        <f t="shared" ca="1" si="118"/>
        <v>4054</v>
      </c>
      <c r="S1059" s="1">
        <f t="shared" si="112"/>
        <v>12138</v>
      </c>
    </row>
    <row r="1060" spans="1:19" x14ac:dyDescent="0.2">
      <c r="A1060" s="57" t="s">
        <v>239</v>
      </c>
      <c r="B1060" s="57" t="s">
        <v>237</v>
      </c>
      <c r="C1060" s="57" t="s">
        <v>238</v>
      </c>
      <c r="D1060" s="58">
        <v>165.05</v>
      </c>
      <c r="E1060" s="59">
        <v>41080</v>
      </c>
      <c r="F1060" s="58">
        <v>12138</v>
      </c>
      <c r="G1060" s="58">
        <v>3215</v>
      </c>
      <c r="H1060" s="58">
        <v>2197</v>
      </c>
      <c r="I1060" s="58">
        <v>13107</v>
      </c>
      <c r="J1060" s="58">
        <v>0</v>
      </c>
      <c r="K1060" s="1">
        <f t="shared" si="113"/>
        <v>362614.85000000003</v>
      </c>
      <c r="L1060" s="1">
        <f t="shared" si="114"/>
        <v>2197</v>
      </c>
      <c r="M1060" s="1">
        <f>VLOOKUP(B1060,'[1]Срок Годности'!$A$2:$B$4,2,0)</f>
        <v>1000</v>
      </c>
      <c r="N1060" s="60">
        <f t="shared" si="115"/>
        <v>3215</v>
      </c>
      <c r="O1060" s="1" t="str">
        <f t="shared" si="116"/>
        <v>25 2012</v>
      </c>
      <c r="P1060" s="1">
        <f t="shared" si="117"/>
        <v>22</v>
      </c>
      <c r="Q1060" s="1">
        <f t="shared" ca="1" si="118"/>
        <v>4053</v>
      </c>
      <c r="S1060" s="1">
        <f t="shared" si="112"/>
        <v>13107</v>
      </c>
    </row>
    <row r="1061" spans="1:19" x14ac:dyDescent="0.2">
      <c r="A1061" s="57" t="s">
        <v>239</v>
      </c>
      <c r="B1061" s="57" t="s">
        <v>237</v>
      </c>
      <c r="C1061" s="57" t="s">
        <v>238</v>
      </c>
      <c r="D1061" s="58">
        <v>165.05</v>
      </c>
      <c r="E1061" s="59">
        <v>41081</v>
      </c>
      <c r="F1061" s="58">
        <v>13107</v>
      </c>
      <c r="G1061" s="58">
        <v>2327</v>
      </c>
      <c r="H1061" s="58">
        <v>2210</v>
      </c>
      <c r="I1061" s="58">
        <v>13143</v>
      </c>
      <c r="J1061" s="58">
        <v>0</v>
      </c>
      <c r="K1061" s="1">
        <f t="shared" si="113"/>
        <v>364760.5</v>
      </c>
      <c r="L1061" s="1">
        <f t="shared" si="114"/>
        <v>2210</v>
      </c>
      <c r="M1061" s="1">
        <f>VLOOKUP(B1061,'[1]Срок Годности'!$A$2:$B$4,2,0)</f>
        <v>1000</v>
      </c>
      <c r="N1061" s="60">
        <f t="shared" si="115"/>
        <v>2327</v>
      </c>
      <c r="O1061" s="1" t="str">
        <f t="shared" si="116"/>
        <v>25 2012</v>
      </c>
      <c r="P1061" s="1">
        <f t="shared" si="117"/>
        <v>22</v>
      </c>
      <c r="Q1061" s="1">
        <f t="shared" ca="1" si="118"/>
        <v>4052</v>
      </c>
      <c r="S1061" s="1">
        <f t="shared" si="112"/>
        <v>13143</v>
      </c>
    </row>
    <row r="1062" spans="1:19" x14ac:dyDescent="0.2">
      <c r="A1062" s="57" t="s">
        <v>239</v>
      </c>
      <c r="B1062" s="57" t="s">
        <v>237</v>
      </c>
      <c r="C1062" s="57" t="s">
        <v>238</v>
      </c>
      <c r="D1062" s="58">
        <v>165.05</v>
      </c>
      <c r="E1062" s="59">
        <v>41082</v>
      </c>
      <c r="F1062" s="58">
        <v>13143</v>
      </c>
      <c r="G1062" s="58">
        <v>2623</v>
      </c>
      <c r="H1062" s="58">
        <v>2444</v>
      </c>
      <c r="I1062" s="58">
        <v>13313</v>
      </c>
      <c r="J1062" s="58">
        <v>0</v>
      </c>
      <c r="K1062" s="1">
        <f t="shared" si="113"/>
        <v>403382.2</v>
      </c>
      <c r="L1062" s="1">
        <f t="shared" si="114"/>
        <v>2444</v>
      </c>
      <c r="M1062" s="1">
        <f>VLOOKUP(B1062,'[1]Срок Годности'!$A$2:$B$4,2,0)</f>
        <v>1000</v>
      </c>
      <c r="N1062" s="60">
        <f t="shared" si="115"/>
        <v>2623</v>
      </c>
      <c r="O1062" s="1" t="str">
        <f t="shared" si="116"/>
        <v>25 2012</v>
      </c>
      <c r="P1062" s="1">
        <f t="shared" si="117"/>
        <v>22</v>
      </c>
      <c r="Q1062" s="1">
        <f t="shared" ca="1" si="118"/>
        <v>4051</v>
      </c>
      <c r="S1062" s="1">
        <f t="shared" si="112"/>
        <v>13313</v>
      </c>
    </row>
    <row r="1063" spans="1:19" x14ac:dyDescent="0.2">
      <c r="A1063" s="57" t="s">
        <v>239</v>
      </c>
      <c r="B1063" s="57" t="s">
        <v>237</v>
      </c>
      <c r="C1063" s="57" t="s">
        <v>238</v>
      </c>
      <c r="D1063" s="58">
        <v>165.05</v>
      </c>
      <c r="E1063" s="59">
        <v>41083</v>
      </c>
      <c r="F1063" s="58">
        <v>13313</v>
      </c>
      <c r="G1063" s="58">
        <v>2074</v>
      </c>
      <c r="H1063" s="58">
        <v>2571</v>
      </c>
      <c r="I1063" s="58">
        <v>12775</v>
      </c>
      <c r="J1063" s="58">
        <v>0</v>
      </c>
      <c r="K1063" s="1">
        <f t="shared" si="113"/>
        <v>424343.55000000005</v>
      </c>
      <c r="L1063" s="1">
        <f t="shared" si="114"/>
        <v>2571</v>
      </c>
      <c r="M1063" s="1">
        <f>VLOOKUP(B1063,'[1]Срок Годности'!$A$2:$B$4,2,0)</f>
        <v>1000</v>
      </c>
      <c r="N1063" s="60">
        <f t="shared" si="115"/>
        <v>2074</v>
      </c>
      <c r="O1063" s="1" t="str">
        <f t="shared" si="116"/>
        <v>25 2012</v>
      </c>
      <c r="P1063" s="1">
        <f t="shared" si="117"/>
        <v>22</v>
      </c>
      <c r="Q1063" s="1">
        <f t="shared" ca="1" si="118"/>
        <v>4050</v>
      </c>
      <c r="S1063" s="1">
        <f t="shared" si="112"/>
        <v>12775</v>
      </c>
    </row>
    <row r="1064" spans="1:19" x14ac:dyDescent="0.2">
      <c r="A1064" s="57" t="s">
        <v>239</v>
      </c>
      <c r="B1064" s="57" t="s">
        <v>237</v>
      </c>
      <c r="C1064" s="57" t="s">
        <v>238</v>
      </c>
      <c r="D1064" s="58">
        <v>165.05</v>
      </c>
      <c r="E1064" s="59">
        <v>41084</v>
      </c>
      <c r="F1064" s="58">
        <v>12775</v>
      </c>
      <c r="G1064" s="58">
        <v>2818</v>
      </c>
      <c r="H1064" s="58">
        <v>2913</v>
      </c>
      <c r="I1064" s="58">
        <v>12669</v>
      </c>
      <c r="J1064" s="58">
        <v>0</v>
      </c>
      <c r="K1064" s="1">
        <f t="shared" si="113"/>
        <v>480790.65</v>
      </c>
      <c r="L1064" s="1">
        <f t="shared" si="114"/>
        <v>2913</v>
      </c>
      <c r="M1064" s="1">
        <f>VLOOKUP(B1064,'[1]Срок Годности'!$A$2:$B$4,2,0)</f>
        <v>1000</v>
      </c>
      <c r="N1064" s="60">
        <f t="shared" si="115"/>
        <v>0</v>
      </c>
      <c r="O1064" s="1" t="str">
        <f t="shared" si="116"/>
        <v>26 2012</v>
      </c>
      <c r="P1064" s="1">
        <f t="shared" si="117"/>
        <v>22</v>
      </c>
      <c r="Q1064" s="1">
        <f t="shared" ca="1" si="118"/>
        <v>4049</v>
      </c>
      <c r="S1064" s="1">
        <f t="shared" si="112"/>
        <v>12669</v>
      </c>
    </row>
    <row r="1065" spans="1:19" x14ac:dyDescent="0.2">
      <c r="A1065" s="57" t="s">
        <v>239</v>
      </c>
      <c r="B1065" s="57" t="s">
        <v>237</v>
      </c>
      <c r="C1065" s="57" t="s">
        <v>238</v>
      </c>
      <c r="D1065" s="58">
        <v>165.05</v>
      </c>
      <c r="E1065" s="59">
        <v>41085</v>
      </c>
      <c r="F1065" s="58">
        <v>12669</v>
      </c>
      <c r="G1065" s="58">
        <v>3088</v>
      </c>
      <c r="H1065" s="58">
        <v>2836</v>
      </c>
      <c r="I1065" s="58">
        <v>12863</v>
      </c>
      <c r="J1065" s="58">
        <v>0</v>
      </c>
      <c r="K1065" s="1">
        <f t="shared" si="113"/>
        <v>468081.80000000005</v>
      </c>
      <c r="L1065" s="1">
        <f t="shared" si="114"/>
        <v>2836</v>
      </c>
      <c r="M1065" s="1">
        <f>VLOOKUP(B1065,'[1]Срок Годности'!$A$2:$B$4,2,0)</f>
        <v>1000</v>
      </c>
      <c r="N1065" s="60">
        <f t="shared" si="115"/>
        <v>3088</v>
      </c>
      <c r="O1065" s="1" t="str">
        <f t="shared" si="116"/>
        <v>26 2012</v>
      </c>
      <c r="P1065" s="1">
        <f t="shared" si="117"/>
        <v>22</v>
      </c>
      <c r="Q1065" s="1">
        <f t="shared" ca="1" si="118"/>
        <v>4048</v>
      </c>
      <c r="S1065" s="1">
        <f t="shared" si="112"/>
        <v>12863</v>
      </c>
    </row>
    <row r="1066" spans="1:19" x14ac:dyDescent="0.2">
      <c r="A1066" s="57" t="s">
        <v>239</v>
      </c>
      <c r="B1066" s="57" t="s">
        <v>237</v>
      </c>
      <c r="C1066" s="57" t="s">
        <v>238</v>
      </c>
      <c r="D1066" s="58">
        <v>165.05</v>
      </c>
      <c r="E1066" s="59">
        <v>41086</v>
      </c>
      <c r="F1066" s="58">
        <v>12863</v>
      </c>
      <c r="G1066" s="58">
        <v>1738</v>
      </c>
      <c r="H1066" s="58">
        <v>2566</v>
      </c>
      <c r="I1066" s="58">
        <v>11994</v>
      </c>
      <c r="J1066" s="58">
        <v>0</v>
      </c>
      <c r="K1066" s="1">
        <f t="shared" si="113"/>
        <v>423518.30000000005</v>
      </c>
      <c r="L1066" s="1">
        <f t="shared" si="114"/>
        <v>2566</v>
      </c>
      <c r="M1066" s="1">
        <f>VLOOKUP(B1066,'[1]Срок Годности'!$A$2:$B$4,2,0)</f>
        <v>1000</v>
      </c>
      <c r="N1066" s="60">
        <f t="shared" si="115"/>
        <v>1738</v>
      </c>
      <c r="O1066" s="1" t="str">
        <f t="shared" si="116"/>
        <v>26 2012</v>
      </c>
      <c r="P1066" s="1">
        <f t="shared" si="117"/>
        <v>22</v>
      </c>
      <c r="Q1066" s="1">
        <f t="shared" ca="1" si="118"/>
        <v>4047</v>
      </c>
      <c r="S1066" s="1">
        <f t="shared" si="112"/>
        <v>11994</v>
      </c>
    </row>
    <row r="1067" spans="1:19" x14ac:dyDescent="0.2">
      <c r="A1067" s="57" t="s">
        <v>239</v>
      </c>
      <c r="B1067" s="57" t="s">
        <v>237</v>
      </c>
      <c r="C1067" s="57" t="s">
        <v>238</v>
      </c>
      <c r="D1067" s="58">
        <v>165.05</v>
      </c>
      <c r="E1067" s="59">
        <v>41087</v>
      </c>
      <c r="F1067" s="58">
        <v>11994</v>
      </c>
      <c r="G1067" s="58">
        <v>3023</v>
      </c>
      <c r="H1067" s="58">
        <v>2497</v>
      </c>
      <c r="I1067" s="58">
        <v>12491</v>
      </c>
      <c r="J1067" s="58">
        <v>1</v>
      </c>
      <c r="K1067" s="1">
        <f t="shared" si="113"/>
        <v>412129.85000000003</v>
      </c>
      <c r="L1067" s="1">
        <f t="shared" si="114"/>
        <v>2497</v>
      </c>
      <c r="M1067" s="1">
        <f>VLOOKUP(B1067,'[1]Срок Годности'!$A$2:$B$4,2,0)</f>
        <v>1000</v>
      </c>
      <c r="N1067" s="60">
        <f t="shared" si="115"/>
        <v>3023</v>
      </c>
      <c r="O1067" s="1" t="str">
        <f t="shared" si="116"/>
        <v>26 2012</v>
      </c>
      <c r="P1067" s="1">
        <f t="shared" si="117"/>
        <v>22</v>
      </c>
      <c r="Q1067" s="1">
        <f t="shared" ca="1" si="118"/>
        <v>4046</v>
      </c>
      <c r="S1067" s="1">
        <f t="shared" si="112"/>
        <v>12490</v>
      </c>
    </row>
    <row r="1068" spans="1:19" x14ac:dyDescent="0.2">
      <c r="A1068" s="57" t="s">
        <v>239</v>
      </c>
      <c r="B1068" s="57" t="s">
        <v>237</v>
      </c>
      <c r="C1068" s="57" t="s">
        <v>238</v>
      </c>
      <c r="D1068" s="58">
        <v>165.05</v>
      </c>
      <c r="E1068" s="59">
        <v>41088</v>
      </c>
      <c r="F1068" s="58">
        <v>12491</v>
      </c>
      <c r="G1068" s="58">
        <v>1</v>
      </c>
      <c r="H1068" s="58">
        <v>2752</v>
      </c>
      <c r="I1068" s="58">
        <v>9722</v>
      </c>
      <c r="J1068" s="58">
        <v>0</v>
      </c>
      <c r="K1068" s="1">
        <f t="shared" si="113"/>
        <v>454217.60000000003</v>
      </c>
      <c r="L1068" s="1">
        <f t="shared" si="114"/>
        <v>2752</v>
      </c>
      <c r="M1068" s="1">
        <f>VLOOKUP(B1068,'[1]Срок Годности'!$A$2:$B$4,2,0)</f>
        <v>1000</v>
      </c>
      <c r="N1068" s="60">
        <f t="shared" si="115"/>
        <v>1</v>
      </c>
      <c r="O1068" s="1" t="str">
        <f t="shared" si="116"/>
        <v>26 2012</v>
      </c>
      <c r="P1068" s="1">
        <f t="shared" si="117"/>
        <v>22</v>
      </c>
      <c r="Q1068" s="1">
        <f t="shared" ca="1" si="118"/>
        <v>4045</v>
      </c>
      <c r="S1068" s="1">
        <f t="shared" si="112"/>
        <v>9722</v>
      </c>
    </row>
    <row r="1069" spans="1:19" x14ac:dyDescent="0.2">
      <c r="A1069" s="57" t="s">
        <v>239</v>
      </c>
      <c r="B1069" s="57" t="s">
        <v>237</v>
      </c>
      <c r="C1069" s="57" t="s">
        <v>238</v>
      </c>
      <c r="D1069" s="58">
        <v>165.05</v>
      </c>
      <c r="E1069" s="59">
        <v>41089</v>
      </c>
      <c r="F1069" s="58">
        <v>9722</v>
      </c>
      <c r="G1069" s="58">
        <v>0</v>
      </c>
      <c r="H1069" s="58">
        <v>2580</v>
      </c>
      <c r="I1069" s="58">
        <v>7113</v>
      </c>
      <c r="J1069" s="58">
        <v>0</v>
      </c>
      <c r="K1069" s="1">
        <f t="shared" si="113"/>
        <v>425829.00000000006</v>
      </c>
      <c r="L1069" s="1">
        <f t="shared" si="114"/>
        <v>2580</v>
      </c>
      <c r="M1069" s="1">
        <f>VLOOKUP(B1069,'[1]Срок Годности'!$A$2:$B$4,2,0)</f>
        <v>1000</v>
      </c>
      <c r="N1069" s="60">
        <f t="shared" si="115"/>
        <v>0</v>
      </c>
      <c r="O1069" s="1" t="str">
        <f t="shared" si="116"/>
        <v>26 2012</v>
      </c>
      <c r="P1069" s="1">
        <f t="shared" si="117"/>
        <v>22</v>
      </c>
      <c r="Q1069" s="1">
        <f t="shared" ca="1" si="118"/>
        <v>4044</v>
      </c>
      <c r="S1069" s="1">
        <f t="shared" si="112"/>
        <v>7113</v>
      </c>
    </row>
    <row r="1070" spans="1:19" x14ac:dyDescent="0.2">
      <c r="A1070" s="57" t="s">
        <v>239</v>
      </c>
      <c r="B1070" s="57" t="s">
        <v>237</v>
      </c>
      <c r="C1070" s="57" t="s">
        <v>238</v>
      </c>
      <c r="D1070" s="58">
        <v>165.05</v>
      </c>
      <c r="E1070" s="59">
        <v>41090</v>
      </c>
      <c r="F1070" s="58">
        <v>7113</v>
      </c>
      <c r="G1070" s="58">
        <v>0</v>
      </c>
      <c r="H1070" s="58">
        <v>1995</v>
      </c>
      <c r="I1070" s="58">
        <v>5128</v>
      </c>
      <c r="J1070" s="58">
        <v>0</v>
      </c>
      <c r="K1070" s="1">
        <f t="shared" si="113"/>
        <v>329274.75</v>
      </c>
      <c r="L1070" s="1">
        <f t="shared" si="114"/>
        <v>1995</v>
      </c>
      <c r="M1070" s="1">
        <f>VLOOKUP(B1070,'[1]Срок Годности'!$A$2:$B$4,2,0)</f>
        <v>1000</v>
      </c>
      <c r="N1070" s="60">
        <f t="shared" si="115"/>
        <v>0</v>
      </c>
      <c r="O1070" s="1" t="str">
        <f t="shared" si="116"/>
        <v>26 2012</v>
      </c>
      <c r="P1070" s="1">
        <f t="shared" si="117"/>
        <v>22</v>
      </c>
      <c r="Q1070" s="1">
        <f t="shared" ca="1" si="118"/>
        <v>4043</v>
      </c>
      <c r="S1070" s="1">
        <f t="shared" si="112"/>
        <v>5128</v>
      </c>
    </row>
    <row r="1071" spans="1:19" x14ac:dyDescent="0.2">
      <c r="A1071" s="57" t="s">
        <v>239</v>
      </c>
      <c r="B1071" s="57" t="s">
        <v>237</v>
      </c>
      <c r="C1071" s="57" t="s">
        <v>238</v>
      </c>
      <c r="D1071" s="58">
        <v>165.05</v>
      </c>
      <c r="E1071" s="59">
        <v>41091</v>
      </c>
      <c r="F1071" s="58">
        <v>5128</v>
      </c>
      <c r="G1071" s="58">
        <v>3646</v>
      </c>
      <c r="H1071" s="58">
        <v>1966</v>
      </c>
      <c r="I1071" s="58">
        <v>6805</v>
      </c>
      <c r="J1071" s="58">
        <v>0</v>
      </c>
      <c r="K1071" s="1">
        <f t="shared" si="113"/>
        <v>324488.30000000005</v>
      </c>
      <c r="L1071" s="1">
        <f t="shared" si="114"/>
        <v>1966</v>
      </c>
      <c r="M1071" s="1">
        <f>VLOOKUP(B1071,'[1]Срок Годности'!$A$2:$B$4,2,0)</f>
        <v>1000</v>
      </c>
      <c r="N1071" s="60">
        <f t="shared" si="115"/>
        <v>0</v>
      </c>
      <c r="O1071" s="1" t="str">
        <f t="shared" si="116"/>
        <v>27 2012</v>
      </c>
      <c r="P1071" s="1">
        <f t="shared" si="117"/>
        <v>22</v>
      </c>
      <c r="Q1071" s="1">
        <f t="shared" ca="1" si="118"/>
        <v>4042</v>
      </c>
      <c r="S1071" s="1">
        <f t="shared" si="112"/>
        <v>6805</v>
      </c>
    </row>
    <row r="1072" spans="1:19" x14ac:dyDescent="0.2">
      <c r="A1072" s="57" t="s">
        <v>239</v>
      </c>
      <c r="B1072" s="57" t="s">
        <v>237</v>
      </c>
      <c r="C1072" s="57" t="s">
        <v>238</v>
      </c>
      <c r="D1072" s="58">
        <v>165.05</v>
      </c>
      <c r="E1072" s="59">
        <v>41092</v>
      </c>
      <c r="F1072" s="58">
        <v>6805</v>
      </c>
      <c r="G1072" s="58">
        <v>2</v>
      </c>
      <c r="H1072" s="58">
        <v>1847</v>
      </c>
      <c r="I1072" s="58">
        <v>4971</v>
      </c>
      <c r="J1072" s="58">
        <v>1</v>
      </c>
      <c r="K1072" s="1">
        <f t="shared" si="113"/>
        <v>304847.35000000003</v>
      </c>
      <c r="L1072" s="1">
        <f t="shared" si="114"/>
        <v>1847</v>
      </c>
      <c r="M1072" s="1">
        <f>VLOOKUP(B1072,'[1]Срок Годности'!$A$2:$B$4,2,0)</f>
        <v>1000</v>
      </c>
      <c r="N1072" s="60">
        <f t="shared" si="115"/>
        <v>2</v>
      </c>
      <c r="O1072" s="1" t="str">
        <f t="shared" si="116"/>
        <v>27 2012</v>
      </c>
      <c r="P1072" s="1">
        <f t="shared" si="117"/>
        <v>22</v>
      </c>
      <c r="Q1072" s="1">
        <f t="shared" ca="1" si="118"/>
        <v>4041</v>
      </c>
      <c r="S1072" s="1">
        <f t="shared" si="112"/>
        <v>4970</v>
      </c>
    </row>
    <row r="1073" spans="1:19" x14ac:dyDescent="0.2">
      <c r="A1073" s="57" t="s">
        <v>239</v>
      </c>
      <c r="B1073" s="57" t="s">
        <v>237</v>
      </c>
      <c r="C1073" s="57" t="s">
        <v>238</v>
      </c>
      <c r="D1073" s="58">
        <v>165.05</v>
      </c>
      <c r="E1073" s="59">
        <v>41093</v>
      </c>
      <c r="F1073" s="58">
        <v>4971</v>
      </c>
      <c r="G1073" s="58">
        <v>117</v>
      </c>
      <c r="H1073" s="58">
        <v>1284</v>
      </c>
      <c r="I1073" s="58">
        <v>3746</v>
      </c>
      <c r="J1073" s="58">
        <v>0</v>
      </c>
      <c r="K1073" s="1">
        <f t="shared" si="113"/>
        <v>211924.2</v>
      </c>
      <c r="L1073" s="1">
        <f t="shared" si="114"/>
        <v>1284</v>
      </c>
      <c r="M1073" s="1">
        <f>VLOOKUP(B1073,'[1]Срок Годности'!$A$2:$B$4,2,0)</f>
        <v>1000</v>
      </c>
      <c r="N1073" s="60">
        <f t="shared" si="115"/>
        <v>117</v>
      </c>
      <c r="O1073" s="1" t="str">
        <f t="shared" si="116"/>
        <v>27 2012</v>
      </c>
      <c r="P1073" s="1">
        <f t="shared" si="117"/>
        <v>22</v>
      </c>
      <c r="Q1073" s="1">
        <f t="shared" ca="1" si="118"/>
        <v>4040</v>
      </c>
      <c r="S1073" s="1">
        <f t="shared" si="112"/>
        <v>3746</v>
      </c>
    </row>
    <row r="1074" spans="1:19" x14ac:dyDescent="0.2">
      <c r="A1074" s="57" t="s">
        <v>239</v>
      </c>
      <c r="B1074" s="57" t="s">
        <v>237</v>
      </c>
      <c r="C1074" s="57" t="s">
        <v>238</v>
      </c>
      <c r="D1074" s="58">
        <v>165.05</v>
      </c>
      <c r="E1074" s="59">
        <v>41094</v>
      </c>
      <c r="F1074" s="58">
        <v>3746</v>
      </c>
      <c r="G1074" s="58">
        <v>1</v>
      </c>
      <c r="H1074" s="58">
        <v>857</v>
      </c>
      <c r="I1074" s="58">
        <v>2870</v>
      </c>
      <c r="J1074" s="58">
        <v>1</v>
      </c>
      <c r="K1074" s="1">
        <f t="shared" si="113"/>
        <v>141447.85</v>
      </c>
      <c r="L1074" s="1" t="str">
        <f t="shared" si="114"/>
        <v/>
      </c>
      <c r="M1074" s="1">
        <f>VLOOKUP(B1074,'[1]Срок Годности'!$A$2:$B$4,2,0)</f>
        <v>1000</v>
      </c>
      <c r="N1074" s="60">
        <f t="shared" si="115"/>
        <v>1</v>
      </c>
      <c r="O1074" s="1" t="str">
        <f t="shared" si="116"/>
        <v>27 2012</v>
      </c>
      <c r="P1074" s="1">
        <f t="shared" si="117"/>
        <v>22</v>
      </c>
      <c r="Q1074" s="1">
        <f t="shared" ca="1" si="118"/>
        <v>4039</v>
      </c>
      <c r="S1074" s="1">
        <f t="shared" si="112"/>
        <v>2869</v>
      </c>
    </row>
    <row r="1075" spans="1:19" x14ac:dyDescent="0.2">
      <c r="A1075" s="57" t="s">
        <v>239</v>
      </c>
      <c r="B1075" s="57" t="s">
        <v>237</v>
      </c>
      <c r="C1075" s="57" t="s">
        <v>238</v>
      </c>
      <c r="D1075" s="58">
        <v>165.05</v>
      </c>
      <c r="E1075" s="59">
        <v>41095</v>
      </c>
      <c r="F1075" s="58">
        <v>2870</v>
      </c>
      <c r="G1075" s="58">
        <v>3927</v>
      </c>
      <c r="H1075" s="58">
        <v>1062</v>
      </c>
      <c r="I1075" s="58">
        <v>5679</v>
      </c>
      <c r="J1075" s="58">
        <v>0</v>
      </c>
      <c r="K1075" s="1">
        <f t="shared" si="113"/>
        <v>175283.1</v>
      </c>
      <c r="L1075" s="1">
        <f t="shared" si="114"/>
        <v>1062</v>
      </c>
      <c r="M1075" s="1">
        <f>VLOOKUP(B1075,'[1]Срок Годности'!$A$2:$B$4,2,0)</f>
        <v>1000</v>
      </c>
      <c r="N1075" s="60">
        <f t="shared" si="115"/>
        <v>3927</v>
      </c>
      <c r="O1075" s="1" t="str">
        <f t="shared" si="116"/>
        <v>27 2012</v>
      </c>
      <c r="P1075" s="1">
        <f t="shared" si="117"/>
        <v>22</v>
      </c>
      <c r="Q1075" s="1">
        <f t="shared" ca="1" si="118"/>
        <v>4038</v>
      </c>
      <c r="S1075" s="1">
        <f t="shared" si="112"/>
        <v>5679</v>
      </c>
    </row>
    <row r="1076" spans="1:19" x14ac:dyDescent="0.2">
      <c r="A1076" s="57" t="s">
        <v>239</v>
      </c>
      <c r="B1076" s="57" t="s">
        <v>237</v>
      </c>
      <c r="C1076" s="57" t="s">
        <v>238</v>
      </c>
      <c r="D1076" s="58">
        <v>165.05</v>
      </c>
      <c r="E1076" s="59">
        <v>41096</v>
      </c>
      <c r="F1076" s="58">
        <v>5679</v>
      </c>
      <c r="G1076" s="58">
        <v>3610</v>
      </c>
      <c r="H1076" s="58">
        <v>2211</v>
      </c>
      <c r="I1076" s="58">
        <v>7039</v>
      </c>
      <c r="J1076" s="58">
        <v>0</v>
      </c>
      <c r="K1076" s="1">
        <f t="shared" si="113"/>
        <v>364925.55000000005</v>
      </c>
      <c r="L1076" s="1">
        <f t="shared" si="114"/>
        <v>2211</v>
      </c>
      <c r="M1076" s="1">
        <f>VLOOKUP(B1076,'[1]Срок Годности'!$A$2:$B$4,2,0)</f>
        <v>1000</v>
      </c>
      <c r="N1076" s="60">
        <f t="shared" si="115"/>
        <v>3610</v>
      </c>
      <c r="O1076" s="1" t="str">
        <f t="shared" si="116"/>
        <v>27 2012</v>
      </c>
      <c r="P1076" s="1">
        <f t="shared" si="117"/>
        <v>22</v>
      </c>
      <c r="Q1076" s="1">
        <f t="shared" ca="1" si="118"/>
        <v>4037</v>
      </c>
      <c r="S1076" s="1">
        <f t="shared" si="112"/>
        <v>7039</v>
      </c>
    </row>
    <row r="1077" spans="1:19" x14ac:dyDescent="0.2">
      <c r="A1077" s="57" t="s">
        <v>239</v>
      </c>
      <c r="B1077" s="57" t="s">
        <v>237</v>
      </c>
      <c r="C1077" s="57" t="s">
        <v>238</v>
      </c>
      <c r="D1077" s="58">
        <v>165.05</v>
      </c>
      <c r="E1077" s="59">
        <v>41097</v>
      </c>
      <c r="F1077" s="58">
        <v>7039</v>
      </c>
      <c r="G1077" s="58">
        <v>6417</v>
      </c>
      <c r="H1077" s="58">
        <v>3052</v>
      </c>
      <c r="I1077" s="58">
        <v>10336</v>
      </c>
      <c r="J1077" s="58">
        <v>0</v>
      </c>
      <c r="K1077" s="1">
        <f t="shared" si="113"/>
        <v>503732.60000000003</v>
      </c>
      <c r="L1077" s="1">
        <f t="shared" si="114"/>
        <v>3052</v>
      </c>
      <c r="M1077" s="1">
        <f>VLOOKUP(B1077,'[1]Срок Годности'!$A$2:$B$4,2,0)</f>
        <v>1000</v>
      </c>
      <c r="N1077" s="60">
        <f t="shared" si="115"/>
        <v>6417</v>
      </c>
      <c r="O1077" s="1" t="str">
        <f t="shared" si="116"/>
        <v>27 2012</v>
      </c>
      <c r="P1077" s="1">
        <f t="shared" si="117"/>
        <v>22</v>
      </c>
      <c r="Q1077" s="1">
        <f t="shared" ca="1" si="118"/>
        <v>4036</v>
      </c>
      <c r="S1077" s="1">
        <f t="shared" si="112"/>
        <v>10336</v>
      </c>
    </row>
    <row r="1078" spans="1:19" x14ac:dyDescent="0.2">
      <c r="A1078" s="57" t="s">
        <v>239</v>
      </c>
      <c r="B1078" s="57" t="s">
        <v>237</v>
      </c>
      <c r="C1078" s="57" t="s">
        <v>238</v>
      </c>
      <c r="D1078" s="58">
        <v>165.05</v>
      </c>
      <c r="E1078" s="59">
        <v>41098</v>
      </c>
      <c r="F1078" s="58">
        <v>10336</v>
      </c>
      <c r="G1078" s="58">
        <v>6318</v>
      </c>
      <c r="H1078" s="58">
        <v>3875</v>
      </c>
      <c r="I1078" s="58">
        <v>12591</v>
      </c>
      <c r="J1078" s="58">
        <v>3</v>
      </c>
      <c r="K1078" s="1">
        <f t="shared" si="113"/>
        <v>639568.75</v>
      </c>
      <c r="L1078" s="1">
        <f t="shared" si="114"/>
        <v>3875</v>
      </c>
      <c r="M1078" s="1">
        <f>VLOOKUP(B1078,'[1]Срок Годности'!$A$2:$B$4,2,0)</f>
        <v>1000</v>
      </c>
      <c r="N1078" s="60">
        <f t="shared" si="115"/>
        <v>0</v>
      </c>
      <c r="O1078" s="1" t="str">
        <f t="shared" si="116"/>
        <v>28 2012</v>
      </c>
      <c r="P1078" s="1">
        <f t="shared" si="117"/>
        <v>22</v>
      </c>
      <c r="Q1078" s="1">
        <f t="shared" ca="1" si="118"/>
        <v>4035</v>
      </c>
      <c r="S1078" s="1">
        <f t="shared" si="112"/>
        <v>12588</v>
      </c>
    </row>
    <row r="1079" spans="1:19" x14ac:dyDescent="0.2">
      <c r="A1079" s="57" t="s">
        <v>239</v>
      </c>
      <c r="B1079" s="57" t="s">
        <v>237</v>
      </c>
      <c r="C1079" s="57" t="s">
        <v>238</v>
      </c>
      <c r="D1079" s="58">
        <v>165.05</v>
      </c>
      <c r="E1079" s="59">
        <v>41099</v>
      </c>
      <c r="F1079" s="58">
        <v>12591</v>
      </c>
      <c r="G1079" s="58">
        <v>2894</v>
      </c>
      <c r="H1079" s="58">
        <v>4307</v>
      </c>
      <c r="I1079" s="58">
        <v>11111</v>
      </c>
      <c r="J1079" s="58">
        <v>0</v>
      </c>
      <c r="K1079" s="1">
        <f t="shared" si="113"/>
        <v>710870.35000000009</v>
      </c>
      <c r="L1079" s="1">
        <f t="shared" si="114"/>
        <v>4307</v>
      </c>
      <c r="M1079" s="1">
        <f>VLOOKUP(B1079,'[1]Срок Годности'!$A$2:$B$4,2,0)</f>
        <v>1000</v>
      </c>
      <c r="N1079" s="60">
        <f t="shared" si="115"/>
        <v>2894</v>
      </c>
      <c r="O1079" s="1" t="str">
        <f t="shared" si="116"/>
        <v>28 2012</v>
      </c>
      <c r="P1079" s="1">
        <f t="shared" si="117"/>
        <v>22</v>
      </c>
      <c r="Q1079" s="1">
        <f t="shared" ca="1" si="118"/>
        <v>4034</v>
      </c>
      <c r="S1079" s="1">
        <f t="shared" si="112"/>
        <v>11111</v>
      </c>
    </row>
    <row r="1080" spans="1:19" x14ac:dyDescent="0.2">
      <c r="A1080" s="57" t="s">
        <v>239</v>
      </c>
      <c r="B1080" s="57" t="s">
        <v>237</v>
      </c>
      <c r="C1080" s="57" t="s">
        <v>238</v>
      </c>
      <c r="D1080" s="58">
        <v>165.05</v>
      </c>
      <c r="E1080" s="59">
        <v>41100</v>
      </c>
      <c r="F1080" s="58">
        <v>11111</v>
      </c>
      <c r="G1080" s="58">
        <v>3575</v>
      </c>
      <c r="H1080" s="58">
        <v>3383</v>
      </c>
      <c r="I1080" s="58">
        <v>11154</v>
      </c>
      <c r="J1080" s="58">
        <v>0</v>
      </c>
      <c r="K1080" s="1">
        <f t="shared" si="113"/>
        <v>558364.15</v>
      </c>
      <c r="L1080" s="1">
        <f t="shared" si="114"/>
        <v>3383</v>
      </c>
      <c r="M1080" s="1">
        <f>VLOOKUP(B1080,'[1]Срок Годности'!$A$2:$B$4,2,0)</f>
        <v>1000</v>
      </c>
      <c r="N1080" s="60">
        <f t="shared" si="115"/>
        <v>3575</v>
      </c>
      <c r="O1080" s="1" t="str">
        <f t="shared" si="116"/>
        <v>28 2012</v>
      </c>
      <c r="P1080" s="1">
        <f t="shared" si="117"/>
        <v>22</v>
      </c>
      <c r="Q1080" s="1">
        <f t="shared" ca="1" si="118"/>
        <v>4033</v>
      </c>
      <c r="S1080" s="1">
        <f t="shared" si="112"/>
        <v>11154</v>
      </c>
    </row>
    <row r="1081" spans="1:19" x14ac:dyDescent="0.2">
      <c r="A1081" s="57" t="s">
        <v>239</v>
      </c>
      <c r="B1081" s="57" t="s">
        <v>237</v>
      </c>
      <c r="C1081" s="57" t="s">
        <v>238</v>
      </c>
      <c r="D1081" s="58">
        <v>165.05</v>
      </c>
      <c r="E1081" s="59">
        <v>41101</v>
      </c>
      <c r="F1081" s="58">
        <v>11154</v>
      </c>
      <c r="G1081" s="58">
        <v>506</v>
      </c>
      <c r="H1081" s="58">
        <v>3090</v>
      </c>
      <c r="I1081" s="58">
        <v>8485</v>
      </c>
      <c r="J1081" s="58">
        <v>0</v>
      </c>
      <c r="K1081" s="1">
        <f t="shared" si="113"/>
        <v>510004.50000000006</v>
      </c>
      <c r="L1081" s="1">
        <f t="shared" si="114"/>
        <v>3090</v>
      </c>
      <c r="M1081" s="1">
        <f>VLOOKUP(B1081,'[1]Срок Годности'!$A$2:$B$4,2,0)</f>
        <v>1000</v>
      </c>
      <c r="N1081" s="60">
        <f t="shared" si="115"/>
        <v>506</v>
      </c>
      <c r="O1081" s="1" t="str">
        <f t="shared" si="116"/>
        <v>28 2012</v>
      </c>
      <c r="P1081" s="1">
        <f t="shared" si="117"/>
        <v>22</v>
      </c>
      <c r="Q1081" s="1">
        <f t="shared" ca="1" si="118"/>
        <v>4032</v>
      </c>
      <c r="S1081" s="1">
        <f t="shared" si="112"/>
        <v>8485</v>
      </c>
    </row>
    <row r="1082" spans="1:19" x14ac:dyDescent="0.2">
      <c r="A1082" s="57" t="s">
        <v>239</v>
      </c>
      <c r="B1082" s="57" t="s">
        <v>237</v>
      </c>
      <c r="C1082" s="57" t="s">
        <v>238</v>
      </c>
      <c r="D1082" s="58">
        <v>165.05</v>
      </c>
      <c r="E1082" s="59">
        <v>41102</v>
      </c>
      <c r="F1082" s="58">
        <v>8485</v>
      </c>
      <c r="G1082" s="58">
        <v>69</v>
      </c>
      <c r="H1082" s="58">
        <v>2257</v>
      </c>
      <c r="I1082" s="58">
        <v>6247</v>
      </c>
      <c r="J1082" s="58">
        <v>0</v>
      </c>
      <c r="K1082" s="1">
        <f t="shared" si="113"/>
        <v>372517.85000000003</v>
      </c>
      <c r="L1082" s="1">
        <f t="shared" si="114"/>
        <v>2257</v>
      </c>
      <c r="M1082" s="1">
        <f>VLOOKUP(B1082,'[1]Срок Годности'!$A$2:$B$4,2,0)</f>
        <v>1000</v>
      </c>
      <c r="N1082" s="60">
        <f t="shared" si="115"/>
        <v>69</v>
      </c>
      <c r="O1082" s="1" t="str">
        <f t="shared" si="116"/>
        <v>28 2012</v>
      </c>
      <c r="P1082" s="1">
        <f t="shared" si="117"/>
        <v>22</v>
      </c>
      <c r="Q1082" s="1">
        <f t="shared" ca="1" si="118"/>
        <v>4031</v>
      </c>
      <c r="S1082" s="1">
        <f t="shared" si="112"/>
        <v>6247</v>
      </c>
    </row>
    <row r="1083" spans="1:19" x14ac:dyDescent="0.2">
      <c r="A1083" s="57" t="s">
        <v>239</v>
      </c>
      <c r="B1083" s="57" t="s">
        <v>237</v>
      </c>
      <c r="C1083" s="57" t="s">
        <v>238</v>
      </c>
      <c r="D1083" s="58">
        <v>165.05</v>
      </c>
      <c r="E1083" s="59">
        <v>41103</v>
      </c>
      <c r="F1083" s="58">
        <v>6247</v>
      </c>
      <c r="G1083" s="58">
        <v>-15</v>
      </c>
      <c r="H1083" s="58">
        <v>1644</v>
      </c>
      <c r="I1083" s="58">
        <v>4605</v>
      </c>
      <c r="J1083" s="58">
        <v>0</v>
      </c>
      <c r="K1083" s="1">
        <f t="shared" si="113"/>
        <v>271342.2</v>
      </c>
      <c r="L1083" s="1">
        <f t="shared" si="114"/>
        <v>1644</v>
      </c>
      <c r="M1083" s="1">
        <f>VLOOKUP(B1083,'[1]Срок Годности'!$A$2:$B$4,2,0)</f>
        <v>1000</v>
      </c>
      <c r="N1083" s="60">
        <f t="shared" si="115"/>
        <v>-15</v>
      </c>
      <c r="O1083" s="1" t="str">
        <f t="shared" si="116"/>
        <v>28 2012</v>
      </c>
      <c r="P1083" s="1">
        <f t="shared" si="117"/>
        <v>22</v>
      </c>
      <c r="Q1083" s="1">
        <f t="shared" ca="1" si="118"/>
        <v>4030</v>
      </c>
      <c r="S1083" s="1">
        <f t="shared" si="112"/>
        <v>4605</v>
      </c>
    </row>
    <row r="1084" spans="1:19" x14ac:dyDescent="0.2">
      <c r="A1084" s="57" t="s">
        <v>239</v>
      </c>
      <c r="B1084" s="57" t="s">
        <v>237</v>
      </c>
      <c r="C1084" s="57" t="s">
        <v>238</v>
      </c>
      <c r="D1084" s="58">
        <v>165.05</v>
      </c>
      <c r="E1084" s="59">
        <v>41104</v>
      </c>
      <c r="F1084" s="58">
        <v>4605</v>
      </c>
      <c r="G1084" s="58">
        <v>4730</v>
      </c>
      <c r="H1084" s="58">
        <v>1223</v>
      </c>
      <c r="I1084" s="58">
        <v>8108</v>
      </c>
      <c r="J1084" s="58">
        <v>0</v>
      </c>
      <c r="K1084" s="1">
        <f t="shared" si="113"/>
        <v>201856.15000000002</v>
      </c>
      <c r="L1084" s="1">
        <f t="shared" si="114"/>
        <v>1223</v>
      </c>
      <c r="M1084" s="1">
        <f>VLOOKUP(B1084,'[1]Срок Годности'!$A$2:$B$4,2,0)</f>
        <v>1000</v>
      </c>
      <c r="N1084" s="60">
        <f t="shared" si="115"/>
        <v>4730</v>
      </c>
      <c r="O1084" s="1" t="str">
        <f t="shared" si="116"/>
        <v>28 2012</v>
      </c>
      <c r="P1084" s="1">
        <f t="shared" si="117"/>
        <v>22</v>
      </c>
      <c r="Q1084" s="1">
        <f t="shared" ca="1" si="118"/>
        <v>4029</v>
      </c>
      <c r="S1084" s="1">
        <f t="shared" si="112"/>
        <v>8108</v>
      </c>
    </row>
    <row r="1085" spans="1:19" x14ac:dyDescent="0.2">
      <c r="A1085" s="57" t="s">
        <v>239</v>
      </c>
      <c r="B1085" s="57" t="s">
        <v>237</v>
      </c>
      <c r="C1085" s="57" t="s">
        <v>238</v>
      </c>
      <c r="D1085" s="58">
        <v>165.05</v>
      </c>
      <c r="E1085" s="59">
        <v>41105</v>
      </c>
      <c r="F1085" s="58">
        <v>8108</v>
      </c>
      <c r="G1085" s="58">
        <v>1855</v>
      </c>
      <c r="H1085" s="58">
        <v>2107</v>
      </c>
      <c r="I1085" s="58">
        <v>7833</v>
      </c>
      <c r="J1085" s="58">
        <v>0</v>
      </c>
      <c r="K1085" s="1">
        <f t="shared" si="113"/>
        <v>347760.35000000003</v>
      </c>
      <c r="L1085" s="1">
        <f t="shared" si="114"/>
        <v>2107</v>
      </c>
      <c r="M1085" s="1">
        <f>VLOOKUP(B1085,'[1]Срок Годности'!$A$2:$B$4,2,0)</f>
        <v>1000</v>
      </c>
      <c r="N1085" s="60">
        <f t="shared" si="115"/>
        <v>0</v>
      </c>
      <c r="O1085" s="1" t="str">
        <f t="shared" si="116"/>
        <v>29 2012</v>
      </c>
      <c r="P1085" s="1">
        <f t="shared" si="117"/>
        <v>22</v>
      </c>
      <c r="Q1085" s="1">
        <f t="shared" ca="1" si="118"/>
        <v>4028</v>
      </c>
      <c r="S1085" s="1">
        <f t="shared" si="112"/>
        <v>7833</v>
      </c>
    </row>
    <row r="1086" spans="1:19" x14ac:dyDescent="0.2">
      <c r="A1086" s="57" t="s">
        <v>239</v>
      </c>
      <c r="B1086" s="57" t="s">
        <v>237</v>
      </c>
      <c r="C1086" s="57" t="s">
        <v>238</v>
      </c>
      <c r="D1086" s="58">
        <v>165.05</v>
      </c>
      <c r="E1086" s="59">
        <v>41106</v>
      </c>
      <c r="F1086" s="58">
        <v>7833</v>
      </c>
      <c r="G1086" s="58">
        <v>407</v>
      </c>
      <c r="H1086" s="58">
        <v>2055</v>
      </c>
      <c r="I1086" s="58">
        <v>6167</v>
      </c>
      <c r="J1086" s="58">
        <v>0</v>
      </c>
      <c r="K1086" s="1">
        <f t="shared" si="113"/>
        <v>339177.75</v>
      </c>
      <c r="L1086" s="1">
        <f t="shared" si="114"/>
        <v>2055</v>
      </c>
      <c r="M1086" s="1">
        <f>VLOOKUP(B1086,'[1]Срок Годности'!$A$2:$B$4,2,0)</f>
        <v>1000</v>
      </c>
      <c r="N1086" s="60">
        <f t="shared" si="115"/>
        <v>407</v>
      </c>
      <c r="O1086" s="1" t="str">
        <f t="shared" si="116"/>
        <v>29 2012</v>
      </c>
      <c r="P1086" s="1">
        <f t="shared" si="117"/>
        <v>22</v>
      </c>
      <c r="Q1086" s="1">
        <f t="shared" ca="1" si="118"/>
        <v>4027</v>
      </c>
      <c r="S1086" s="1">
        <f t="shared" si="112"/>
        <v>6167</v>
      </c>
    </row>
    <row r="1087" spans="1:19" x14ac:dyDescent="0.2">
      <c r="A1087" s="57" t="s">
        <v>239</v>
      </c>
      <c r="B1087" s="57" t="s">
        <v>237</v>
      </c>
      <c r="C1087" s="57" t="s">
        <v>238</v>
      </c>
      <c r="D1087" s="58">
        <v>165.05</v>
      </c>
      <c r="E1087" s="59">
        <v>41107</v>
      </c>
      <c r="F1087" s="58">
        <v>6167</v>
      </c>
      <c r="G1087" s="58">
        <v>1028</v>
      </c>
      <c r="H1087" s="58">
        <v>1244</v>
      </c>
      <c r="I1087" s="58">
        <v>5963</v>
      </c>
      <c r="J1087" s="58">
        <v>0</v>
      </c>
      <c r="K1087" s="1">
        <f t="shared" si="113"/>
        <v>205322.2</v>
      </c>
      <c r="L1087" s="1">
        <f t="shared" si="114"/>
        <v>1244</v>
      </c>
      <c r="M1087" s="1">
        <f>VLOOKUP(B1087,'[1]Срок Годности'!$A$2:$B$4,2,0)</f>
        <v>1000</v>
      </c>
      <c r="N1087" s="60">
        <f t="shared" si="115"/>
        <v>1028</v>
      </c>
      <c r="O1087" s="1" t="str">
        <f t="shared" si="116"/>
        <v>29 2012</v>
      </c>
      <c r="P1087" s="1">
        <f t="shared" si="117"/>
        <v>22</v>
      </c>
      <c r="Q1087" s="1">
        <f t="shared" ca="1" si="118"/>
        <v>4026</v>
      </c>
      <c r="S1087" s="1">
        <f t="shared" si="112"/>
        <v>5963</v>
      </c>
    </row>
    <row r="1088" spans="1:19" x14ac:dyDescent="0.2">
      <c r="A1088" s="57" t="s">
        <v>241</v>
      </c>
      <c r="B1088" s="57" t="s">
        <v>225</v>
      </c>
      <c r="C1088" s="57" t="s">
        <v>226</v>
      </c>
      <c r="D1088" s="58">
        <v>317.08</v>
      </c>
      <c r="E1088" s="59">
        <v>41061</v>
      </c>
      <c r="F1088" s="58">
        <v>1678</v>
      </c>
      <c r="G1088" s="58">
        <v>526</v>
      </c>
      <c r="H1088" s="58">
        <v>373</v>
      </c>
      <c r="I1088" s="58">
        <v>1825</v>
      </c>
      <c r="J1088" s="58">
        <v>0</v>
      </c>
      <c r="K1088" s="1">
        <f t="shared" si="113"/>
        <v>118270.84</v>
      </c>
      <c r="L1088" s="1" t="str">
        <f t="shared" si="114"/>
        <v/>
      </c>
      <c r="M1088" s="1">
        <f>VLOOKUP(B1088,'[1]Срок Годности'!$A$2:$B$4,2,0)</f>
        <v>500</v>
      </c>
      <c r="N1088" s="60">
        <f t="shared" si="115"/>
        <v>526</v>
      </c>
      <c r="O1088" s="1" t="str">
        <f t="shared" si="116"/>
        <v>22 2012</v>
      </c>
      <c r="P1088" s="1">
        <f t="shared" si="117"/>
        <v>23</v>
      </c>
      <c r="Q1088" s="1">
        <f t="shared" ca="1" si="118"/>
        <v>4072</v>
      </c>
      <c r="S1088" s="1">
        <f t="shared" si="112"/>
        <v>1825</v>
      </c>
    </row>
    <row r="1089" spans="1:19" x14ac:dyDescent="0.2">
      <c r="A1089" s="57" t="s">
        <v>241</v>
      </c>
      <c r="B1089" s="57" t="s">
        <v>225</v>
      </c>
      <c r="C1089" s="57" t="s">
        <v>226</v>
      </c>
      <c r="D1089" s="58">
        <v>317.08</v>
      </c>
      <c r="E1089" s="59">
        <v>41062</v>
      </c>
      <c r="F1089" s="58">
        <v>1825</v>
      </c>
      <c r="G1089" s="58">
        <v>582</v>
      </c>
      <c r="H1089" s="58">
        <v>489</v>
      </c>
      <c r="I1089" s="58">
        <v>1910</v>
      </c>
      <c r="J1089" s="58">
        <v>0</v>
      </c>
      <c r="K1089" s="1">
        <f t="shared" si="113"/>
        <v>155052.12</v>
      </c>
      <c r="L1089" s="1" t="str">
        <f t="shared" si="114"/>
        <v/>
      </c>
      <c r="M1089" s="1">
        <f>VLOOKUP(B1089,'[1]Срок Годности'!$A$2:$B$4,2,0)</f>
        <v>500</v>
      </c>
      <c r="N1089" s="60">
        <f t="shared" si="115"/>
        <v>582</v>
      </c>
      <c r="O1089" s="1" t="str">
        <f t="shared" si="116"/>
        <v>22 2012</v>
      </c>
      <c r="P1089" s="1">
        <f t="shared" si="117"/>
        <v>23</v>
      </c>
      <c r="Q1089" s="1">
        <f t="shared" ca="1" si="118"/>
        <v>4071</v>
      </c>
      <c r="S1089" s="1">
        <f t="shared" si="112"/>
        <v>1910</v>
      </c>
    </row>
    <row r="1090" spans="1:19" x14ac:dyDescent="0.2">
      <c r="A1090" s="57" t="s">
        <v>241</v>
      </c>
      <c r="B1090" s="57" t="s">
        <v>225</v>
      </c>
      <c r="C1090" s="57" t="s">
        <v>226</v>
      </c>
      <c r="D1090" s="58">
        <v>317.08</v>
      </c>
      <c r="E1090" s="59">
        <v>41063</v>
      </c>
      <c r="F1090" s="58">
        <v>1910</v>
      </c>
      <c r="G1090" s="58">
        <v>723</v>
      </c>
      <c r="H1090" s="58">
        <v>567</v>
      </c>
      <c r="I1090" s="58">
        <v>2053</v>
      </c>
      <c r="J1090" s="58">
        <v>0</v>
      </c>
      <c r="K1090" s="1">
        <f t="shared" si="113"/>
        <v>179784.36</v>
      </c>
      <c r="L1090" s="1" t="str">
        <f t="shared" si="114"/>
        <v/>
      </c>
      <c r="M1090" s="1">
        <f>VLOOKUP(B1090,'[1]Срок Годности'!$A$2:$B$4,2,0)</f>
        <v>500</v>
      </c>
      <c r="N1090" s="60">
        <f t="shared" si="115"/>
        <v>0</v>
      </c>
      <c r="O1090" s="1" t="str">
        <f t="shared" si="116"/>
        <v>23 2012</v>
      </c>
      <c r="P1090" s="1">
        <f t="shared" si="117"/>
        <v>23</v>
      </c>
      <c r="Q1090" s="1">
        <f t="shared" ca="1" si="118"/>
        <v>4070</v>
      </c>
      <c r="S1090" s="1">
        <f t="shared" si="112"/>
        <v>2053</v>
      </c>
    </row>
    <row r="1091" spans="1:19" x14ac:dyDescent="0.2">
      <c r="A1091" s="57" t="s">
        <v>241</v>
      </c>
      <c r="B1091" s="57" t="s">
        <v>225</v>
      </c>
      <c r="C1091" s="57" t="s">
        <v>226</v>
      </c>
      <c r="D1091" s="58">
        <v>317.08</v>
      </c>
      <c r="E1091" s="59">
        <v>41064</v>
      </c>
      <c r="F1091" s="58">
        <v>2053</v>
      </c>
      <c r="G1091" s="58">
        <v>745</v>
      </c>
      <c r="H1091" s="58">
        <v>588</v>
      </c>
      <c r="I1091" s="58">
        <v>2202</v>
      </c>
      <c r="J1091" s="58">
        <v>0</v>
      </c>
      <c r="K1091" s="1">
        <f t="shared" si="113"/>
        <v>186443.03999999998</v>
      </c>
      <c r="L1091" s="1" t="str">
        <f t="shared" si="114"/>
        <v/>
      </c>
      <c r="M1091" s="1">
        <f>VLOOKUP(B1091,'[1]Срок Годности'!$A$2:$B$4,2,0)</f>
        <v>500</v>
      </c>
      <c r="N1091" s="60">
        <f t="shared" si="115"/>
        <v>745</v>
      </c>
      <c r="O1091" s="1" t="str">
        <f t="shared" si="116"/>
        <v>23 2012</v>
      </c>
      <c r="P1091" s="1">
        <f t="shared" si="117"/>
        <v>23</v>
      </c>
      <c r="Q1091" s="1">
        <f t="shared" ca="1" si="118"/>
        <v>4069</v>
      </c>
      <c r="S1091" s="1">
        <f t="shared" si="112"/>
        <v>2202</v>
      </c>
    </row>
    <row r="1092" spans="1:19" x14ac:dyDescent="0.2">
      <c r="A1092" s="57" t="s">
        <v>241</v>
      </c>
      <c r="B1092" s="57" t="s">
        <v>225</v>
      </c>
      <c r="C1092" s="57" t="s">
        <v>226</v>
      </c>
      <c r="D1092" s="58">
        <v>317.08</v>
      </c>
      <c r="E1092" s="59">
        <v>41065</v>
      </c>
      <c r="F1092" s="58">
        <v>2202</v>
      </c>
      <c r="G1092" s="58">
        <v>641</v>
      </c>
      <c r="H1092" s="58">
        <v>636</v>
      </c>
      <c r="I1092" s="58">
        <v>2199</v>
      </c>
      <c r="J1092" s="58">
        <v>0</v>
      </c>
      <c r="K1092" s="1">
        <f t="shared" si="113"/>
        <v>201662.87999999998</v>
      </c>
      <c r="L1092" s="1" t="str">
        <f t="shared" si="114"/>
        <v/>
      </c>
      <c r="M1092" s="1">
        <f>VLOOKUP(B1092,'[1]Срок Годности'!$A$2:$B$4,2,0)</f>
        <v>500</v>
      </c>
      <c r="N1092" s="60">
        <f t="shared" si="115"/>
        <v>641</v>
      </c>
      <c r="O1092" s="1" t="str">
        <f t="shared" si="116"/>
        <v>23 2012</v>
      </c>
      <c r="P1092" s="1">
        <f t="shared" si="117"/>
        <v>23</v>
      </c>
      <c r="Q1092" s="1">
        <f t="shared" ca="1" si="118"/>
        <v>4068</v>
      </c>
      <c r="S1092" s="1">
        <f t="shared" si="112"/>
        <v>2199</v>
      </c>
    </row>
    <row r="1093" spans="1:19" x14ac:dyDescent="0.2">
      <c r="A1093" s="57" t="s">
        <v>241</v>
      </c>
      <c r="B1093" s="57" t="s">
        <v>225</v>
      </c>
      <c r="C1093" s="57" t="s">
        <v>226</v>
      </c>
      <c r="D1093" s="58">
        <v>317.08</v>
      </c>
      <c r="E1093" s="59">
        <v>41066</v>
      </c>
      <c r="F1093" s="58">
        <v>2199</v>
      </c>
      <c r="G1093" s="58">
        <v>847</v>
      </c>
      <c r="H1093" s="58">
        <v>807</v>
      </c>
      <c r="I1093" s="58">
        <v>2214</v>
      </c>
      <c r="J1093" s="58">
        <v>0</v>
      </c>
      <c r="K1093" s="1">
        <f t="shared" si="113"/>
        <v>255883.56</v>
      </c>
      <c r="L1093" s="1" t="str">
        <f t="shared" si="114"/>
        <v/>
      </c>
      <c r="M1093" s="1">
        <f>VLOOKUP(B1093,'[1]Срок Годности'!$A$2:$B$4,2,0)</f>
        <v>500</v>
      </c>
      <c r="N1093" s="60">
        <f t="shared" si="115"/>
        <v>847</v>
      </c>
      <c r="O1093" s="1" t="str">
        <f t="shared" si="116"/>
        <v>23 2012</v>
      </c>
      <c r="P1093" s="1">
        <f t="shared" si="117"/>
        <v>23</v>
      </c>
      <c r="Q1093" s="1">
        <f t="shared" ca="1" si="118"/>
        <v>4067</v>
      </c>
      <c r="S1093" s="1">
        <f t="shared" si="112"/>
        <v>2214</v>
      </c>
    </row>
    <row r="1094" spans="1:19" x14ac:dyDescent="0.2">
      <c r="A1094" s="57" t="s">
        <v>241</v>
      </c>
      <c r="B1094" s="57" t="s">
        <v>225</v>
      </c>
      <c r="C1094" s="57" t="s">
        <v>226</v>
      </c>
      <c r="D1094" s="58">
        <v>317.08</v>
      </c>
      <c r="E1094" s="59">
        <v>41067</v>
      </c>
      <c r="F1094" s="58">
        <v>2214</v>
      </c>
      <c r="G1094" s="58">
        <v>79</v>
      </c>
      <c r="H1094" s="58">
        <v>711</v>
      </c>
      <c r="I1094" s="58">
        <v>1573</v>
      </c>
      <c r="J1094" s="58">
        <v>0</v>
      </c>
      <c r="K1094" s="1">
        <f t="shared" si="113"/>
        <v>225443.87999999998</v>
      </c>
      <c r="L1094" s="1" t="str">
        <f t="shared" si="114"/>
        <v/>
      </c>
      <c r="M1094" s="1">
        <f>VLOOKUP(B1094,'[1]Срок Годности'!$A$2:$B$4,2,0)</f>
        <v>500</v>
      </c>
      <c r="N1094" s="60">
        <f t="shared" si="115"/>
        <v>79</v>
      </c>
      <c r="O1094" s="1" t="str">
        <f t="shared" si="116"/>
        <v>23 2012</v>
      </c>
      <c r="P1094" s="1">
        <f t="shared" si="117"/>
        <v>23</v>
      </c>
      <c r="Q1094" s="1">
        <f t="shared" ca="1" si="118"/>
        <v>4066</v>
      </c>
      <c r="S1094" s="1">
        <f t="shared" si="112"/>
        <v>1573</v>
      </c>
    </row>
    <row r="1095" spans="1:19" x14ac:dyDescent="0.2">
      <c r="A1095" s="57" t="s">
        <v>241</v>
      </c>
      <c r="B1095" s="57" t="s">
        <v>225</v>
      </c>
      <c r="C1095" s="57" t="s">
        <v>226</v>
      </c>
      <c r="D1095" s="58">
        <v>317.08</v>
      </c>
      <c r="E1095" s="59">
        <v>41068</v>
      </c>
      <c r="F1095" s="58">
        <v>1573</v>
      </c>
      <c r="G1095" s="58">
        <v>214</v>
      </c>
      <c r="H1095" s="58">
        <v>394</v>
      </c>
      <c r="I1095" s="58">
        <v>1369</v>
      </c>
      <c r="J1095" s="58">
        <v>0</v>
      </c>
      <c r="K1095" s="1">
        <f t="shared" si="113"/>
        <v>124929.51999999999</v>
      </c>
      <c r="L1095" s="1" t="str">
        <f t="shared" si="114"/>
        <v/>
      </c>
      <c r="M1095" s="1">
        <f>VLOOKUP(B1095,'[1]Срок Годности'!$A$2:$B$4,2,0)</f>
        <v>500</v>
      </c>
      <c r="N1095" s="60">
        <f t="shared" si="115"/>
        <v>214</v>
      </c>
      <c r="O1095" s="1" t="str">
        <f t="shared" si="116"/>
        <v>23 2012</v>
      </c>
      <c r="P1095" s="1">
        <f t="shared" si="117"/>
        <v>23</v>
      </c>
      <c r="Q1095" s="1">
        <f t="shared" ca="1" si="118"/>
        <v>4065</v>
      </c>
      <c r="S1095" s="1">
        <f t="shared" ref="S1095:S1158" si="119">I1095-J1095</f>
        <v>1369</v>
      </c>
    </row>
    <row r="1096" spans="1:19" x14ac:dyDescent="0.2">
      <c r="A1096" s="57" t="s">
        <v>241</v>
      </c>
      <c r="B1096" s="57" t="s">
        <v>225</v>
      </c>
      <c r="C1096" s="57" t="s">
        <v>226</v>
      </c>
      <c r="D1096" s="58">
        <v>317.08</v>
      </c>
      <c r="E1096" s="59">
        <v>41069</v>
      </c>
      <c r="F1096" s="58">
        <v>1369</v>
      </c>
      <c r="G1096" s="58">
        <v>1449</v>
      </c>
      <c r="H1096" s="58">
        <v>510</v>
      </c>
      <c r="I1096" s="58">
        <v>2299</v>
      </c>
      <c r="J1096" s="58">
        <v>0</v>
      </c>
      <c r="K1096" s="1">
        <f t="shared" ref="K1096:K1159" si="120">H1096*D1096</f>
        <v>161710.79999999999</v>
      </c>
      <c r="L1096" s="1" t="str">
        <f t="shared" ref="L1096:L1159" si="121">IF(H1096&gt;1000,H1096,"")</f>
        <v/>
      </c>
      <c r="M1096" s="1">
        <f>VLOOKUP(B1096,'[1]Срок Годности'!$A$2:$B$4,2,0)</f>
        <v>500</v>
      </c>
      <c r="N1096" s="60">
        <f t="shared" ref="N1096:N1159" si="122">IF(WEEKDAY(E1096) = 1, 0, G1096)</f>
        <v>1449</v>
      </c>
      <c r="O1096" s="1" t="str">
        <f t="shared" ref="O1096:O1159" si="123">WEEKNUM(E1096) &amp; " " &amp; YEAR(E1096)</f>
        <v>23 2012</v>
      </c>
      <c r="P1096" s="1">
        <f t="shared" ref="P1096:P1159" si="124">LEN(C1096)</f>
        <v>23</v>
      </c>
      <c r="Q1096" s="1">
        <f t="shared" ref="Q1096:Q1159" ca="1" si="125">DATEDIF(E1096,NOW(),"D")</f>
        <v>4064</v>
      </c>
      <c r="S1096" s="1">
        <f t="shared" si="119"/>
        <v>2299</v>
      </c>
    </row>
    <row r="1097" spans="1:19" x14ac:dyDescent="0.2">
      <c r="A1097" s="57" t="s">
        <v>241</v>
      </c>
      <c r="B1097" s="57" t="s">
        <v>225</v>
      </c>
      <c r="C1097" s="57" t="s">
        <v>226</v>
      </c>
      <c r="D1097" s="58">
        <v>317.08</v>
      </c>
      <c r="E1097" s="59">
        <v>41070</v>
      </c>
      <c r="F1097" s="58">
        <v>2299</v>
      </c>
      <c r="G1097" s="58">
        <v>532</v>
      </c>
      <c r="H1097" s="58">
        <v>878</v>
      </c>
      <c r="I1097" s="58">
        <v>1953</v>
      </c>
      <c r="J1097" s="58">
        <v>0</v>
      </c>
      <c r="K1097" s="1">
        <f t="shared" si="120"/>
        <v>278396.24</v>
      </c>
      <c r="L1097" s="1" t="str">
        <f t="shared" si="121"/>
        <v/>
      </c>
      <c r="M1097" s="1">
        <f>VLOOKUP(B1097,'[1]Срок Годности'!$A$2:$B$4,2,0)</f>
        <v>500</v>
      </c>
      <c r="N1097" s="60">
        <f t="shared" si="122"/>
        <v>0</v>
      </c>
      <c r="O1097" s="1" t="str">
        <f t="shared" si="123"/>
        <v>24 2012</v>
      </c>
      <c r="P1097" s="1">
        <f t="shared" si="124"/>
        <v>23</v>
      </c>
      <c r="Q1097" s="1">
        <f t="shared" ca="1" si="125"/>
        <v>4063</v>
      </c>
      <c r="S1097" s="1">
        <f t="shared" si="119"/>
        <v>1953</v>
      </c>
    </row>
    <row r="1098" spans="1:19" x14ac:dyDescent="0.2">
      <c r="A1098" s="57" t="s">
        <v>241</v>
      </c>
      <c r="B1098" s="57" t="s">
        <v>225</v>
      </c>
      <c r="C1098" s="57" t="s">
        <v>226</v>
      </c>
      <c r="D1098" s="58">
        <v>317.08</v>
      </c>
      <c r="E1098" s="59">
        <v>41071</v>
      </c>
      <c r="F1098" s="58">
        <v>1953</v>
      </c>
      <c r="G1098" s="58">
        <v>74</v>
      </c>
      <c r="H1098" s="58">
        <v>793</v>
      </c>
      <c r="I1098" s="58">
        <v>1204</v>
      </c>
      <c r="J1098" s="58">
        <v>0</v>
      </c>
      <c r="K1098" s="1">
        <f t="shared" si="120"/>
        <v>251444.43999999997</v>
      </c>
      <c r="L1098" s="1" t="str">
        <f t="shared" si="121"/>
        <v/>
      </c>
      <c r="M1098" s="1">
        <f>VLOOKUP(B1098,'[1]Срок Годности'!$A$2:$B$4,2,0)</f>
        <v>500</v>
      </c>
      <c r="N1098" s="60">
        <f t="shared" si="122"/>
        <v>74</v>
      </c>
      <c r="O1098" s="1" t="str">
        <f t="shared" si="123"/>
        <v>24 2012</v>
      </c>
      <c r="P1098" s="1">
        <f t="shared" si="124"/>
        <v>23</v>
      </c>
      <c r="Q1098" s="1">
        <f t="shared" ca="1" si="125"/>
        <v>4062</v>
      </c>
      <c r="S1098" s="1">
        <f t="shared" si="119"/>
        <v>1204</v>
      </c>
    </row>
    <row r="1099" spans="1:19" x14ac:dyDescent="0.2">
      <c r="A1099" s="57" t="s">
        <v>241</v>
      </c>
      <c r="B1099" s="57" t="s">
        <v>225</v>
      </c>
      <c r="C1099" s="57" t="s">
        <v>226</v>
      </c>
      <c r="D1099" s="58">
        <v>317.08</v>
      </c>
      <c r="E1099" s="59">
        <v>41072</v>
      </c>
      <c r="F1099" s="58">
        <v>1204</v>
      </c>
      <c r="G1099" s="58">
        <v>56</v>
      </c>
      <c r="H1099" s="58">
        <v>405</v>
      </c>
      <c r="I1099" s="58">
        <v>828</v>
      </c>
      <c r="J1099" s="58">
        <v>0</v>
      </c>
      <c r="K1099" s="1">
        <f t="shared" si="120"/>
        <v>128417.4</v>
      </c>
      <c r="L1099" s="1" t="str">
        <f t="shared" si="121"/>
        <v/>
      </c>
      <c r="M1099" s="1">
        <f>VLOOKUP(B1099,'[1]Срок Годности'!$A$2:$B$4,2,0)</f>
        <v>500</v>
      </c>
      <c r="N1099" s="60">
        <f t="shared" si="122"/>
        <v>56</v>
      </c>
      <c r="O1099" s="1" t="str">
        <f t="shared" si="123"/>
        <v>24 2012</v>
      </c>
      <c r="P1099" s="1">
        <f t="shared" si="124"/>
        <v>23</v>
      </c>
      <c r="Q1099" s="1">
        <f t="shared" ca="1" si="125"/>
        <v>4061</v>
      </c>
      <c r="S1099" s="1">
        <f t="shared" si="119"/>
        <v>828</v>
      </c>
    </row>
    <row r="1100" spans="1:19" x14ac:dyDescent="0.2">
      <c r="A1100" s="57" t="s">
        <v>241</v>
      </c>
      <c r="B1100" s="57" t="s">
        <v>225</v>
      </c>
      <c r="C1100" s="57" t="s">
        <v>226</v>
      </c>
      <c r="D1100" s="58">
        <v>317.08</v>
      </c>
      <c r="E1100" s="59">
        <v>41073</v>
      </c>
      <c r="F1100" s="58">
        <v>828</v>
      </c>
      <c r="G1100" s="58">
        <v>1299</v>
      </c>
      <c r="H1100" s="58">
        <v>611</v>
      </c>
      <c r="I1100" s="58">
        <v>1471</v>
      </c>
      <c r="J1100" s="58">
        <v>0</v>
      </c>
      <c r="K1100" s="1">
        <f t="shared" si="120"/>
        <v>193735.88</v>
      </c>
      <c r="L1100" s="1" t="str">
        <f t="shared" si="121"/>
        <v/>
      </c>
      <c r="M1100" s="1">
        <f>VLOOKUP(B1100,'[1]Срок Годности'!$A$2:$B$4,2,0)</f>
        <v>500</v>
      </c>
      <c r="N1100" s="60">
        <f t="shared" si="122"/>
        <v>1299</v>
      </c>
      <c r="O1100" s="1" t="str">
        <f t="shared" si="123"/>
        <v>24 2012</v>
      </c>
      <c r="P1100" s="1">
        <f t="shared" si="124"/>
        <v>23</v>
      </c>
      <c r="Q1100" s="1">
        <f t="shared" ca="1" si="125"/>
        <v>4060</v>
      </c>
      <c r="S1100" s="1">
        <f t="shared" si="119"/>
        <v>1471</v>
      </c>
    </row>
    <row r="1101" spans="1:19" x14ac:dyDescent="0.2">
      <c r="A1101" s="57" t="s">
        <v>241</v>
      </c>
      <c r="B1101" s="57" t="s">
        <v>225</v>
      </c>
      <c r="C1101" s="57" t="s">
        <v>226</v>
      </c>
      <c r="D1101" s="58">
        <v>317.08</v>
      </c>
      <c r="E1101" s="59">
        <v>41074</v>
      </c>
      <c r="F1101" s="58">
        <v>1471</v>
      </c>
      <c r="G1101" s="58">
        <v>716</v>
      </c>
      <c r="H1101" s="58">
        <v>618</v>
      </c>
      <c r="I1101" s="58">
        <v>1553</v>
      </c>
      <c r="J1101" s="58">
        <v>0</v>
      </c>
      <c r="K1101" s="1">
        <f t="shared" si="120"/>
        <v>195955.44</v>
      </c>
      <c r="L1101" s="1" t="str">
        <f t="shared" si="121"/>
        <v/>
      </c>
      <c r="M1101" s="1">
        <f>VLOOKUP(B1101,'[1]Срок Годности'!$A$2:$B$4,2,0)</f>
        <v>500</v>
      </c>
      <c r="N1101" s="60">
        <f t="shared" si="122"/>
        <v>716</v>
      </c>
      <c r="O1101" s="1" t="str">
        <f t="shared" si="123"/>
        <v>24 2012</v>
      </c>
      <c r="P1101" s="1">
        <f t="shared" si="124"/>
        <v>23</v>
      </c>
      <c r="Q1101" s="1">
        <f t="shared" ca="1" si="125"/>
        <v>4059</v>
      </c>
      <c r="S1101" s="1">
        <f t="shared" si="119"/>
        <v>1553</v>
      </c>
    </row>
    <row r="1102" spans="1:19" x14ac:dyDescent="0.2">
      <c r="A1102" s="57" t="s">
        <v>241</v>
      </c>
      <c r="B1102" s="57" t="s">
        <v>225</v>
      </c>
      <c r="C1102" s="57" t="s">
        <v>226</v>
      </c>
      <c r="D1102" s="58">
        <v>317.08</v>
      </c>
      <c r="E1102" s="59">
        <v>41075</v>
      </c>
      <c r="F1102" s="58">
        <v>1553</v>
      </c>
      <c r="G1102" s="58">
        <v>82</v>
      </c>
      <c r="H1102" s="58">
        <v>448</v>
      </c>
      <c r="I1102" s="58">
        <v>1190</v>
      </c>
      <c r="J1102" s="58">
        <v>0</v>
      </c>
      <c r="K1102" s="1">
        <f t="shared" si="120"/>
        <v>142051.84</v>
      </c>
      <c r="L1102" s="1" t="str">
        <f t="shared" si="121"/>
        <v/>
      </c>
      <c r="M1102" s="1">
        <f>VLOOKUP(B1102,'[1]Срок Годности'!$A$2:$B$4,2,0)</f>
        <v>500</v>
      </c>
      <c r="N1102" s="60">
        <f t="shared" si="122"/>
        <v>82</v>
      </c>
      <c r="O1102" s="1" t="str">
        <f t="shared" si="123"/>
        <v>24 2012</v>
      </c>
      <c r="P1102" s="1">
        <f t="shared" si="124"/>
        <v>23</v>
      </c>
      <c r="Q1102" s="1">
        <f t="shared" ca="1" si="125"/>
        <v>4058</v>
      </c>
      <c r="S1102" s="1">
        <f t="shared" si="119"/>
        <v>1190</v>
      </c>
    </row>
    <row r="1103" spans="1:19" x14ac:dyDescent="0.2">
      <c r="A1103" s="57" t="s">
        <v>241</v>
      </c>
      <c r="B1103" s="57" t="s">
        <v>225</v>
      </c>
      <c r="C1103" s="57" t="s">
        <v>226</v>
      </c>
      <c r="D1103" s="58">
        <v>317.08</v>
      </c>
      <c r="E1103" s="59">
        <v>41076</v>
      </c>
      <c r="F1103" s="58">
        <v>1190</v>
      </c>
      <c r="G1103" s="58">
        <v>83</v>
      </c>
      <c r="H1103" s="58">
        <v>288</v>
      </c>
      <c r="I1103" s="58">
        <v>987</v>
      </c>
      <c r="J1103" s="58">
        <v>0</v>
      </c>
      <c r="K1103" s="1">
        <f t="shared" si="120"/>
        <v>91319.039999999994</v>
      </c>
      <c r="L1103" s="1" t="str">
        <f t="shared" si="121"/>
        <v/>
      </c>
      <c r="M1103" s="1">
        <f>VLOOKUP(B1103,'[1]Срок Годности'!$A$2:$B$4,2,0)</f>
        <v>500</v>
      </c>
      <c r="N1103" s="60">
        <f t="shared" si="122"/>
        <v>83</v>
      </c>
      <c r="O1103" s="1" t="str">
        <f t="shared" si="123"/>
        <v>24 2012</v>
      </c>
      <c r="P1103" s="1">
        <f t="shared" si="124"/>
        <v>23</v>
      </c>
      <c r="Q1103" s="1">
        <f t="shared" ca="1" si="125"/>
        <v>4057</v>
      </c>
      <c r="S1103" s="1">
        <f t="shared" si="119"/>
        <v>987</v>
      </c>
    </row>
    <row r="1104" spans="1:19" x14ac:dyDescent="0.2">
      <c r="A1104" s="57" t="s">
        <v>241</v>
      </c>
      <c r="B1104" s="57" t="s">
        <v>225</v>
      </c>
      <c r="C1104" s="57" t="s">
        <v>226</v>
      </c>
      <c r="D1104" s="58">
        <v>317.08</v>
      </c>
      <c r="E1104" s="59">
        <v>41077</v>
      </c>
      <c r="F1104" s="58">
        <v>987</v>
      </c>
      <c r="G1104" s="58">
        <v>80</v>
      </c>
      <c r="H1104" s="58">
        <v>248</v>
      </c>
      <c r="I1104" s="58">
        <v>815</v>
      </c>
      <c r="J1104" s="58">
        <v>0</v>
      </c>
      <c r="K1104" s="1">
        <f t="shared" si="120"/>
        <v>78635.839999999997</v>
      </c>
      <c r="L1104" s="1" t="str">
        <f t="shared" si="121"/>
        <v/>
      </c>
      <c r="M1104" s="1">
        <f>VLOOKUP(B1104,'[1]Срок Годности'!$A$2:$B$4,2,0)</f>
        <v>500</v>
      </c>
      <c r="N1104" s="60">
        <f t="shared" si="122"/>
        <v>0</v>
      </c>
      <c r="O1104" s="1" t="str">
        <f t="shared" si="123"/>
        <v>25 2012</v>
      </c>
      <c r="P1104" s="1">
        <f t="shared" si="124"/>
        <v>23</v>
      </c>
      <c r="Q1104" s="1">
        <f t="shared" ca="1" si="125"/>
        <v>4056</v>
      </c>
      <c r="S1104" s="1">
        <f t="shared" si="119"/>
        <v>815</v>
      </c>
    </row>
    <row r="1105" spans="1:19" x14ac:dyDescent="0.2">
      <c r="A1105" s="57" t="s">
        <v>241</v>
      </c>
      <c r="B1105" s="57" t="s">
        <v>225</v>
      </c>
      <c r="C1105" s="57" t="s">
        <v>226</v>
      </c>
      <c r="D1105" s="58">
        <v>317.08</v>
      </c>
      <c r="E1105" s="59">
        <v>41078</v>
      </c>
      <c r="F1105" s="58">
        <v>815</v>
      </c>
      <c r="G1105" s="58">
        <v>1352</v>
      </c>
      <c r="H1105" s="58">
        <v>290</v>
      </c>
      <c r="I1105" s="58">
        <v>1856</v>
      </c>
      <c r="J1105" s="58">
        <v>0</v>
      </c>
      <c r="K1105" s="1">
        <f t="shared" si="120"/>
        <v>91953.2</v>
      </c>
      <c r="L1105" s="1" t="str">
        <f t="shared" si="121"/>
        <v/>
      </c>
      <c r="M1105" s="1">
        <f>VLOOKUP(B1105,'[1]Срок Годности'!$A$2:$B$4,2,0)</f>
        <v>500</v>
      </c>
      <c r="N1105" s="60">
        <f t="shared" si="122"/>
        <v>1352</v>
      </c>
      <c r="O1105" s="1" t="str">
        <f t="shared" si="123"/>
        <v>25 2012</v>
      </c>
      <c r="P1105" s="1">
        <f t="shared" si="124"/>
        <v>23</v>
      </c>
      <c r="Q1105" s="1">
        <f t="shared" ca="1" si="125"/>
        <v>4055</v>
      </c>
      <c r="S1105" s="1">
        <f t="shared" si="119"/>
        <v>1856</v>
      </c>
    </row>
    <row r="1106" spans="1:19" x14ac:dyDescent="0.2">
      <c r="A1106" s="57" t="s">
        <v>241</v>
      </c>
      <c r="B1106" s="57" t="s">
        <v>225</v>
      </c>
      <c r="C1106" s="57" t="s">
        <v>226</v>
      </c>
      <c r="D1106" s="58">
        <v>317.08</v>
      </c>
      <c r="E1106" s="59">
        <v>41079</v>
      </c>
      <c r="F1106" s="58">
        <v>1856</v>
      </c>
      <c r="G1106" s="58">
        <v>694</v>
      </c>
      <c r="H1106" s="58">
        <v>545</v>
      </c>
      <c r="I1106" s="58">
        <v>1995</v>
      </c>
      <c r="J1106" s="58">
        <v>0</v>
      </c>
      <c r="K1106" s="1">
        <f t="shared" si="120"/>
        <v>172808.6</v>
      </c>
      <c r="L1106" s="1" t="str">
        <f t="shared" si="121"/>
        <v/>
      </c>
      <c r="M1106" s="1">
        <f>VLOOKUP(B1106,'[1]Срок Годности'!$A$2:$B$4,2,0)</f>
        <v>500</v>
      </c>
      <c r="N1106" s="60">
        <f t="shared" si="122"/>
        <v>694</v>
      </c>
      <c r="O1106" s="1" t="str">
        <f t="shared" si="123"/>
        <v>25 2012</v>
      </c>
      <c r="P1106" s="1">
        <f t="shared" si="124"/>
        <v>23</v>
      </c>
      <c r="Q1106" s="1">
        <f t="shared" ca="1" si="125"/>
        <v>4054</v>
      </c>
      <c r="S1106" s="1">
        <f t="shared" si="119"/>
        <v>1995</v>
      </c>
    </row>
    <row r="1107" spans="1:19" x14ac:dyDescent="0.2">
      <c r="A1107" s="57" t="s">
        <v>241</v>
      </c>
      <c r="B1107" s="57" t="s">
        <v>225</v>
      </c>
      <c r="C1107" s="57" t="s">
        <v>226</v>
      </c>
      <c r="D1107" s="58">
        <v>317.08</v>
      </c>
      <c r="E1107" s="59">
        <v>41080</v>
      </c>
      <c r="F1107" s="58">
        <v>1995</v>
      </c>
      <c r="G1107" s="58">
        <v>132</v>
      </c>
      <c r="H1107" s="58">
        <v>542</v>
      </c>
      <c r="I1107" s="58">
        <v>1577</v>
      </c>
      <c r="J1107" s="58">
        <v>0</v>
      </c>
      <c r="K1107" s="1">
        <f t="shared" si="120"/>
        <v>171857.36</v>
      </c>
      <c r="L1107" s="1" t="str">
        <f t="shared" si="121"/>
        <v/>
      </c>
      <c r="M1107" s="1">
        <f>VLOOKUP(B1107,'[1]Срок Годности'!$A$2:$B$4,2,0)</f>
        <v>500</v>
      </c>
      <c r="N1107" s="60">
        <f t="shared" si="122"/>
        <v>132</v>
      </c>
      <c r="O1107" s="1" t="str">
        <f t="shared" si="123"/>
        <v>25 2012</v>
      </c>
      <c r="P1107" s="1">
        <f t="shared" si="124"/>
        <v>23</v>
      </c>
      <c r="Q1107" s="1">
        <f t="shared" ca="1" si="125"/>
        <v>4053</v>
      </c>
      <c r="S1107" s="1">
        <f t="shared" si="119"/>
        <v>1577</v>
      </c>
    </row>
    <row r="1108" spans="1:19" x14ac:dyDescent="0.2">
      <c r="A1108" s="57" t="s">
        <v>241</v>
      </c>
      <c r="B1108" s="57" t="s">
        <v>225</v>
      </c>
      <c r="C1108" s="57" t="s">
        <v>226</v>
      </c>
      <c r="D1108" s="58">
        <v>317.08</v>
      </c>
      <c r="E1108" s="59">
        <v>41081</v>
      </c>
      <c r="F1108" s="58">
        <v>1577</v>
      </c>
      <c r="G1108" s="58">
        <v>118</v>
      </c>
      <c r="H1108" s="58">
        <v>374</v>
      </c>
      <c r="I1108" s="58">
        <v>1323</v>
      </c>
      <c r="J1108" s="58">
        <v>0</v>
      </c>
      <c r="K1108" s="1">
        <f t="shared" si="120"/>
        <v>118587.92</v>
      </c>
      <c r="L1108" s="1" t="str">
        <f t="shared" si="121"/>
        <v/>
      </c>
      <c r="M1108" s="1">
        <f>VLOOKUP(B1108,'[1]Срок Годности'!$A$2:$B$4,2,0)</f>
        <v>500</v>
      </c>
      <c r="N1108" s="60">
        <f t="shared" si="122"/>
        <v>118</v>
      </c>
      <c r="O1108" s="1" t="str">
        <f t="shared" si="123"/>
        <v>25 2012</v>
      </c>
      <c r="P1108" s="1">
        <f t="shared" si="124"/>
        <v>23</v>
      </c>
      <c r="Q1108" s="1">
        <f t="shared" ca="1" si="125"/>
        <v>4052</v>
      </c>
      <c r="S1108" s="1">
        <f t="shared" si="119"/>
        <v>1323</v>
      </c>
    </row>
    <row r="1109" spans="1:19" x14ac:dyDescent="0.2">
      <c r="A1109" s="57" t="s">
        <v>241</v>
      </c>
      <c r="B1109" s="57" t="s">
        <v>225</v>
      </c>
      <c r="C1109" s="57" t="s">
        <v>226</v>
      </c>
      <c r="D1109" s="58">
        <v>317.08</v>
      </c>
      <c r="E1109" s="59">
        <v>41082</v>
      </c>
      <c r="F1109" s="58">
        <v>1323</v>
      </c>
      <c r="G1109" s="58">
        <v>94</v>
      </c>
      <c r="H1109" s="58">
        <v>293</v>
      </c>
      <c r="I1109" s="58">
        <v>1120</v>
      </c>
      <c r="J1109" s="58">
        <v>0</v>
      </c>
      <c r="K1109" s="1">
        <f t="shared" si="120"/>
        <v>92904.44</v>
      </c>
      <c r="L1109" s="1" t="str">
        <f t="shared" si="121"/>
        <v/>
      </c>
      <c r="M1109" s="1">
        <f>VLOOKUP(B1109,'[1]Срок Годности'!$A$2:$B$4,2,0)</f>
        <v>500</v>
      </c>
      <c r="N1109" s="60">
        <f t="shared" si="122"/>
        <v>94</v>
      </c>
      <c r="O1109" s="1" t="str">
        <f t="shared" si="123"/>
        <v>25 2012</v>
      </c>
      <c r="P1109" s="1">
        <f t="shared" si="124"/>
        <v>23</v>
      </c>
      <c r="Q1109" s="1">
        <f t="shared" ca="1" si="125"/>
        <v>4051</v>
      </c>
      <c r="S1109" s="1">
        <f t="shared" si="119"/>
        <v>1120</v>
      </c>
    </row>
    <row r="1110" spans="1:19" x14ac:dyDescent="0.2">
      <c r="A1110" s="57" t="s">
        <v>241</v>
      </c>
      <c r="B1110" s="57" t="s">
        <v>225</v>
      </c>
      <c r="C1110" s="57" t="s">
        <v>226</v>
      </c>
      <c r="D1110" s="58">
        <v>317.08</v>
      </c>
      <c r="E1110" s="59">
        <v>41083</v>
      </c>
      <c r="F1110" s="58">
        <v>1120</v>
      </c>
      <c r="G1110" s="58">
        <v>80</v>
      </c>
      <c r="H1110" s="58">
        <v>252</v>
      </c>
      <c r="I1110" s="58">
        <v>944</v>
      </c>
      <c r="J1110" s="58">
        <v>0</v>
      </c>
      <c r="K1110" s="1">
        <f t="shared" si="120"/>
        <v>79904.159999999989</v>
      </c>
      <c r="L1110" s="1" t="str">
        <f t="shared" si="121"/>
        <v/>
      </c>
      <c r="M1110" s="1">
        <f>VLOOKUP(B1110,'[1]Срок Годности'!$A$2:$B$4,2,0)</f>
        <v>500</v>
      </c>
      <c r="N1110" s="60">
        <f t="shared" si="122"/>
        <v>80</v>
      </c>
      <c r="O1110" s="1" t="str">
        <f t="shared" si="123"/>
        <v>25 2012</v>
      </c>
      <c r="P1110" s="1">
        <f t="shared" si="124"/>
        <v>23</v>
      </c>
      <c r="Q1110" s="1">
        <f t="shared" ca="1" si="125"/>
        <v>4050</v>
      </c>
      <c r="S1110" s="1">
        <f t="shared" si="119"/>
        <v>944</v>
      </c>
    </row>
    <row r="1111" spans="1:19" x14ac:dyDescent="0.2">
      <c r="A1111" s="57" t="s">
        <v>241</v>
      </c>
      <c r="B1111" s="57" t="s">
        <v>225</v>
      </c>
      <c r="C1111" s="57" t="s">
        <v>226</v>
      </c>
      <c r="D1111" s="58">
        <v>317.08</v>
      </c>
      <c r="E1111" s="59">
        <v>41084</v>
      </c>
      <c r="F1111" s="58">
        <v>944</v>
      </c>
      <c r="G1111" s="58">
        <v>58</v>
      </c>
      <c r="H1111" s="58">
        <v>210</v>
      </c>
      <c r="I1111" s="58">
        <v>764</v>
      </c>
      <c r="J1111" s="58">
        <v>0</v>
      </c>
      <c r="K1111" s="1">
        <f t="shared" si="120"/>
        <v>66586.8</v>
      </c>
      <c r="L1111" s="1" t="str">
        <f t="shared" si="121"/>
        <v/>
      </c>
      <c r="M1111" s="1">
        <f>VLOOKUP(B1111,'[1]Срок Годности'!$A$2:$B$4,2,0)</f>
        <v>500</v>
      </c>
      <c r="N1111" s="60">
        <f t="shared" si="122"/>
        <v>0</v>
      </c>
      <c r="O1111" s="1" t="str">
        <f t="shared" si="123"/>
        <v>26 2012</v>
      </c>
      <c r="P1111" s="1">
        <f t="shared" si="124"/>
        <v>23</v>
      </c>
      <c r="Q1111" s="1">
        <f t="shared" ca="1" si="125"/>
        <v>4049</v>
      </c>
      <c r="S1111" s="1">
        <f t="shared" si="119"/>
        <v>764</v>
      </c>
    </row>
    <row r="1112" spans="1:19" x14ac:dyDescent="0.2">
      <c r="A1112" s="57" t="s">
        <v>241</v>
      </c>
      <c r="B1112" s="57" t="s">
        <v>225</v>
      </c>
      <c r="C1112" s="57" t="s">
        <v>226</v>
      </c>
      <c r="D1112" s="58">
        <v>317.08</v>
      </c>
      <c r="E1112" s="59">
        <v>41085</v>
      </c>
      <c r="F1112" s="58">
        <v>764</v>
      </c>
      <c r="G1112" s="58">
        <v>1390</v>
      </c>
      <c r="H1112" s="58">
        <v>245</v>
      </c>
      <c r="I1112" s="58">
        <v>1883</v>
      </c>
      <c r="J1112" s="58">
        <v>0</v>
      </c>
      <c r="K1112" s="1">
        <f t="shared" si="120"/>
        <v>77684.599999999991</v>
      </c>
      <c r="L1112" s="1" t="str">
        <f t="shared" si="121"/>
        <v/>
      </c>
      <c r="M1112" s="1">
        <f>VLOOKUP(B1112,'[1]Срок Годности'!$A$2:$B$4,2,0)</f>
        <v>500</v>
      </c>
      <c r="N1112" s="60">
        <f t="shared" si="122"/>
        <v>1390</v>
      </c>
      <c r="O1112" s="1" t="str">
        <f t="shared" si="123"/>
        <v>26 2012</v>
      </c>
      <c r="P1112" s="1">
        <f t="shared" si="124"/>
        <v>23</v>
      </c>
      <c r="Q1112" s="1">
        <f t="shared" ca="1" si="125"/>
        <v>4048</v>
      </c>
      <c r="S1112" s="1">
        <f t="shared" si="119"/>
        <v>1883</v>
      </c>
    </row>
    <row r="1113" spans="1:19" x14ac:dyDescent="0.2">
      <c r="A1113" s="57" t="s">
        <v>241</v>
      </c>
      <c r="B1113" s="57" t="s">
        <v>225</v>
      </c>
      <c r="C1113" s="57" t="s">
        <v>226</v>
      </c>
      <c r="D1113" s="58">
        <v>317.08</v>
      </c>
      <c r="E1113" s="59">
        <v>41086</v>
      </c>
      <c r="F1113" s="58">
        <v>1883</v>
      </c>
      <c r="G1113" s="58">
        <v>521</v>
      </c>
      <c r="H1113" s="58">
        <v>437</v>
      </c>
      <c r="I1113" s="58">
        <v>1962</v>
      </c>
      <c r="J1113" s="58">
        <v>0</v>
      </c>
      <c r="K1113" s="1">
        <f t="shared" si="120"/>
        <v>138563.96</v>
      </c>
      <c r="L1113" s="1" t="str">
        <f t="shared" si="121"/>
        <v/>
      </c>
      <c r="M1113" s="1">
        <f>VLOOKUP(B1113,'[1]Срок Годности'!$A$2:$B$4,2,0)</f>
        <v>500</v>
      </c>
      <c r="N1113" s="60">
        <f t="shared" si="122"/>
        <v>521</v>
      </c>
      <c r="O1113" s="1" t="str">
        <f t="shared" si="123"/>
        <v>26 2012</v>
      </c>
      <c r="P1113" s="1">
        <f t="shared" si="124"/>
        <v>23</v>
      </c>
      <c r="Q1113" s="1">
        <f t="shared" ca="1" si="125"/>
        <v>4047</v>
      </c>
      <c r="S1113" s="1">
        <f t="shared" si="119"/>
        <v>1962</v>
      </c>
    </row>
    <row r="1114" spans="1:19" x14ac:dyDescent="0.2">
      <c r="A1114" s="57" t="s">
        <v>241</v>
      </c>
      <c r="B1114" s="57" t="s">
        <v>225</v>
      </c>
      <c r="C1114" s="57" t="s">
        <v>226</v>
      </c>
      <c r="D1114" s="58">
        <v>317.08</v>
      </c>
      <c r="E1114" s="59">
        <v>41087</v>
      </c>
      <c r="F1114" s="58">
        <v>1962</v>
      </c>
      <c r="G1114" s="58">
        <v>502</v>
      </c>
      <c r="H1114" s="58">
        <v>499</v>
      </c>
      <c r="I1114" s="58">
        <v>1955</v>
      </c>
      <c r="J1114" s="58">
        <v>0</v>
      </c>
      <c r="K1114" s="1">
        <f t="shared" si="120"/>
        <v>158222.91999999998</v>
      </c>
      <c r="L1114" s="1" t="str">
        <f t="shared" si="121"/>
        <v/>
      </c>
      <c r="M1114" s="1">
        <f>VLOOKUP(B1114,'[1]Срок Годности'!$A$2:$B$4,2,0)</f>
        <v>500</v>
      </c>
      <c r="N1114" s="60">
        <f t="shared" si="122"/>
        <v>502</v>
      </c>
      <c r="O1114" s="1" t="str">
        <f t="shared" si="123"/>
        <v>26 2012</v>
      </c>
      <c r="P1114" s="1">
        <f t="shared" si="124"/>
        <v>23</v>
      </c>
      <c r="Q1114" s="1">
        <f t="shared" ca="1" si="125"/>
        <v>4046</v>
      </c>
      <c r="S1114" s="1">
        <f t="shared" si="119"/>
        <v>1955</v>
      </c>
    </row>
    <row r="1115" spans="1:19" x14ac:dyDescent="0.2">
      <c r="A1115" s="57" t="s">
        <v>241</v>
      </c>
      <c r="B1115" s="57" t="s">
        <v>225</v>
      </c>
      <c r="C1115" s="57" t="s">
        <v>226</v>
      </c>
      <c r="D1115" s="58">
        <v>317.08</v>
      </c>
      <c r="E1115" s="59">
        <v>41088</v>
      </c>
      <c r="F1115" s="58">
        <v>1955</v>
      </c>
      <c r="G1115" s="58">
        <v>1028</v>
      </c>
      <c r="H1115" s="58">
        <v>464</v>
      </c>
      <c r="I1115" s="58">
        <v>2514</v>
      </c>
      <c r="J1115" s="58">
        <v>0</v>
      </c>
      <c r="K1115" s="1">
        <f t="shared" si="120"/>
        <v>147125.12</v>
      </c>
      <c r="L1115" s="1" t="str">
        <f t="shared" si="121"/>
        <v/>
      </c>
      <c r="M1115" s="1">
        <f>VLOOKUP(B1115,'[1]Срок Годности'!$A$2:$B$4,2,0)</f>
        <v>500</v>
      </c>
      <c r="N1115" s="60">
        <f t="shared" si="122"/>
        <v>1028</v>
      </c>
      <c r="O1115" s="1" t="str">
        <f t="shared" si="123"/>
        <v>26 2012</v>
      </c>
      <c r="P1115" s="1">
        <f t="shared" si="124"/>
        <v>23</v>
      </c>
      <c r="Q1115" s="1">
        <f t="shared" ca="1" si="125"/>
        <v>4045</v>
      </c>
      <c r="S1115" s="1">
        <f t="shared" si="119"/>
        <v>2514</v>
      </c>
    </row>
    <row r="1116" spans="1:19" x14ac:dyDescent="0.2">
      <c r="A1116" s="57" t="s">
        <v>241</v>
      </c>
      <c r="B1116" s="57" t="s">
        <v>225</v>
      </c>
      <c r="C1116" s="57" t="s">
        <v>226</v>
      </c>
      <c r="D1116" s="58">
        <v>317.08</v>
      </c>
      <c r="E1116" s="59">
        <v>41089</v>
      </c>
      <c r="F1116" s="58">
        <v>2514</v>
      </c>
      <c r="G1116" s="58">
        <v>464</v>
      </c>
      <c r="H1116" s="58">
        <v>556</v>
      </c>
      <c r="I1116" s="58">
        <v>2417</v>
      </c>
      <c r="J1116" s="58">
        <v>0</v>
      </c>
      <c r="K1116" s="1">
        <f t="shared" si="120"/>
        <v>176296.47999999998</v>
      </c>
      <c r="L1116" s="1" t="str">
        <f t="shared" si="121"/>
        <v/>
      </c>
      <c r="M1116" s="1">
        <f>VLOOKUP(B1116,'[1]Срок Годности'!$A$2:$B$4,2,0)</f>
        <v>500</v>
      </c>
      <c r="N1116" s="60">
        <f t="shared" si="122"/>
        <v>464</v>
      </c>
      <c r="O1116" s="1" t="str">
        <f t="shared" si="123"/>
        <v>26 2012</v>
      </c>
      <c r="P1116" s="1">
        <f t="shared" si="124"/>
        <v>23</v>
      </c>
      <c r="Q1116" s="1">
        <f t="shared" ca="1" si="125"/>
        <v>4044</v>
      </c>
      <c r="S1116" s="1">
        <f t="shared" si="119"/>
        <v>2417</v>
      </c>
    </row>
    <row r="1117" spans="1:19" x14ac:dyDescent="0.2">
      <c r="A1117" s="57" t="s">
        <v>241</v>
      </c>
      <c r="B1117" s="57" t="s">
        <v>225</v>
      </c>
      <c r="C1117" s="57" t="s">
        <v>226</v>
      </c>
      <c r="D1117" s="58">
        <v>317.08</v>
      </c>
      <c r="E1117" s="59">
        <v>41090</v>
      </c>
      <c r="F1117" s="58">
        <v>2417</v>
      </c>
      <c r="G1117" s="58">
        <v>406</v>
      </c>
      <c r="H1117" s="58">
        <v>695</v>
      </c>
      <c r="I1117" s="58">
        <v>2118</v>
      </c>
      <c r="J1117" s="58">
        <v>0</v>
      </c>
      <c r="K1117" s="1">
        <f t="shared" si="120"/>
        <v>220370.59999999998</v>
      </c>
      <c r="L1117" s="1" t="str">
        <f t="shared" si="121"/>
        <v/>
      </c>
      <c r="M1117" s="1">
        <f>VLOOKUP(B1117,'[1]Срок Годности'!$A$2:$B$4,2,0)</f>
        <v>500</v>
      </c>
      <c r="N1117" s="60">
        <f t="shared" si="122"/>
        <v>406</v>
      </c>
      <c r="O1117" s="1" t="str">
        <f t="shared" si="123"/>
        <v>26 2012</v>
      </c>
      <c r="P1117" s="1">
        <f t="shared" si="124"/>
        <v>23</v>
      </c>
      <c r="Q1117" s="1">
        <f t="shared" ca="1" si="125"/>
        <v>4043</v>
      </c>
      <c r="S1117" s="1">
        <f t="shared" si="119"/>
        <v>2118</v>
      </c>
    </row>
    <row r="1118" spans="1:19" x14ac:dyDescent="0.2">
      <c r="A1118" s="57" t="s">
        <v>241</v>
      </c>
      <c r="B1118" s="57" t="s">
        <v>225</v>
      </c>
      <c r="C1118" s="57" t="s">
        <v>226</v>
      </c>
      <c r="D1118" s="58">
        <v>317.08</v>
      </c>
      <c r="E1118" s="59">
        <v>41091</v>
      </c>
      <c r="F1118" s="58">
        <v>2118</v>
      </c>
      <c r="G1118" s="58">
        <v>613</v>
      </c>
      <c r="H1118" s="58">
        <v>610</v>
      </c>
      <c r="I1118" s="58">
        <v>2109</v>
      </c>
      <c r="J1118" s="58">
        <v>0</v>
      </c>
      <c r="K1118" s="1">
        <f t="shared" si="120"/>
        <v>193418.8</v>
      </c>
      <c r="L1118" s="1" t="str">
        <f t="shared" si="121"/>
        <v/>
      </c>
      <c r="M1118" s="1">
        <f>VLOOKUP(B1118,'[1]Срок Годности'!$A$2:$B$4,2,0)</f>
        <v>500</v>
      </c>
      <c r="N1118" s="60">
        <f t="shared" si="122"/>
        <v>0</v>
      </c>
      <c r="O1118" s="1" t="str">
        <f t="shared" si="123"/>
        <v>27 2012</v>
      </c>
      <c r="P1118" s="1">
        <f t="shared" si="124"/>
        <v>23</v>
      </c>
      <c r="Q1118" s="1">
        <f t="shared" ca="1" si="125"/>
        <v>4042</v>
      </c>
      <c r="S1118" s="1">
        <f t="shared" si="119"/>
        <v>2109</v>
      </c>
    </row>
    <row r="1119" spans="1:19" x14ac:dyDescent="0.2">
      <c r="A1119" s="57" t="s">
        <v>241</v>
      </c>
      <c r="B1119" s="57" t="s">
        <v>225</v>
      </c>
      <c r="C1119" s="57" t="s">
        <v>226</v>
      </c>
      <c r="D1119" s="58">
        <v>317.08</v>
      </c>
      <c r="E1119" s="59">
        <v>41092</v>
      </c>
      <c r="F1119" s="58">
        <v>2109</v>
      </c>
      <c r="G1119" s="58">
        <v>763</v>
      </c>
      <c r="H1119" s="58">
        <v>550</v>
      </c>
      <c r="I1119" s="58">
        <v>2319</v>
      </c>
      <c r="J1119" s="58">
        <v>0</v>
      </c>
      <c r="K1119" s="1">
        <f t="shared" si="120"/>
        <v>174394</v>
      </c>
      <c r="L1119" s="1" t="str">
        <f t="shared" si="121"/>
        <v/>
      </c>
      <c r="M1119" s="1">
        <f>VLOOKUP(B1119,'[1]Срок Годности'!$A$2:$B$4,2,0)</f>
        <v>500</v>
      </c>
      <c r="N1119" s="60">
        <f t="shared" si="122"/>
        <v>763</v>
      </c>
      <c r="O1119" s="1" t="str">
        <f t="shared" si="123"/>
        <v>27 2012</v>
      </c>
      <c r="P1119" s="1">
        <f t="shared" si="124"/>
        <v>23</v>
      </c>
      <c r="Q1119" s="1">
        <f t="shared" ca="1" si="125"/>
        <v>4041</v>
      </c>
      <c r="S1119" s="1">
        <f t="shared" si="119"/>
        <v>2319</v>
      </c>
    </row>
    <row r="1120" spans="1:19" x14ac:dyDescent="0.2">
      <c r="A1120" s="57" t="s">
        <v>241</v>
      </c>
      <c r="B1120" s="57" t="s">
        <v>225</v>
      </c>
      <c r="C1120" s="57" t="s">
        <v>226</v>
      </c>
      <c r="D1120" s="58">
        <v>317.08</v>
      </c>
      <c r="E1120" s="59">
        <v>41093</v>
      </c>
      <c r="F1120" s="58">
        <v>2319</v>
      </c>
      <c r="G1120" s="58">
        <v>749</v>
      </c>
      <c r="H1120" s="58">
        <v>678</v>
      </c>
      <c r="I1120" s="58">
        <v>2372</v>
      </c>
      <c r="J1120" s="58">
        <v>0</v>
      </c>
      <c r="K1120" s="1">
        <f t="shared" si="120"/>
        <v>214980.24</v>
      </c>
      <c r="L1120" s="1" t="str">
        <f t="shared" si="121"/>
        <v/>
      </c>
      <c r="M1120" s="1">
        <f>VLOOKUP(B1120,'[1]Срок Годности'!$A$2:$B$4,2,0)</f>
        <v>500</v>
      </c>
      <c r="N1120" s="60">
        <f t="shared" si="122"/>
        <v>749</v>
      </c>
      <c r="O1120" s="1" t="str">
        <f t="shared" si="123"/>
        <v>27 2012</v>
      </c>
      <c r="P1120" s="1">
        <f t="shared" si="124"/>
        <v>23</v>
      </c>
      <c r="Q1120" s="1">
        <f t="shared" ca="1" si="125"/>
        <v>4040</v>
      </c>
      <c r="S1120" s="1">
        <f t="shared" si="119"/>
        <v>2372</v>
      </c>
    </row>
    <row r="1121" spans="1:19" x14ac:dyDescent="0.2">
      <c r="A1121" s="57" t="s">
        <v>241</v>
      </c>
      <c r="B1121" s="57" t="s">
        <v>225</v>
      </c>
      <c r="C1121" s="57" t="s">
        <v>226</v>
      </c>
      <c r="D1121" s="58">
        <v>317.08</v>
      </c>
      <c r="E1121" s="59">
        <v>41094</v>
      </c>
      <c r="F1121" s="58">
        <v>2372</v>
      </c>
      <c r="G1121" s="58">
        <v>582</v>
      </c>
      <c r="H1121" s="58">
        <v>671</v>
      </c>
      <c r="I1121" s="58">
        <v>2274</v>
      </c>
      <c r="J1121" s="58">
        <v>0</v>
      </c>
      <c r="K1121" s="1">
        <f t="shared" si="120"/>
        <v>212760.68</v>
      </c>
      <c r="L1121" s="1" t="str">
        <f t="shared" si="121"/>
        <v/>
      </c>
      <c r="M1121" s="1">
        <f>VLOOKUP(B1121,'[1]Срок Годности'!$A$2:$B$4,2,0)</f>
        <v>500</v>
      </c>
      <c r="N1121" s="60">
        <f t="shared" si="122"/>
        <v>582</v>
      </c>
      <c r="O1121" s="1" t="str">
        <f t="shared" si="123"/>
        <v>27 2012</v>
      </c>
      <c r="P1121" s="1">
        <f t="shared" si="124"/>
        <v>23</v>
      </c>
      <c r="Q1121" s="1">
        <f t="shared" ca="1" si="125"/>
        <v>4039</v>
      </c>
      <c r="S1121" s="1">
        <f t="shared" si="119"/>
        <v>2274</v>
      </c>
    </row>
    <row r="1122" spans="1:19" x14ac:dyDescent="0.2">
      <c r="A1122" s="57" t="s">
        <v>241</v>
      </c>
      <c r="B1122" s="57" t="s">
        <v>225</v>
      </c>
      <c r="C1122" s="57" t="s">
        <v>226</v>
      </c>
      <c r="D1122" s="58">
        <v>317.08</v>
      </c>
      <c r="E1122" s="59">
        <v>41095</v>
      </c>
      <c r="F1122" s="58">
        <v>2274</v>
      </c>
      <c r="G1122" s="58">
        <v>701</v>
      </c>
      <c r="H1122" s="58">
        <v>590</v>
      </c>
      <c r="I1122" s="58">
        <v>2372</v>
      </c>
      <c r="J1122" s="58">
        <v>0</v>
      </c>
      <c r="K1122" s="1">
        <f t="shared" si="120"/>
        <v>187077.19999999998</v>
      </c>
      <c r="L1122" s="1" t="str">
        <f t="shared" si="121"/>
        <v/>
      </c>
      <c r="M1122" s="1">
        <f>VLOOKUP(B1122,'[1]Срок Годности'!$A$2:$B$4,2,0)</f>
        <v>500</v>
      </c>
      <c r="N1122" s="60">
        <f t="shared" si="122"/>
        <v>701</v>
      </c>
      <c r="O1122" s="1" t="str">
        <f t="shared" si="123"/>
        <v>27 2012</v>
      </c>
      <c r="P1122" s="1">
        <f t="shared" si="124"/>
        <v>23</v>
      </c>
      <c r="Q1122" s="1">
        <f t="shared" ca="1" si="125"/>
        <v>4038</v>
      </c>
      <c r="S1122" s="1">
        <f t="shared" si="119"/>
        <v>2372</v>
      </c>
    </row>
    <row r="1123" spans="1:19" x14ac:dyDescent="0.2">
      <c r="A1123" s="57" t="s">
        <v>241</v>
      </c>
      <c r="B1123" s="57" t="s">
        <v>225</v>
      </c>
      <c r="C1123" s="57" t="s">
        <v>226</v>
      </c>
      <c r="D1123" s="58">
        <v>317.08</v>
      </c>
      <c r="E1123" s="59">
        <v>41096</v>
      </c>
      <c r="F1123" s="58">
        <v>2372</v>
      </c>
      <c r="G1123" s="58">
        <v>803</v>
      </c>
      <c r="H1123" s="58">
        <v>696</v>
      </c>
      <c r="I1123" s="58">
        <v>2462</v>
      </c>
      <c r="J1123" s="58">
        <v>0</v>
      </c>
      <c r="K1123" s="1">
        <f t="shared" si="120"/>
        <v>220687.68</v>
      </c>
      <c r="L1123" s="1" t="str">
        <f t="shared" si="121"/>
        <v/>
      </c>
      <c r="M1123" s="1">
        <f>VLOOKUP(B1123,'[1]Срок Годности'!$A$2:$B$4,2,0)</f>
        <v>500</v>
      </c>
      <c r="N1123" s="60">
        <f t="shared" si="122"/>
        <v>803</v>
      </c>
      <c r="O1123" s="1" t="str">
        <f t="shared" si="123"/>
        <v>27 2012</v>
      </c>
      <c r="P1123" s="1">
        <f t="shared" si="124"/>
        <v>23</v>
      </c>
      <c r="Q1123" s="1">
        <f t="shared" ca="1" si="125"/>
        <v>4037</v>
      </c>
      <c r="S1123" s="1">
        <f t="shared" si="119"/>
        <v>2462</v>
      </c>
    </row>
    <row r="1124" spans="1:19" x14ac:dyDescent="0.2">
      <c r="A1124" s="57" t="s">
        <v>241</v>
      </c>
      <c r="B1124" s="57" t="s">
        <v>225</v>
      </c>
      <c r="C1124" s="57" t="s">
        <v>226</v>
      </c>
      <c r="D1124" s="58">
        <v>317.08</v>
      </c>
      <c r="E1124" s="59">
        <v>41097</v>
      </c>
      <c r="F1124" s="58">
        <v>2462</v>
      </c>
      <c r="G1124" s="58">
        <v>782</v>
      </c>
      <c r="H1124" s="58">
        <v>736</v>
      </c>
      <c r="I1124" s="58">
        <v>2495</v>
      </c>
      <c r="J1124" s="58">
        <v>0</v>
      </c>
      <c r="K1124" s="1">
        <f t="shared" si="120"/>
        <v>233370.87999999998</v>
      </c>
      <c r="L1124" s="1" t="str">
        <f t="shared" si="121"/>
        <v/>
      </c>
      <c r="M1124" s="1">
        <f>VLOOKUP(B1124,'[1]Срок Годности'!$A$2:$B$4,2,0)</f>
        <v>500</v>
      </c>
      <c r="N1124" s="60">
        <f t="shared" si="122"/>
        <v>782</v>
      </c>
      <c r="O1124" s="1" t="str">
        <f t="shared" si="123"/>
        <v>27 2012</v>
      </c>
      <c r="P1124" s="1">
        <f t="shared" si="124"/>
        <v>23</v>
      </c>
      <c r="Q1124" s="1">
        <f t="shared" ca="1" si="125"/>
        <v>4036</v>
      </c>
      <c r="S1124" s="1">
        <f t="shared" si="119"/>
        <v>2495</v>
      </c>
    </row>
    <row r="1125" spans="1:19" x14ac:dyDescent="0.2">
      <c r="A1125" s="57" t="s">
        <v>241</v>
      </c>
      <c r="B1125" s="57" t="s">
        <v>225</v>
      </c>
      <c r="C1125" s="57" t="s">
        <v>226</v>
      </c>
      <c r="D1125" s="58">
        <v>317.08</v>
      </c>
      <c r="E1125" s="59">
        <v>41098</v>
      </c>
      <c r="F1125" s="58">
        <v>2495</v>
      </c>
      <c r="G1125" s="58">
        <v>631</v>
      </c>
      <c r="H1125" s="58">
        <v>747</v>
      </c>
      <c r="I1125" s="58">
        <v>2368</v>
      </c>
      <c r="J1125" s="58">
        <v>0</v>
      </c>
      <c r="K1125" s="1">
        <f t="shared" si="120"/>
        <v>236858.75999999998</v>
      </c>
      <c r="L1125" s="1" t="str">
        <f t="shared" si="121"/>
        <v/>
      </c>
      <c r="M1125" s="1">
        <f>VLOOKUP(B1125,'[1]Срок Годности'!$A$2:$B$4,2,0)</f>
        <v>500</v>
      </c>
      <c r="N1125" s="60">
        <f t="shared" si="122"/>
        <v>0</v>
      </c>
      <c r="O1125" s="1" t="str">
        <f t="shared" si="123"/>
        <v>28 2012</v>
      </c>
      <c r="P1125" s="1">
        <f t="shared" si="124"/>
        <v>23</v>
      </c>
      <c r="Q1125" s="1">
        <f t="shared" ca="1" si="125"/>
        <v>4035</v>
      </c>
      <c r="S1125" s="1">
        <f t="shared" si="119"/>
        <v>2368</v>
      </c>
    </row>
    <row r="1126" spans="1:19" x14ac:dyDescent="0.2">
      <c r="A1126" s="57" t="s">
        <v>241</v>
      </c>
      <c r="B1126" s="57" t="s">
        <v>225</v>
      </c>
      <c r="C1126" s="57" t="s">
        <v>226</v>
      </c>
      <c r="D1126" s="58">
        <v>317.08</v>
      </c>
      <c r="E1126" s="59">
        <v>41099</v>
      </c>
      <c r="F1126" s="58">
        <v>2368</v>
      </c>
      <c r="G1126" s="58">
        <v>849</v>
      </c>
      <c r="H1126" s="58">
        <v>609</v>
      </c>
      <c r="I1126" s="58">
        <v>2594</v>
      </c>
      <c r="J1126" s="58">
        <v>0</v>
      </c>
      <c r="K1126" s="1">
        <f t="shared" si="120"/>
        <v>193101.72</v>
      </c>
      <c r="L1126" s="1" t="str">
        <f t="shared" si="121"/>
        <v/>
      </c>
      <c r="M1126" s="1">
        <f>VLOOKUP(B1126,'[1]Срок Годности'!$A$2:$B$4,2,0)</f>
        <v>500</v>
      </c>
      <c r="N1126" s="60">
        <f t="shared" si="122"/>
        <v>849</v>
      </c>
      <c r="O1126" s="1" t="str">
        <f t="shared" si="123"/>
        <v>28 2012</v>
      </c>
      <c r="P1126" s="1">
        <f t="shared" si="124"/>
        <v>23</v>
      </c>
      <c r="Q1126" s="1">
        <f t="shared" ca="1" si="125"/>
        <v>4034</v>
      </c>
      <c r="S1126" s="1">
        <f t="shared" si="119"/>
        <v>2594</v>
      </c>
    </row>
    <row r="1127" spans="1:19" x14ac:dyDescent="0.2">
      <c r="A1127" s="57" t="s">
        <v>241</v>
      </c>
      <c r="B1127" s="57" t="s">
        <v>225</v>
      </c>
      <c r="C1127" s="57" t="s">
        <v>226</v>
      </c>
      <c r="D1127" s="58">
        <v>317.08</v>
      </c>
      <c r="E1127" s="59">
        <v>41100</v>
      </c>
      <c r="F1127" s="58">
        <v>2594</v>
      </c>
      <c r="G1127" s="58">
        <v>846</v>
      </c>
      <c r="H1127" s="58">
        <v>598</v>
      </c>
      <c r="I1127" s="58">
        <v>2822</v>
      </c>
      <c r="J1127" s="58">
        <v>0</v>
      </c>
      <c r="K1127" s="1">
        <f t="shared" si="120"/>
        <v>189613.84</v>
      </c>
      <c r="L1127" s="1" t="str">
        <f t="shared" si="121"/>
        <v/>
      </c>
      <c r="M1127" s="1">
        <f>VLOOKUP(B1127,'[1]Срок Годности'!$A$2:$B$4,2,0)</f>
        <v>500</v>
      </c>
      <c r="N1127" s="60">
        <f t="shared" si="122"/>
        <v>846</v>
      </c>
      <c r="O1127" s="1" t="str">
        <f t="shared" si="123"/>
        <v>28 2012</v>
      </c>
      <c r="P1127" s="1">
        <f t="shared" si="124"/>
        <v>23</v>
      </c>
      <c r="Q1127" s="1">
        <f t="shared" ca="1" si="125"/>
        <v>4033</v>
      </c>
      <c r="S1127" s="1">
        <f t="shared" si="119"/>
        <v>2822</v>
      </c>
    </row>
    <row r="1128" spans="1:19" x14ac:dyDescent="0.2">
      <c r="A1128" s="57" t="s">
        <v>241</v>
      </c>
      <c r="B1128" s="57" t="s">
        <v>225</v>
      </c>
      <c r="C1128" s="57" t="s">
        <v>226</v>
      </c>
      <c r="D1128" s="58">
        <v>317.08</v>
      </c>
      <c r="E1128" s="59">
        <v>41101</v>
      </c>
      <c r="F1128" s="58">
        <v>2822</v>
      </c>
      <c r="G1128" s="58">
        <v>592</v>
      </c>
      <c r="H1128" s="58">
        <v>626</v>
      </c>
      <c r="I1128" s="58">
        <v>2774</v>
      </c>
      <c r="J1128" s="58">
        <v>0</v>
      </c>
      <c r="K1128" s="1">
        <f t="shared" si="120"/>
        <v>198492.08</v>
      </c>
      <c r="L1128" s="1" t="str">
        <f t="shared" si="121"/>
        <v/>
      </c>
      <c r="M1128" s="1">
        <f>VLOOKUP(B1128,'[1]Срок Годности'!$A$2:$B$4,2,0)</f>
        <v>500</v>
      </c>
      <c r="N1128" s="60">
        <f t="shared" si="122"/>
        <v>592</v>
      </c>
      <c r="O1128" s="1" t="str">
        <f t="shared" si="123"/>
        <v>28 2012</v>
      </c>
      <c r="P1128" s="1">
        <f t="shared" si="124"/>
        <v>23</v>
      </c>
      <c r="Q1128" s="1">
        <f t="shared" ca="1" si="125"/>
        <v>4032</v>
      </c>
      <c r="S1128" s="1">
        <f t="shared" si="119"/>
        <v>2774</v>
      </c>
    </row>
    <row r="1129" spans="1:19" x14ac:dyDescent="0.2">
      <c r="A1129" s="57" t="s">
        <v>241</v>
      </c>
      <c r="B1129" s="57" t="s">
        <v>225</v>
      </c>
      <c r="C1129" s="57" t="s">
        <v>226</v>
      </c>
      <c r="D1129" s="58">
        <v>317.08</v>
      </c>
      <c r="E1129" s="59">
        <v>41102</v>
      </c>
      <c r="F1129" s="58">
        <v>2774</v>
      </c>
      <c r="G1129" s="58">
        <v>345</v>
      </c>
      <c r="H1129" s="58">
        <v>623</v>
      </c>
      <c r="I1129" s="58">
        <v>2486</v>
      </c>
      <c r="J1129" s="58">
        <v>0</v>
      </c>
      <c r="K1129" s="1">
        <f t="shared" si="120"/>
        <v>197540.84</v>
      </c>
      <c r="L1129" s="1" t="str">
        <f t="shared" si="121"/>
        <v/>
      </c>
      <c r="M1129" s="1">
        <f>VLOOKUP(B1129,'[1]Срок Годности'!$A$2:$B$4,2,0)</f>
        <v>500</v>
      </c>
      <c r="N1129" s="60">
        <f t="shared" si="122"/>
        <v>345</v>
      </c>
      <c r="O1129" s="1" t="str">
        <f t="shared" si="123"/>
        <v>28 2012</v>
      </c>
      <c r="P1129" s="1">
        <f t="shared" si="124"/>
        <v>23</v>
      </c>
      <c r="Q1129" s="1">
        <f t="shared" ca="1" si="125"/>
        <v>4031</v>
      </c>
      <c r="S1129" s="1">
        <f t="shared" si="119"/>
        <v>2486</v>
      </c>
    </row>
    <row r="1130" spans="1:19" x14ac:dyDescent="0.2">
      <c r="A1130" s="57" t="s">
        <v>241</v>
      </c>
      <c r="B1130" s="57" t="s">
        <v>225</v>
      </c>
      <c r="C1130" s="57" t="s">
        <v>226</v>
      </c>
      <c r="D1130" s="58">
        <v>317.08</v>
      </c>
      <c r="E1130" s="59">
        <v>41103</v>
      </c>
      <c r="F1130" s="58">
        <v>2486</v>
      </c>
      <c r="G1130" s="58">
        <v>584</v>
      </c>
      <c r="H1130" s="58">
        <v>559</v>
      </c>
      <c r="I1130" s="58">
        <v>2486</v>
      </c>
      <c r="J1130" s="58">
        <v>0</v>
      </c>
      <c r="K1130" s="1">
        <f t="shared" si="120"/>
        <v>177247.72</v>
      </c>
      <c r="L1130" s="1" t="str">
        <f t="shared" si="121"/>
        <v/>
      </c>
      <c r="M1130" s="1">
        <f>VLOOKUP(B1130,'[1]Срок Годности'!$A$2:$B$4,2,0)</f>
        <v>500</v>
      </c>
      <c r="N1130" s="60">
        <f t="shared" si="122"/>
        <v>584</v>
      </c>
      <c r="O1130" s="1" t="str">
        <f t="shared" si="123"/>
        <v>28 2012</v>
      </c>
      <c r="P1130" s="1">
        <f t="shared" si="124"/>
        <v>23</v>
      </c>
      <c r="Q1130" s="1">
        <f t="shared" ca="1" si="125"/>
        <v>4030</v>
      </c>
      <c r="S1130" s="1">
        <f t="shared" si="119"/>
        <v>2486</v>
      </c>
    </row>
    <row r="1131" spans="1:19" x14ac:dyDescent="0.2">
      <c r="A1131" s="57" t="s">
        <v>241</v>
      </c>
      <c r="B1131" s="57" t="s">
        <v>225</v>
      </c>
      <c r="C1131" s="57" t="s">
        <v>226</v>
      </c>
      <c r="D1131" s="58">
        <v>317.08</v>
      </c>
      <c r="E1131" s="59">
        <v>41104</v>
      </c>
      <c r="F1131" s="58">
        <v>2486</v>
      </c>
      <c r="G1131" s="58">
        <v>496</v>
      </c>
      <c r="H1131" s="58">
        <v>644</v>
      </c>
      <c r="I1131" s="58">
        <v>2332</v>
      </c>
      <c r="J1131" s="58">
        <v>0</v>
      </c>
      <c r="K1131" s="1">
        <f t="shared" si="120"/>
        <v>204199.52</v>
      </c>
      <c r="L1131" s="1" t="str">
        <f t="shared" si="121"/>
        <v/>
      </c>
      <c r="M1131" s="1">
        <f>VLOOKUP(B1131,'[1]Срок Годности'!$A$2:$B$4,2,0)</f>
        <v>500</v>
      </c>
      <c r="N1131" s="60">
        <f t="shared" si="122"/>
        <v>496</v>
      </c>
      <c r="O1131" s="1" t="str">
        <f t="shared" si="123"/>
        <v>28 2012</v>
      </c>
      <c r="P1131" s="1">
        <f t="shared" si="124"/>
        <v>23</v>
      </c>
      <c r="Q1131" s="1">
        <f t="shared" ca="1" si="125"/>
        <v>4029</v>
      </c>
      <c r="S1131" s="1">
        <f t="shared" si="119"/>
        <v>2332</v>
      </c>
    </row>
    <row r="1132" spans="1:19" x14ac:dyDescent="0.2">
      <c r="A1132" s="57" t="s">
        <v>241</v>
      </c>
      <c r="B1132" s="57" t="s">
        <v>225</v>
      </c>
      <c r="C1132" s="57" t="s">
        <v>226</v>
      </c>
      <c r="D1132" s="58">
        <v>317.08</v>
      </c>
      <c r="E1132" s="59">
        <v>41105</v>
      </c>
      <c r="F1132" s="58">
        <v>2332</v>
      </c>
      <c r="G1132" s="58">
        <v>551</v>
      </c>
      <c r="H1132" s="58">
        <v>542</v>
      </c>
      <c r="I1132" s="58">
        <v>2337</v>
      </c>
      <c r="J1132" s="58">
        <v>0</v>
      </c>
      <c r="K1132" s="1">
        <f t="shared" si="120"/>
        <v>171857.36</v>
      </c>
      <c r="L1132" s="1" t="str">
        <f t="shared" si="121"/>
        <v/>
      </c>
      <c r="M1132" s="1">
        <f>VLOOKUP(B1132,'[1]Срок Годности'!$A$2:$B$4,2,0)</f>
        <v>500</v>
      </c>
      <c r="N1132" s="60">
        <f t="shared" si="122"/>
        <v>0</v>
      </c>
      <c r="O1132" s="1" t="str">
        <f t="shared" si="123"/>
        <v>29 2012</v>
      </c>
      <c r="P1132" s="1">
        <f t="shared" si="124"/>
        <v>23</v>
      </c>
      <c r="Q1132" s="1">
        <f t="shared" ca="1" si="125"/>
        <v>4028</v>
      </c>
      <c r="S1132" s="1">
        <f t="shared" si="119"/>
        <v>2337</v>
      </c>
    </row>
    <row r="1133" spans="1:19" x14ac:dyDescent="0.2">
      <c r="A1133" s="57" t="s">
        <v>241</v>
      </c>
      <c r="B1133" s="57" t="s">
        <v>225</v>
      </c>
      <c r="C1133" s="57" t="s">
        <v>226</v>
      </c>
      <c r="D1133" s="58">
        <v>317.08</v>
      </c>
      <c r="E1133" s="59">
        <v>41106</v>
      </c>
      <c r="F1133" s="58">
        <v>2337</v>
      </c>
      <c r="G1133" s="58">
        <v>488</v>
      </c>
      <c r="H1133" s="58">
        <v>550</v>
      </c>
      <c r="I1133" s="58">
        <v>2275</v>
      </c>
      <c r="J1133" s="58">
        <v>0</v>
      </c>
      <c r="K1133" s="1">
        <f t="shared" si="120"/>
        <v>174394</v>
      </c>
      <c r="L1133" s="1" t="str">
        <f t="shared" si="121"/>
        <v/>
      </c>
      <c r="M1133" s="1">
        <f>VLOOKUP(B1133,'[1]Срок Годности'!$A$2:$B$4,2,0)</f>
        <v>500</v>
      </c>
      <c r="N1133" s="60">
        <f t="shared" si="122"/>
        <v>488</v>
      </c>
      <c r="O1133" s="1" t="str">
        <f t="shared" si="123"/>
        <v>29 2012</v>
      </c>
      <c r="P1133" s="1">
        <f t="shared" si="124"/>
        <v>23</v>
      </c>
      <c r="Q1133" s="1">
        <f t="shared" ca="1" si="125"/>
        <v>4027</v>
      </c>
      <c r="S1133" s="1">
        <f t="shared" si="119"/>
        <v>2275</v>
      </c>
    </row>
    <row r="1134" spans="1:19" x14ac:dyDescent="0.2">
      <c r="A1134" s="57" t="s">
        <v>241</v>
      </c>
      <c r="B1134" s="57" t="s">
        <v>225</v>
      </c>
      <c r="C1134" s="57" t="s">
        <v>226</v>
      </c>
      <c r="D1134" s="58">
        <v>317.08</v>
      </c>
      <c r="E1134" s="59">
        <v>41107</v>
      </c>
      <c r="F1134" s="58">
        <v>2275</v>
      </c>
      <c r="G1134" s="58">
        <v>608</v>
      </c>
      <c r="H1134" s="58">
        <v>397</v>
      </c>
      <c r="I1134" s="58">
        <v>2479</v>
      </c>
      <c r="J1134" s="58">
        <v>0</v>
      </c>
      <c r="K1134" s="1">
        <f t="shared" si="120"/>
        <v>125880.76</v>
      </c>
      <c r="L1134" s="1" t="str">
        <f t="shared" si="121"/>
        <v/>
      </c>
      <c r="M1134" s="1">
        <f>VLOOKUP(B1134,'[1]Срок Годности'!$A$2:$B$4,2,0)</f>
        <v>500</v>
      </c>
      <c r="N1134" s="60">
        <f t="shared" si="122"/>
        <v>608</v>
      </c>
      <c r="O1134" s="1" t="str">
        <f t="shared" si="123"/>
        <v>29 2012</v>
      </c>
      <c r="P1134" s="1">
        <f t="shared" si="124"/>
        <v>23</v>
      </c>
      <c r="Q1134" s="1">
        <f t="shared" ca="1" si="125"/>
        <v>4026</v>
      </c>
      <c r="S1134" s="1">
        <f t="shared" si="119"/>
        <v>2479</v>
      </c>
    </row>
    <row r="1135" spans="1:19" x14ac:dyDescent="0.2">
      <c r="A1135" s="57" t="s">
        <v>241</v>
      </c>
      <c r="B1135" s="57" t="s">
        <v>244</v>
      </c>
      <c r="C1135" s="57" t="s">
        <v>245</v>
      </c>
      <c r="D1135" s="58">
        <v>33.659999999999997</v>
      </c>
      <c r="E1135" s="59">
        <v>41061</v>
      </c>
      <c r="F1135" s="58">
        <v>53254</v>
      </c>
      <c r="G1135" s="58">
        <v>23820</v>
      </c>
      <c r="H1135" s="58">
        <v>12518</v>
      </c>
      <c r="I1135" s="58">
        <v>64538</v>
      </c>
      <c r="J1135" s="58">
        <v>2</v>
      </c>
      <c r="K1135" s="1">
        <f t="shared" si="120"/>
        <v>421355.87999999995</v>
      </c>
      <c r="L1135" s="1">
        <f t="shared" si="121"/>
        <v>12518</v>
      </c>
      <c r="M1135" s="1">
        <f>VLOOKUP(B1135,'[1]Срок Годности'!$A$2:$B$4,2,0)</f>
        <v>1500</v>
      </c>
      <c r="N1135" s="60">
        <f t="shared" si="122"/>
        <v>23820</v>
      </c>
      <c r="O1135" s="1" t="str">
        <f t="shared" si="123"/>
        <v>22 2012</v>
      </c>
      <c r="P1135" s="1">
        <f t="shared" si="124"/>
        <v>21</v>
      </c>
      <c r="Q1135" s="1">
        <f t="shared" ca="1" si="125"/>
        <v>4072</v>
      </c>
      <c r="S1135" s="1">
        <f t="shared" si="119"/>
        <v>64536</v>
      </c>
    </row>
    <row r="1136" spans="1:19" x14ac:dyDescent="0.2">
      <c r="A1136" s="57" t="s">
        <v>241</v>
      </c>
      <c r="B1136" s="57" t="s">
        <v>244</v>
      </c>
      <c r="C1136" s="57" t="s">
        <v>245</v>
      </c>
      <c r="D1136" s="58">
        <v>33.659999999999997</v>
      </c>
      <c r="E1136" s="59">
        <v>41062</v>
      </c>
      <c r="F1136" s="58">
        <v>64538</v>
      </c>
      <c r="G1136" s="58">
        <v>11924</v>
      </c>
      <c r="H1136" s="58">
        <v>12850</v>
      </c>
      <c r="I1136" s="58">
        <v>63489</v>
      </c>
      <c r="J1136" s="58">
        <v>3</v>
      </c>
      <c r="K1136" s="1">
        <f t="shared" si="120"/>
        <v>432530.99999999994</v>
      </c>
      <c r="L1136" s="1">
        <f t="shared" si="121"/>
        <v>12850</v>
      </c>
      <c r="M1136" s="1">
        <f>VLOOKUP(B1136,'[1]Срок Годности'!$A$2:$B$4,2,0)</f>
        <v>1500</v>
      </c>
      <c r="N1136" s="60">
        <f t="shared" si="122"/>
        <v>11924</v>
      </c>
      <c r="O1136" s="1" t="str">
        <f t="shared" si="123"/>
        <v>22 2012</v>
      </c>
      <c r="P1136" s="1">
        <f t="shared" si="124"/>
        <v>21</v>
      </c>
      <c r="Q1136" s="1">
        <f t="shared" ca="1" si="125"/>
        <v>4071</v>
      </c>
      <c r="S1136" s="1">
        <f t="shared" si="119"/>
        <v>63486</v>
      </c>
    </row>
    <row r="1137" spans="1:19" x14ac:dyDescent="0.2">
      <c r="A1137" s="57" t="s">
        <v>241</v>
      </c>
      <c r="B1137" s="57" t="s">
        <v>244</v>
      </c>
      <c r="C1137" s="57" t="s">
        <v>245</v>
      </c>
      <c r="D1137" s="58">
        <v>33.659999999999997</v>
      </c>
      <c r="E1137" s="59">
        <v>41063</v>
      </c>
      <c r="F1137" s="58">
        <v>63489</v>
      </c>
      <c r="G1137" s="58">
        <v>16534</v>
      </c>
      <c r="H1137" s="58">
        <v>12640</v>
      </c>
      <c r="I1137" s="58">
        <v>67171</v>
      </c>
      <c r="J1137" s="58">
        <v>0</v>
      </c>
      <c r="K1137" s="1">
        <f t="shared" si="120"/>
        <v>425462.39999999997</v>
      </c>
      <c r="L1137" s="1">
        <f t="shared" si="121"/>
        <v>12640</v>
      </c>
      <c r="M1137" s="1">
        <f>VLOOKUP(B1137,'[1]Срок Годности'!$A$2:$B$4,2,0)</f>
        <v>1500</v>
      </c>
      <c r="N1137" s="60">
        <f t="shared" si="122"/>
        <v>0</v>
      </c>
      <c r="O1137" s="1" t="str">
        <f t="shared" si="123"/>
        <v>23 2012</v>
      </c>
      <c r="P1137" s="1">
        <f t="shared" si="124"/>
        <v>21</v>
      </c>
      <c r="Q1137" s="1">
        <f t="shared" ca="1" si="125"/>
        <v>4070</v>
      </c>
      <c r="S1137" s="1">
        <f t="shared" si="119"/>
        <v>67171</v>
      </c>
    </row>
    <row r="1138" spans="1:19" x14ac:dyDescent="0.2">
      <c r="A1138" s="57" t="s">
        <v>241</v>
      </c>
      <c r="B1138" s="57" t="s">
        <v>244</v>
      </c>
      <c r="C1138" s="57" t="s">
        <v>245</v>
      </c>
      <c r="D1138" s="58">
        <v>33.659999999999997</v>
      </c>
      <c r="E1138" s="59">
        <v>41064</v>
      </c>
      <c r="F1138" s="58">
        <v>67171</v>
      </c>
      <c r="G1138" s="58">
        <v>16250</v>
      </c>
      <c r="H1138" s="58">
        <v>13426</v>
      </c>
      <c r="I1138" s="58">
        <v>70114</v>
      </c>
      <c r="J1138" s="58">
        <v>0</v>
      </c>
      <c r="K1138" s="1">
        <f t="shared" si="120"/>
        <v>451919.16</v>
      </c>
      <c r="L1138" s="1">
        <f t="shared" si="121"/>
        <v>13426</v>
      </c>
      <c r="M1138" s="1">
        <f>VLOOKUP(B1138,'[1]Срок Годности'!$A$2:$B$4,2,0)</f>
        <v>1500</v>
      </c>
      <c r="N1138" s="60">
        <f t="shared" si="122"/>
        <v>16250</v>
      </c>
      <c r="O1138" s="1" t="str">
        <f t="shared" si="123"/>
        <v>23 2012</v>
      </c>
      <c r="P1138" s="1">
        <f t="shared" si="124"/>
        <v>21</v>
      </c>
      <c r="Q1138" s="1">
        <f t="shared" ca="1" si="125"/>
        <v>4069</v>
      </c>
      <c r="S1138" s="1">
        <f t="shared" si="119"/>
        <v>70114</v>
      </c>
    </row>
    <row r="1139" spans="1:19" x14ac:dyDescent="0.2">
      <c r="A1139" s="57" t="s">
        <v>241</v>
      </c>
      <c r="B1139" s="57" t="s">
        <v>244</v>
      </c>
      <c r="C1139" s="57" t="s">
        <v>245</v>
      </c>
      <c r="D1139" s="58">
        <v>33.659999999999997</v>
      </c>
      <c r="E1139" s="59">
        <v>41065</v>
      </c>
      <c r="F1139" s="58">
        <v>70114</v>
      </c>
      <c r="G1139" s="58">
        <v>11290</v>
      </c>
      <c r="H1139" s="58">
        <v>13185</v>
      </c>
      <c r="I1139" s="58">
        <v>68041</v>
      </c>
      <c r="J1139" s="58">
        <v>0</v>
      </c>
      <c r="K1139" s="1">
        <f t="shared" si="120"/>
        <v>443807.1</v>
      </c>
      <c r="L1139" s="1">
        <f t="shared" si="121"/>
        <v>13185</v>
      </c>
      <c r="M1139" s="1">
        <f>VLOOKUP(B1139,'[1]Срок Годности'!$A$2:$B$4,2,0)</f>
        <v>1500</v>
      </c>
      <c r="N1139" s="60">
        <f t="shared" si="122"/>
        <v>11290</v>
      </c>
      <c r="O1139" s="1" t="str">
        <f t="shared" si="123"/>
        <v>23 2012</v>
      </c>
      <c r="P1139" s="1">
        <f t="shared" si="124"/>
        <v>21</v>
      </c>
      <c r="Q1139" s="1">
        <f t="shared" ca="1" si="125"/>
        <v>4068</v>
      </c>
      <c r="S1139" s="1">
        <f t="shared" si="119"/>
        <v>68041</v>
      </c>
    </row>
    <row r="1140" spans="1:19" x14ac:dyDescent="0.2">
      <c r="A1140" s="57" t="s">
        <v>241</v>
      </c>
      <c r="B1140" s="57" t="s">
        <v>244</v>
      </c>
      <c r="C1140" s="57" t="s">
        <v>245</v>
      </c>
      <c r="D1140" s="58">
        <v>33.659999999999997</v>
      </c>
      <c r="E1140" s="59">
        <v>41066</v>
      </c>
      <c r="F1140" s="58">
        <v>68041</v>
      </c>
      <c r="G1140" s="58">
        <v>15579</v>
      </c>
      <c r="H1140" s="58">
        <v>14033</v>
      </c>
      <c r="I1140" s="58">
        <v>69398</v>
      </c>
      <c r="J1140" s="58">
        <v>0</v>
      </c>
      <c r="K1140" s="1">
        <f t="shared" si="120"/>
        <v>472350.77999999997</v>
      </c>
      <c r="L1140" s="1">
        <f t="shared" si="121"/>
        <v>14033</v>
      </c>
      <c r="M1140" s="1">
        <f>VLOOKUP(B1140,'[1]Срок Годности'!$A$2:$B$4,2,0)</f>
        <v>1500</v>
      </c>
      <c r="N1140" s="60">
        <f t="shared" si="122"/>
        <v>15579</v>
      </c>
      <c r="O1140" s="1" t="str">
        <f t="shared" si="123"/>
        <v>23 2012</v>
      </c>
      <c r="P1140" s="1">
        <f t="shared" si="124"/>
        <v>21</v>
      </c>
      <c r="Q1140" s="1">
        <f t="shared" ca="1" si="125"/>
        <v>4067</v>
      </c>
      <c r="S1140" s="1">
        <f t="shared" si="119"/>
        <v>69398</v>
      </c>
    </row>
    <row r="1141" spans="1:19" x14ac:dyDescent="0.2">
      <c r="A1141" s="57" t="s">
        <v>241</v>
      </c>
      <c r="B1141" s="57" t="s">
        <v>244</v>
      </c>
      <c r="C1141" s="57" t="s">
        <v>245</v>
      </c>
      <c r="D1141" s="58">
        <v>33.659999999999997</v>
      </c>
      <c r="E1141" s="59">
        <v>41067</v>
      </c>
      <c r="F1141" s="58">
        <v>69398</v>
      </c>
      <c r="G1141" s="58">
        <v>14457</v>
      </c>
      <c r="H1141" s="58">
        <v>14209</v>
      </c>
      <c r="I1141" s="58">
        <v>69645</v>
      </c>
      <c r="J1141" s="58">
        <v>0</v>
      </c>
      <c r="K1141" s="1">
        <f t="shared" si="120"/>
        <v>478274.93999999994</v>
      </c>
      <c r="L1141" s="1">
        <f t="shared" si="121"/>
        <v>14209</v>
      </c>
      <c r="M1141" s="1">
        <f>VLOOKUP(B1141,'[1]Срок Годности'!$A$2:$B$4,2,0)</f>
        <v>1500</v>
      </c>
      <c r="N1141" s="60">
        <f t="shared" si="122"/>
        <v>14457</v>
      </c>
      <c r="O1141" s="1" t="str">
        <f t="shared" si="123"/>
        <v>23 2012</v>
      </c>
      <c r="P1141" s="1">
        <f t="shared" si="124"/>
        <v>21</v>
      </c>
      <c r="Q1141" s="1">
        <f t="shared" ca="1" si="125"/>
        <v>4066</v>
      </c>
      <c r="S1141" s="1">
        <f t="shared" si="119"/>
        <v>69645</v>
      </c>
    </row>
    <row r="1142" spans="1:19" x14ac:dyDescent="0.2">
      <c r="A1142" s="57" t="s">
        <v>241</v>
      </c>
      <c r="B1142" s="57" t="s">
        <v>244</v>
      </c>
      <c r="C1142" s="57" t="s">
        <v>245</v>
      </c>
      <c r="D1142" s="58">
        <v>33.659999999999997</v>
      </c>
      <c r="E1142" s="59">
        <v>41068</v>
      </c>
      <c r="F1142" s="58">
        <v>69645</v>
      </c>
      <c r="G1142" s="58">
        <v>15751</v>
      </c>
      <c r="H1142" s="58">
        <v>14812</v>
      </c>
      <c r="I1142" s="58">
        <v>70313</v>
      </c>
      <c r="J1142" s="58">
        <v>0</v>
      </c>
      <c r="K1142" s="1">
        <f t="shared" si="120"/>
        <v>498571.91999999993</v>
      </c>
      <c r="L1142" s="1">
        <f t="shared" si="121"/>
        <v>14812</v>
      </c>
      <c r="M1142" s="1">
        <f>VLOOKUP(B1142,'[1]Срок Годности'!$A$2:$B$4,2,0)</f>
        <v>1500</v>
      </c>
      <c r="N1142" s="60">
        <f t="shared" si="122"/>
        <v>15751</v>
      </c>
      <c r="O1142" s="1" t="str">
        <f t="shared" si="123"/>
        <v>23 2012</v>
      </c>
      <c r="P1142" s="1">
        <f t="shared" si="124"/>
        <v>21</v>
      </c>
      <c r="Q1142" s="1">
        <f t="shared" ca="1" si="125"/>
        <v>4065</v>
      </c>
      <c r="S1142" s="1">
        <f t="shared" si="119"/>
        <v>70313</v>
      </c>
    </row>
    <row r="1143" spans="1:19" x14ac:dyDescent="0.2">
      <c r="A1143" s="57" t="s">
        <v>241</v>
      </c>
      <c r="B1143" s="57" t="s">
        <v>244</v>
      </c>
      <c r="C1143" s="57" t="s">
        <v>245</v>
      </c>
      <c r="D1143" s="58">
        <v>33.659999999999997</v>
      </c>
      <c r="E1143" s="59">
        <v>41069</v>
      </c>
      <c r="F1143" s="58">
        <v>70313</v>
      </c>
      <c r="G1143" s="58">
        <v>13005</v>
      </c>
      <c r="H1143" s="58">
        <v>15349</v>
      </c>
      <c r="I1143" s="58">
        <v>68053</v>
      </c>
      <c r="J1143" s="58">
        <v>1</v>
      </c>
      <c r="K1143" s="1">
        <f t="shared" si="120"/>
        <v>516647.33999999997</v>
      </c>
      <c r="L1143" s="1">
        <f t="shared" si="121"/>
        <v>15349</v>
      </c>
      <c r="M1143" s="1">
        <f>VLOOKUP(B1143,'[1]Срок Годности'!$A$2:$B$4,2,0)</f>
        <v>1500</v>
      </c>
      <c r="N1143" s="60">
        <f t="shared" si="122"/>
        <v>13005</v>
      </c>
      <c r="O1143" s="1" t="str">
        <f t="shared" si="123"/>
        <v>23 2012</v>
      </c>
      <c r="P1143" s="1">
        <f t="shared" si="124"/>
        <v>21</v>
      </c>
      <c r="Q1143" s="1">
        <f t="shared" ca="1" si="125"/>
        <v>4064</v>
      </c>
      <c r="S1143" s="1">
        <f t="shared" si="119"/>
        <v>68052</v>
      </c>
    </row>
    <row r="1144" spans="1:19" x14ac:dyDescent="0.2">
      <c r="A1144" s="57" t="s">
        <v>241</v>
      </c>
      <c r="B1144" s="57" t="s">
        <v>244</v>
      </c>
      <c r="C1144" s="57" t="s">
        <v>245</v>
      </c>
      <c r="D1144" s="58">
        <v>33.659999999999997</v>
      </c>
      <c r="E1144" s="59">
        <v>41070</v>
      </c>
      <c r="F1144" s="58">
        <v>68053</v>
      </c>
      <c r="G1144" s="58">
        <v>13192</v>
      </c>
      <c r="H1144" s="58">
        <v>16556</v>
      </c>
      <c r="I1144" s="58">
        <v>64672</v>
      </c>
      <c r="J1144" s="58">
        <v>0</v>
      </c>
      <c r="K1144" s="1">
        <f t="shared" si="120"/>
        <v>557274.96</v>
      </c>
      <c r="L1144" s="1">
        <f t="shared" si="121"/>
        <v>16556</v>
      </c>
      <c r="M1144" s="1">
        <f>VLOOKUP(B1144,'[1]Срок Годности'!$A$2:$B$4,2,0)</f>
        <v>1500</v>
      </c>
      <c r="N1144" s="60">
        <f t="shared" si="122"/>
        <v>0</v>
      </c>
      <c r="O1144" s="1" t="str">
        <f t="shared" si="123"/>
        <v>24 2012</v>
      </c>
      <c r="P1144" s="1">
        <f t="shared" si="124"/>
        <v>21</v>
      </c>
      <c r="Q1144" s="1">
        <f t="shared" ca="1" si="125"/>
        <v>4063</v>
      </c>
      <c r="S1144" s="1">
        <f t="shared" si="119"/>
        <v>64672</v>
      </c>
    </row>
    <row r="1145" spans="1:19" x14ac:dyDescent="0.2">
      <c r="A1145" s="57" t="s">
        <v>241</v>
      </c>
      <c r="B1145" s="57" t="s">
        <v>244</v>
      </c>
      <c r="C1145" s="57" t="s">
        <v>245</v>
      </c>
      <c r="D1145" s="58">
        <v>33.659999999999997</v>
      </c>
      <c r="E1145" s="59">
        <v>41071</v>
      </c>
      <c r="F1145" s="58">
        <v>64672</v>
      </c>
      <c r="G1145" s="58">
        <v>14397</v>
      </c>
      <c r="H1145" s="58">
        <v>18928</v>
      </c>
      <c r="I1145" s="58">
        <v>60354</v>
      </c>
      <c r="J1145" s="58">
        <v>1</v>
      </c>
      <c r="K1145" s="1">
        <f t="shared" si="120"/>
        <v>637116.48</v>
      </c>
      <c r="L1145" s="1">
        <f t="shared" si="121"/>
        <v>18928</v>
      </c>
      <c r="M1145" s="1">
        <f>VLOOKUP(B1145,'[1]Срок Годности'!$A$2:$B$4,2,0)</f>
        <v>1500</v>
      </c>
      <c r="N1145" s="60">
        <f t="shared" si="122"/>
        <v>14397</v>
      </c>
      <c r="O1145" s="1" t="str">
        <f t="shared" si="123"/>
        <v>24 2012</v>
      </c>
      <c r="P1145" s="1">
        <f t="shared" si="124"/>
        <v>21</v>
      </c>
      <c r="Q1145" s="1">
        <f t="shared" ca="1" si="125"/>
        <v>4062</v>
      </c>
      <c r="S1145" s="1">
        <f t="shared" si="119"/>
        <v>60353</v>
      </c>
    </row>
    <row r="1146" spans="1:19" x14ac:dyDescent="0.2">
      <c r="A1146" s="57" t="s">
        <v>241</v>
      </c>
      <c r="B1146" s="57" t="s">
        <v>244</v>
      </c>
      <c r="C1146" s="57" t="s">
        <v>245</v>
      </c>
      <c r="D1146" s="58">
        <v>33.659999999999997</v>
      </c>
      <c r="E1146" s="59">
        <v>41072</v>
      </c>
      <c r="F1146" s="58">
        <v>60354</v>
      </c>
      <c r="G1146" s="58">
        <v>15173</v>
      </c>
      <c r="H1146" s="58">
        <v>17950</v>
      </c>
      <c r="I1146" s="58">
        <v>57580</v>
      </c>
      <c r="J1146" s="58">
        <v>1</v>
      </c>
      <c r="K1146" s="1">
        <f t="shared" si="120"/>
        <v>604196.99999999988</v>
      </c>
      <c r="L1146" s="1">
        <f t="shared" si="121"/>
        <v>17950</v>
      </c>
      <c r="M1146" s="1">
        <f>VLOOKUP(B1146,'[1]Срок Годности'!$A$2:$B$4,2,0)</f>
        <v>1500</v>
      </c>
      <c r="N1146" s="60">
        <f t="shared" si="122"/>
        <v>15173</v>
      </c>
      <c r="O1146" s="1" t="str">
        <f t="shared" si="123"/>
        <v>24 2012</v>
      </c>
      <c r="P1146" s="1">
        <f t="shared" si="124"/>
        <v>21</v>
      </c>
      <c r="Q1146" s="1">
        <f t="shared" ca="1" si="125"/>
        <v>4061</v>
      </c>
      <c r="S1146" s="1">
        <f t="shared" si="119"/>
        <v>57579</v>
      </c>
    </row>
    <row r="1147" spans="1:19" x14ac:dyDescent="0.2">
      <c r="A1147" s="57" t="s">
        <v>241</v>
      </c>
      <c r="B1147" s="57" t="s">
        <v>244</v>
      </c>
      <c r="C1147" s="57" t="s">
        <v>245</v>
      </c>
      <c r="D1147" s="58">
        <v>33.659999999999997</v>
      </c>
      <c r="E1147" s="59">
        <v>41073</v>
      </c>
      <c r="F1147" s="58">
        <v>57580</v>
      </c>
      <c r="G1147" s="58">
        <v>17319</v>
      </c>
      <c r="H1147" s="58">
        <v>18127</v>
      </c>
      <c r="I1147" s="58">
        <v>56492</v>
      </c>
      <c r="J1147" s="58">
        <v>0</v>
      </c>
      <c r="K1147" s="1">
        <f t="shared" si="120"/>
        <v>610154.81999999995</v>
      </c>
      <c r="L1147" s="1">
        <f t="shared" si="121"/>
        <v>18127</v>
      </c>
      <c r="M1147" s="1">
        <f>VLOOKUP(B1147,'[1]Срок Годности'!$A$2:$B$4,2,0)</f>
        <v>1500</v>
      </c>
      <c r="N1147" s="60">
        <f t="shared" si="122"/>
        <v>17319</v>
      </c>
      <c r="O1147" s="1" t="str">
        <f t="shared" si="123"/>
        <v>24 2012</v>
      </c>
      <c r="P1147" s="1">
        <f t="shared" si="124"/>
        <v>21</v>
      </c>
      <c r="Q1147" s="1">
        <f t="shared" ca="1" si="125"/>
        <v>4060</v>
      </c>
      <c r="S1147" s="1">
        <f t="shared" si="119"/>
        <v>56492</v>
      </c>
    </row>
    <row r="1148" spans="1:19" x14ac:dyDescent="0.2">
      <c r="A1148" s="57" t="s">
        <v>241</v>
      </c>
      <c r="B1148" s="57" t="s">
        <v>244</v>
      </c>
      <c r="C1148" s="57" t="s">
        <v>245</v>
      </c>
      <c r="D1148" s="58">
        <v>33.659999999999997</v>
      </c>
      <c r="E1148" s="59">
        <v>41074</v>
      </c>
      <c r="F1148" s="58">
        <v>56492</v>
      </c>
      <c r="G1148" s="58">
        <v>16140</v>
      </c>
      <c r="H1148" s="58">
        <v>16360</v>
      </c>
      <c r="I1148" s="58">
        <v>56377</v>
      </c>
      <c r="J1148" s="58">
        <v>4</v>
      </c>
      <c r="K1148" s="1">
        <f t="shared" si="120"/>
        <v>550677.6</v>
      </c>
      <c r="L1148" s="1">
        <f t="shared" si="121"/>
        <v>16360</v>
      </c>
      <c r="M1148" s="1">
        <f>VLOOKUP(B1148,'[1]Срок Годности'!$A$2:$B$4,2,0)</f>
        <v>1500</v>
      </c>
      <c r="N1148" s="60">
        <f t="shared" si="122"/>
        <v>16140</v>
      </c>
      <c r="O1148" s="1" t="str">
        <f t="shared" si="123"/>
        <v>24 2012</v>
      </c>
      <c r="P1148" s="1">
        <f t="shared" si="124"/>
        <v>21</v>
      </c>
      <c r="Q1148" s="1">
        <f t="shared" ca="1" si="125"/>
        <v>4059</v>
      </c>
      <c r="S1148" s="1">
        <f t="shared" si="119"/>
        <v>56373</v>
      </c>
    </row>
    <row r="1149" spans="1:19" x14ac:dyDescent="0.2">
      <c r="A1149" s="57" t="s">
        <v>241</v>
      </c>
      <c r="B1149" s="57" t="s">
        <v>244</v>
      </c>
      <c r="C1149" s="57" t="s">
        <v>245</v>
      </c>
      <c r="D1149" s="58">
        <v>33.659999999999997</v>
      </c>
      <c r="E1149" s="59">
        <v>41075</v>
      </c>
      <c r="F1149" s="58">
        <v>56377</v>
      </c>
      <c r="G1149" s="58">
        <v>18504</v>
      </c>
      <c r="H1149" s="58">
        <v>15540</v>
      </c>
      <c r="I1149" s="58">
        <v>59571</v>
      </c>
      <c r="J1149" s="58">
        <v>0</v>
      </c>
      <c r="K1149" s="1">
        <f t="shared" si="120"/>
        <v>523076.39999999997</v>
      </c>
      <c r="L1149" s="1">
        <f t="shared" si="121"/>
        <v>15540</v>
      </c>
      <c r="M1149" s="1">
        <f>VLOOKUP(B1149,'[1]Срок Годности'!$A$2:$B$4,2,0)</f>
        <v>1500</v>
      </c>
      <c r="N1149" s="60">
        <f t="shared" si="122"/>
        <v>18504</v>
      </c>
      <c r="O1149" s="1" t="str">
        <f t="shared" si="123"/>
        <v>24 2012</v>
      </c>
      <c r="P1149" s="1">
        <f t="shared" si="124"/>
        <v>21</v>
      </c>
      <c r="Q1149" s="1">
        <f t="shared" ca="1" si="125"/>
        <v>4058</v>
      </c>
      <c r="S1149" s="1">
        <f t="shared" si="119"/>
        <v>59571</v>
      </c>
    </row>
    <row r="1150" spans="1:19" x14ac:dyDescent="0.2">
      <c r="A1150" s="57" t="s">
        <v>241</v>
      </c>
      <c r="B1150" s="57" t="s">
        <v>244</v>
      </c>
      <c r="C1150" s="57" t="s">
        <v>245</v>
      </c>
      <c r="D1150" s="58">
        <v>33.659999999999997</v>
      </c>
      <c r="E1150" s="59">
        <v>41076</v>
      </c>
      <c r="F1150" s="58">
        <v>59571</v>
      </c>
      <c r="G1150" s="58">
        <v>12581</v>
      </c>
      <c r="H1150" s="58">
        <v>15247</v>
      </c>
      <c r="I1150" s="58">
        <v>57003</v>
      </c>
      <c r="J1150" s="58">
        <v>1</v>
      </c>
      <c r="K1150" s="1">
        <f t="shared" si="120"/>
        <v>513214.01999999996</v>
      </c>
      <c r="L1150" s="1">
        <f t="shared" si="121"/>
        <v>15247</v>
      </c>
      <c r="M1150" s="1">
        <f>VLOOKUP(B1150,'[1]Срок Годности'!$A$2:$B$4,2,0)</f>
        <v>1500</v>
      </c>
      <c r="N1150" s="60">
        <f t="shared" si="122"/>
        <v>12581</v>
      </c>
      <c r="O1150" s="1" t="str">
        <f t="shared" si="123"/>
        <v>24 2012</v>
      </c>
      <c r="P1150" s="1">
        <f t="shared" si="124"/>
        <v>21</v>
      </c>
      <c r="Q1150" s="1">
        <f t="shared" ca="1" si="125"/>
        <v>4057</v>
      </c>
      <c r="S1150" s="1">
        <f t="shared" si="119"/>
        <v>57002</v>
      </c>
    </row>
    <row r="1151" spans="1:19" x14ac:dyDescent="0.2">
      <c r="A1151" s="57" t="s">
        <v>241</v>
      </c>
      <c r="B1151" s="57" t="s">
        <v>244</v>
      </c>
      <c r="C1151" s="57" t="s">
        <v>245</v>
      </c>
      <c r="D1151" s="58">
        <v>33.659999999999997</v>
      </c>
      <c r="E1151" s="59">
        <v>41077</v>
      </c>
      <c r="F1151" s="58">
        <v>57003</v>
      </c>
      <c r="G1151" s="58">
        <v>20985</v>
      </c>
      <c r="H1151" s="58">
        <v>18383</v>
      </c>
      <c r="I1151" s="58">
        <v>59590</v>
      </c>
      <c r="J1151" s="58">
        <v>0</v>
      </c>
      <c r="K1151" s="1">
        <f t="shared" si="120"/>
        <v>618771.77999999991</v>
      </c>
      <c r="L1151" s="1">
        <f t="shared" si="121"/>
        <v>18383</v>
      </c>
      <c r="M1151" s="1">
        <f>VLOOKUP(B1151,'[1]Срок Годности'!$A$2:$B$4,2,0)</f>
        <v>1500</v>
      </c>
      <c r="N1151" s="60">
        <f t="shared" si="122"/>
        <v>0</v>
      </c>
      <c r="O1151" s="1" t="str">
        <f t="shared" si="123"/>
        <v>25 2012</v>
      </c>
      <c r="P1151" s="1">
        <f t="shared" si="124"/>
        <v>21</v>
      </c>
      <c r="Q1151" s="1">
        <f t="shared" ca="1" si="125"/>
        <v>4056</v>
      </c>
      <c r="S1151" s="1">
        <f t="shared" si="119"/>
        <v>59590</v>
      </c>
    </row>
    <row r="1152" spans="1:19" x14ac:dyDescent="0.2">
      <c r="A1152" s="57" t="s">
        <v>241</v>
      </c>
      <c r="B1152" s="57" t="s">
        <v>244</v>
      </c>
      <c r="C1152" s="57" t="s">
        <v>245</v>
      </c>
      <c r="D1152" s="58">
        <v>33.659999999999997</v>
      </c>
      <c r="E1152" s="59">
        <v>41078</v>
      </c>
      <c r="F1152" s="58">
        <v>59590</v>
      </c>
      <c r="G1152" s="58">
        <v>16388</v>
      </c>
      <c r="H1152" s="58">
        <v>17043</v>
      </c>
      <c r="I1152" s="58">
        <v>59059</v>
      </c>
      <c r="J1152" s="58">
        <v>3</v>
      </c>
      <c r="K1152" s="1">
        <f t="shared" si="120"/>
        <v>573667.37999999989</v>
      </c>
      <c r="L1152" s="1">
        <f t="shared" si="121"/>
        <v>17043</v>
      </c>
      <c r="M1152" s="1">
        <f>VLOOKUP(B1152,'[1]Срок Годности'!$A$2:$B$4,2,0)</f>
        <v>1500</v>
      </c>
      <c r="N1152" s="60">
        <f t="shared" si="122"/>
        <v>16388</v>
      </c>
      <c r="O1152" s="1" t="str">
        <f t="shared" si="123"/>
        <v>25 2012</v>
      </c>
      <c r="P1152" s="1">
        <f t="shared" si="124"/>
        <v>21</v>
      </c>
      <c r="Q1152" s="1">
        <f t="shared" ca="1" si="125"/>
        <v>4055</v>
      </c>
      <c r="S1152" s="1">
        <f t="shared" si="119"/>
        <v>59056</v>
      </c>
    </row>
    <row r="1153" spans="1:19" x14ac:dyDescent="0.2">
      <c r="A1153" s="57" t="s">
        <v>241</v>
      </c>
      <c r="B1153" s="57" t="s">
        <v>244</v>
      </c>
      <c r="C1153" s="57" t="s">
        <v>245</v>
      </c>
      <c r="D1153" s="58">
        <v>33.659999999999997</v>
      </c>
      <c r="E1153" s="59">
        <v>41079</v>
      </c>
      <c r="F1153" s="58">
        <v>59059</v>
      </c>
      <c r="G1153" s="58">
        <v>31699</v>
      </c>
      <c r="H1153" s="58">
        <v>16020</v>
      </c>
      <c r="I1153" s="58">
        <v>74758</v>
      </c>
      <c r="J1153" s="58">
        <v>4</v>
      </c>
      <c r="K1153" s="1">
        <f t="shared" si="120"/>
        <v>539233.19999999995</v>
      </c>
      <c r="L1153" s="1">
        <f t="shared" si="121"/>
        <v>16020</v>
      </c>
      <c r="M1153" s="1">
        <f>VLOOKUP(B1153,'[1]Срок Годности'!$A$2:$B$4,2,0)</f>
        <v>1500</v>
      </c>
      <c r="N1153" s="60">
        <f t="shared" si="122"/>
        <v>31699</v>
      </c>
      <c r="O1153" s="1" t="str">
        <f t="shared" si="123"/>
        <v>25 2012</v>
      </c>
      <c r="P1153" s="1">
        <f t="shared" si="124"/>
        <v>21</v>
      </c>
      <c r="Q1153" s="1">
        <f t="shared" ca="1" si="125"/>
        <v>4054</v>
      </c>
      <c r="S1153" s="1">
        <f t="shared" si="119"/>
        <v>74754</v>
      </c>
    </row>
    <row r="1154" spans="1:19" x14ac:dyDescent="0.2">
      <c r="A1154" s="57" t="s">
        <v>241</v>
      </c>
      <c r="B1154" s="57" t="s">
        <v>244</v>
      </c>
      <c r="C1154" s="57" t="s">
        <v>245</v>
      </c>
      <c r="D1154" s="58">
        <v>33.659999999999997</v>
      </c>
      <c r="E1154" s="59">
        <v>41080</v>
      </c>
      <c r="F1154" s="58">
        <v>74758</v>
      </c>
      <c r="G1154" s="58">
        <v>19530</v>
      </c>
      <c r="H1154" s="58">
        <v>16666</v>
      </c>
      <c r="I1154" s="58">
        <v>77564</v>
      </c>
      <c r="J1154" s="58">
        <v>0</v>
      </c>
      <c r="K1154" s="1">
        <f t="shared" si="120"/>
        <v>560977.55999999994</v>
      </c>
      <c r="L1154" s="1">
        <f t="shared" si="121"/>
        <v>16666</v>
      </c>
      <c r="M1154" s="1">
        <f>VLOOKUP(B1154,'[1]Срок Годности'!$A$2:$B$4,2,0)</f>
        <v>1500</v>
      </c>
      <c r="N1154" s="60">
        <f t="shared" si="122"/>
        <v>19530</v>
      </c>
      <c r="O1154" s="1" t="str">
        <f t="shared" si="123"/>
        <v>25 2012</v>
      </c>
      <c r="P1154" s="1">
        <f t="shared" si="124"/>
        <v>21</v>
      </c>
      <c r="Q1154" s="1">
        <f t="shared" ca="1" si="125"/>
        <v>4053</v>
      </c>
      <c r="S1154" s="1">
        <f t="shared" si="119"/>
        <v>77564</v>
      </c>
    </row>
    <row r="1155" spans="1:19" x14ac:dyDescent="0.2">
      <c r="A1155" s="57" t="s">
        <v>241</v>
      </c>
      <c r="B1155" s="57" t="s">
        <v>244</v>
      </c>
      <c r="C1155" s="57" t="s">
        <v>245</v>
      </c>
      <c r="D1155" s="58">
        <v>33.659999999999997</v>
      </c>
      <c r="E1155" s="59">
        <v>41081</v>
      </c>
      <c r="F1155" s="58">
        <v>77564</v>
      </c>
      <c r="G1155" s="58">
        <v>18631</v>
      </c>
      <c r="H1155" s="58">
        <v>16093</v>
      </c>
      <c r="I1155" s="58">
        <v>80212</v>
      </c>
      <c r="J1155" s="58">
        <v>1</v>
      </c>
      <c r="K1155" s="1">
        <f t="shared" si="120"/>
        <v>541690.37999999989</v>
      </c>
      <c r="L1155" s="1">
        <f t="shared" si="121"/>
        <v>16093</v>
      </c>
      <c r="M1155" s="1">
        <f>VLOOKUP(B1155,'[1]Срок Годности'!$A$2:$B$4,2,0)</f>
        <v>1500</v>
      </c>
      <c r="N1155" s="60">
        <f t="shared" si="122"/>
        <v>18631</v>
      </c>
      <c r="O1155" s="1" t="str">
        <f t="shared" si="123"/>
        <v>25 2012</v>
      </c>
      <c r="P1155" s="1">
        <f t="shared" si="124"/>
        <v>21</v>
      </c>
      <c r="Q1155" s="1">
        <f t="shared" ca="1" si="125"/>
        <v>4052</v>
      </c>
      <c r="S1155" s="1">
        <f t="shared" si="119"/>
        <v>80211</v>
      </c>
    </row>
    <row r="1156" spans="1:19" x14ac:dyDescent="0.2">
      <c r="A1156" s="57" t="s">
        <v>241</v>
      </c>
      <c r="B1156" s="57" t="s">
        <v>244</v>
      </c>
      <c r="C1156" s="57" t="s">
        <v>245</v>
      </c>
      <c r="D1156" s="58">
        <v>33.659999999999997</v>
      </c>
      <c r="E1156" s="59">
        <v>41082</v>
      </c>
      <c r="F1156" s="58">
        <v>80212</v>
      </c>
      <c r="G1156" s="58">
        <v>15734</v>
      </c>
      <c r="H1156" s="58">
        <v>15000</v>
      </c>
      <c r="I1156" s="58">
        <v>81216</v>
      </c>
      <c r="J1156" s="58">
        <v>3</v>
      </c>
      <c r="K1156" s="1">
        <f t="shared" si="120"/>
        <v>504899.99999999994</v>
      </c>
      <c r="L1156" s="1">
        <f t="shared" si="121"/>
        <v>15000</v>
      </c>
      <c r="M1156" s="1">
        <f>VLOOKUP(B1156,'[1]Срок Годности'!$A$2:$B$4,2,0)</f>
        <v>1500</v>
      </c>
      <c r="N1156" s="60">
        <f t="shared" si="122"/>
        <v>15734</v>
      </c>
      <c r="O1156" s="1" t="str">
        <f t="shared" si="123"/>
        <v>25 2012</v>
      </c>
      <c r="P1156" s="1">
        <f t="shared" si="124"/>
        <v>21</v>
      </c>
      <c r="Q1156" s="1">
        <f t="shared" ca="1" si="125"/>
        <v>4051</v>
      </c>
      <c r="S1156" s="1">
        <f t="shared" si="119"/>
        <v>81213</v>
      </c>
    </row>
    <row r="1157" spans="1:19" x14ac:dyDescent="0.2">
      <c r="A1157" s="57" t="s">
        <v>241</v>
      </c>
      <c r="B1157" s="57" t="s">
        <v>244</v>
      </c>
      <c r="C1157" s="57" t="s">
        <v>245</v>
      </c>
      <c r="D1157" s="58">
        <v>33.659999999999997</v>
      </c>
      <c r="E1157" s="59">
        <v>41083</v>
      </c>
      <c r="F1157" s="58">
        <v>81216</v>
      </c>
      <c r="G1157" s="58">
        <v>16057</v>
      </c>
      <c r="H1157" s="58">
        <v>15511</v>
      </c>
      <c r="I1157" s="58">
        <v>82078</v>
      </c>
      <c r="J1157" s="58">
        <v>4</v>
      </c>
      <c r="K1157" s="1">
        <f t="shared" si="120"/>
        <v>522100.25999999995</v>
      </c>
      <c r="L1157" s="1">
        <f t="shared" si="121"/>
        <v>15511</v>
      </c>
      <c r="M1157" s="1">
        <f>VLOOKUP(B1157,'[1]Срок Годности'!$A$2:$B$4,2,0)</f>
        <v>1500</v>
      </c>
      <c r="N1157" s="60">
        <f t="shared" si="122"/>
        <v>16057</v>
      </c>
      <c r="O1157" s="1" t="str">
        <f t="shared" si="123"/>
        <v>25 2012</v>
      </c>
      <c r="P1157" s="1">
        <f t="shared" si="124"/>
        <v>21</v>
      </c>
      <c r="Q1157" s="1">
        <f t="shared" ca="1" si="125"/>
        <v>4050</v>
      </c>
      <c r="S1157" s="1">
        <f t="shared" si="119"/>
        <v>82074</v>
      </c>
    </row>
    <row r="1158" spans="1:19" x14ac:dyDescent="0.2">
      <c r="A1158" s="57" t="s">
        <v>241</v>
      </c>
      <c r="B1158" s="57" t="s">
        <v>244</v>
      </c>
      <c r="C1158" s="57" t="s">
        <v>245</v>
      </c>
      <c r="D1158" s="58">
        <v>33.659999999999997</v>
      </c>
      <c r="E1158" s="59">
        <v>41084</v>
      </c>
      <c r="F1158" s="58">
        <v>82078</v>
      </c>
      <c r="G1158" s="58">
        <v>15276</v>
      </c>
      <c r="H1158" s="58">
        <v>16987</v>
      </c>
      <c r="I1158" s="58">
        <v>80771</v>
      </c>
      <c r="J1158" s="58">
        <v>2</v>
      </c>
      <c r="K1158" s="1">
        <f t="shared" si="120"/>
        <v>571782.41999999993</v>
      </c>
      <c r="L1158" s="1">
        <f t="shared" si="121"/>
        <v>16987</v>
      </c>
      <c r="M1158" s="1">
        <f>VLOOKUP(B1158,'[1]Срок Годности'!$A$2:$B$4,2,0)</f>
        <v>1500</v>
      </c>
      <c r="N1158" s="60">
        <f t="shared" si="122"/>
        <v>0</v>
      </c>
      <c r="O1158" s="1" t="str">
        <f t="shared" si="123"/>
        <v>26 2012</v>
      </c>
      <c r="P1158" s="1">
        <f t="shared" si="124"/>
        <v>21</v>
      </c>
      <c r="Q1158" s="1">
        <f t="shared" ca="1" si="125"/>
        <v>4049</v>
      </c>
      <c r="S1158" s="1">
        <f t="shared" si="119"/>
        <v>80769</v>
      </c>
    </row>
    <row r="1159" spans="1:19" x14ac:dyDescent="0.2">
      <c r="A1159" s="57" t="s">
        <v>241</v>
      </c>
      <c r="B1159" s="57" t="s">
        <v>244</v>
      </c>
      <c r="C1159" s="57" t="s">
        <v>245</v>
      </c>
      <c r="D1159" s="58">
        <v>33.659999999999997</v>
      </c>
      <c r="E1159" s="59">
        <v>41085</v>
      </c>
      <c r="F1159" s="58">
        <v>80771</v>
      </c>
      <c r="G1159" s="58">
        <v>18098</v>
      </c>
      <c r="H1159" s="58">
        <v>15803</v>
      </c>
      <c r="I1159" s="58">
        <v>83318</v>
      </c>
      <c r="J1159" s="58">
        <v>1</v>
      </c>
      <c r="K1159" s="1">
        <f t="shared" si="120"/>
        <v>531928.98</v>
      </c>
      <c r="L1159" s="1">
        <f t="shared" si="121"/>
        <v>15803</v>
      </c>
      <c r="M1159" s="1">
        <f>VLOOKUP(B1159,'[1]Срок Годности'!$A$2:$B$4,2,0)</f>
        <v>1500</v>
      </c>
      <c r="N1159" s="60">
        <f t="shared" si="122"/>
        <v>18098</v>
      </c>
      <c r="O1159" s="1" t="str">
        <f t="shared" si="123"/>
        <v>26 2012</v>
      </c>
      <c r="P1159" s="1">
        <f t="shared" si="124"/>
        <v>21</v>
      </c>
      <c r="Q1159" s="1">
        <f t="shared" ca="1" si="125"/>
        <v>4048</v>
      </c>
      <c r="S1159" s="1">
        <f t="shared" ref="S1159:S1222" si="126">I1159-J1159</f>
        <v>83317</v>
      </c>
    </row>
    <row r="1160" spans="1:19" x14ac:dyDescent="0.2">
      <c r="A1160" s="57" t="s">
        <v>241</v>
      </c>
      <c r="B1160" s="57" t="s">
        <v>244</v>
      </c>
      <c r="C1160" s="57" t="s">
        <v>245</v>
      </c>
      <c r="D1160" s="58">
        <v>33.659999999999997</v>
      </c>
      <c r="E1160" s="59">
        <v>41086</v>
      </c>
      <c r="F1160" s="58">
        <v>83318</v>
      </c>
      <c r="G1160" s="58">
        <v>17884</v>
      </c>
      <c r="H1160" s="58">
        <v>15296</v>
      </c>
      <c r="I1160" s="58">
        <v>86096</v>
      </c>
      <c r="J1160" s="58">
        <v>1</v>
      </c>
      <c r="K1160" s="1">
        <f t="shared" ref="K1160:K1223" si="127">H1160*D1160</f>
        <v>514863.35999999993</v>
      </c>
      <c r="L1160" s="1">
        <f t="shared" ref="L1160:L1223" si="128">IF(H1160&gt;1000,H1160,"")</f>
        <v>15296</v>
      </c>
      <c r="M1160" s="1">
        <f>VLOOKUP(B1160,'[1]Срок Годности'!$A$2:$B$4,2,0)</f>
        <v>1500</v>
      </c>
      <c r="N1160" s="60">
        <f t="shared" ref="N1160:N1223" si="129">IF(WEEKDAY(E1160) = 1, 0, G1160)</f>
        <v>17884</v>
      </c>
      <c r="O1160" s="1" t="str">
        <f t="shared" ref="O1160:O1223" si="130">WEEKNUM(E1160) &amp; " " &amp; YEAR(E1160)</f>
        <v>26 2012</v>
      </c>
      <c r="P1160" s="1">
        <f t="shared" ref="P1160:P1223" si="131">LEN(C1160)</f>
        <v>21</v>
      </c>
      <c r="Q1160" s="1">
        <f t="shared" ref="Q1160:Q1223" ca="1" si="132">DATEDIF(E1160,NOW(),"D")</f>
        <v>4047</v>
      </c>
      <c r="S1160" s="1">
        <f t="shared" si="126"/>
        <v>86095</v>
      </c>
    </row>
    <row r="1161" spans="1:19" x14ac:dyDescent="0.2">
      <c r="A1161" s="57" t="s">
        <v>241</v>
      </c>
      <c r="B1161" s="57" t="s">
        <v>244</v>
      </c>
      <c r="C1161" s="57" t="s">
        <v>245</v>
      </c>
      <c r="D1161" s="58">
        <v>33.659999999999997</v>
      </c>
      <c r="E1161" s="59">
        <v>41087</v>
      </c>
      <c r="F1161" s="58">
        <v>86096</v>
      </c>
      <c r="G1161" s="58">
        <v>18505</v>
      </c>
      <c r="H1161" s="58">
        <v>15548</v>
      </c>
      <c r="I1161" s="58">
        <v>89210</v>
      </c>
      <c r="J1161" s="58">
        <v>2</v>
      </c>
      <c r="K1161" s="1">
        <f t="shared" si="127"/>
        <v>523345.67999999993</v>
      </c>
      <c r="L1161" s="1">
        <f t="shared" si="128"/>
        <v>15548</v>
      </c>
      <c r="M1161" s="1">
        <f>VLOOKUP(B1161,'[1]Срок Годности'!$A$2:$B$4,2,0)</f>
        <v>1500</v>
      </c>
      <c r="N1161" s="60">
        <f t="shared" si="129"/>
        <v>18505</v>
      </c>
      <c r="O1161" s="1" t="str">
        <f t="shared" si="130"/>
        <v>26 2012</v>
      </c>
      <c r="P1161" s="1">
        <f t="shared" si="131"/>
        <v>21</v>
      </c>
      <c r="Q1161" s="1">
        <f t="shared" ca="1" si="132"/>
        <v>4046</v>
      </c>
      <c r="S1161" s="1">
        <f t="shared" si="126"/>
        <v>89208</v>
      </c>
    </row>
    <row r="1162" spans="1:19" x14ac:dyDescent="0.2">
      <c r="A1162" s="57" t="s">
        <v>241</v>
      </c>
      <c r="B1162" s="57" t="s">
        <v>244</v>
      </c>
      <c r="C1162" s="57" t="s">
        <v>245</v>
      </c>
      <c r="D1162" s="58">
        <v>33.659999999999997</v>
      </c>
      <c r="E1162" s="59">
        <v>41088</v>
      </c>
      <c r="F1162" s="58">
        <v>89210</v>
      </c>
      <c r="G1162" s="58">
        <v>19958</v>
      </c>
      <c r="H1162" s="58">
        <v>14121</v>
      </c>
      <c r="I1162" s="58">
        <v>95259</v>
      </c>
      <c r="J1162" s="58">
        <v>0</v>
      </c>
      <c r="K1162" s="1">
        <f t="shared" si="127"/>
        <v>475312.85999999993</v>
      </c>
      <c r="L1162" s="1">
        <f t="shared" si="128"/>
        <v>14121</v>
      </c>
      <c r="M1162" s="1">
        <f>VLOOKUP(B1162,'[1]Срок Годности'!$A$2:$B$4,2,0)</f>
        <v>1500</v>
      </c>
      <c r="N1162" s="60">
        <f t="shared" si="129"/>
        <v>19958</v>
      </c>
      <c r="O1162" s="1" t="str">
        <f t="shared" si="130"/>
        <v>26 2012</v>
      </c>
      <c r="P1162" s="1">
        <f t="shared" si="131"/>
        <v>21</v>
      </c>
      <c r="Q1162" s="1">
        <f t="shared" ca="1" si="132"/>
        <v>4045</v>
      </c>
      <c r="S1162" s="1">
        <f t="shared" si="126"/>
        <v>95259</v>
      </c>
    </row>
    <row r="1163" spans="1:19" x14ac:dyDescent="0.2">
      <c r="A1163" s="57" t="s">
        <v>241</v>
      </c>
      <c r="B1163" s="57" t="s">
        <v>244</v>
      </c>
      <c r="C1163" s="57" t="s">
        <v>245</v>
      </c>
      <c r="D1163" s="58">
        <v>33.659999999999997</v>
      </c>
      <c r="E1163" s="59">
        <v>41089</v>
      </c>
      <c r="F1163" s="58">
        <v>95259</v>
      </c>
      <c r="G1163" s="58">
        <v>15266</v>
      </c>
      <c r="H1163" s="58">
        <v>14787</v>
      </c>
      <c r="I1163" s="58">
        <v>95603</v>
      </c>
      <c r="J1163" s="58">
        <v>0</v>
      </c>
      <c r="K1163" s="1">
        <f t="shared" si="127"/>
        <v>497730.41999999993</v>
      </c>
      <c r="L1163" s="1">
        <f t="shared" si="128"/>
        <v>14787</v>
      </c>
      <c r="M1163" s="1">
        <f>VLOOKUP(B1163,'[1]Срок Годности'!$A$2:$B$4,2,0)</f>
        <v>1500</v>
      </c>
      <c r="N1163" s="60">
        <f t="shared" si="129"/>
        <v>15266</v>
      </c>
      <c r="O1163" s="1" t="str">
        <f t="shared" si="130"/>
        <v>26 2012</v>
      </c>
      <c r="P1163" s="1">
        <f t="shared" si="131"/>
        <v>21</v>
      </c>
      <c r="Q1163" s="1">
        <f t="shared" ca="1" si="132"/>
        <v>4044</v>
      </c>
      <c r="S1163" s="1">
        <f t="shared" si="126"/>
        <v>95603</v>
      </c>
    </row>
    <row r="1164" spans="1:19" x14ac:dyDescent="0.2">
      <c r="A1164" s="57" t="s">
        <v>241</v>
      </c>
      <c r="B1164" s="57" t="s">
        <v>244</v>
      </c>
      <c r="C1164" s="57" t="s">
        <v>245</v>
      </c>
      <c r="D1164" s="58">
        <v>33.659999999999997</v>
      </c>
      <c r="E1164" s="59">
        <v>41090</v>
      </c>
      <c r="F1164" s="58">
        <v>95603</v>
      </c>
      <c r="G1164" s="58">
        <v>18152</v>
      </c>
      <c r="H1164" s="58">
        <v>16032</v>
      </c>
      <c r="I1164" s="58">
        <v>98128</v>
      </c>
      <c r="J1164" s="58">
        <v>0</v>
      </c>
      <c r="K1164" s="1">
        <f t="shared" si="127"/>
        <v>539637.12</v>
      </c>
      <c r="L1164" s="1">
        <f t="shared" si="128"/>
        <v>16032</v>
      </c>
      <c r="M1164" s="1">
        <f>VLOOKUP(B1164,'[1]Срок Годности'!$A$2:$B$4,2,0)</f>
        <v>1500</v>
      </c>
      <c r="N1164" s="60">
        <f t="shared" si="129"/>
        <v>18152</v>
      </c>
      <c r="O1164" s="1" t="str">
        <f t="shared" si="130"/>
        <v>26 2012</v>
      </c>
      <c r="P1164" s="1">
        <f t="shared" si="131"/>
        <v>21</v>
      </c>
      <c r="Q1164" s="1">
        <f t="shared" ca="1" si="132"/>
        <v>4043</v>
      </c>
      <c r="S1164" s="1">
        <f t="shared" si="126"/>
        <v>98128</v>
      </c>
    </row>
    <row r="1165" spans="1:19" x14ac:dyDescent="0.2">
      <c r="A1165" s="57" t="s">
        <v>241</v>
      </c>
      <c r="B1165" s="57" t="s">
        <v>244</v>
      </c>
      <c r="C1165" s="57" t="s">
        <v>245</v>
      </c>
      <c r="D1165" s="58">
        <v>33.659999999999997</v>
      </c>
      <c r="E1165" s="59">
        <v>41091</v>
      </c>
      <c r="F1165" s="58">
        <v>98128</v>
      </c>
      <c r="G1165" s="58">
        <v>13857</v>
      </c>
      <c r="H1165" s="58">
        <v>16871</v>
      </c>
      <c r="I1165" s="58">
        <v>94811</v>
      </c>
      <c r="J1165" s="58">
        <v>0</v>
      </c>
      <c r="K1165" s="1">
        <f t="shared" si="127"/>
        <v>567877.86</v>
      </c>
      <c r="L1165" s="1">
        <f t="shared" si="128"/>
        <v>16871</v>
      </c>
      <c r="M1165" s="1">
        <f>VLOOKUP(B1165,'[1]Срок Годности'!$A$2:$B$4,2,0)</f>
        <v>1500</v>
      </c>
      <c r="N1165" s="60">
        <f t="shared" si="129"/>
        <v>0</v>
      </c>
      <c r="O1165" s="1" t="str">
        <f t="shared" si="130"/>
        <v>27 2012</v>
      </c>
      <c r="P1165" s="1">
        <f t="shared" si="131"/>
        <v>21</v>
      </c>
      <c r="Q1165" s="1">
        <f t="shared" ca="1" si="132"/>
        <v>4042</v>
      </c>
      <c r="S1165" s="1">
        <f t="shared" si="126"/>
        <v>94811</v>
      </c>
    </row>
    <row r="1166" spans="1:19" x14ac:dyDescent="0.2">
      <c r="A1166" s="57" t="s">
        <v>241</v>
      </c>
      <c r="B1166" s="57" t="s">
        <v>244</v>
      </c>
      <c r="C1166" s="57" t="s">
        <v>245</v>
      </c>
      <c r="D1166" s="58">
        <v>33.659999999999997</v>
      </c>
      <c r="E1166" s="59">
        <v>41092</v>
      </c>
      <c r="F1166" s="58">
        <v>94811</v>
      </c>
      <c r="G1166" s="58">
        <v>15378</v>
      </c>
      <c r="H1166" s="58">
        <v>15585</v>
      </c>
      <c r="I1166" s="58">
        <v>94082</v>
      </c>
      <c r="J1166" s="58">
        <v>0</v>
      </c>
      <c r="K1166" s="1">
        <f t="shared" si="127"/>
        <v>524591.1</v>
      </c>
      <c r="L1166" s="1">
        <f t="shared" si="128"/>
        <v>15585</v>
      </c>
      <c r="M1166" s="1">
        <f>VLOOKUP(B1166,'[1]Срок Годности'!$A$2:$B$4,2,0)</f>
        <v>1500</v>
      </c>
      <c r="N1166" s="60">
        <f t="shared" si="129"/>
        <v>15378</v>
      </c>
      <c r="O1166" s="1" t="str">
        <f t="shared" si="130"/>
        <v>27 2012</v>
      </c>
      <c r="P1166" s="1">
        <f t="shared" si="131"/>
        <v>21</v>
      </c>
      <c r="Q1166" s="1">
        <f t="shared" ca="1" si="132"/>
        <v>4041</v>
      </c>
      <c r="S1166" s="1">
        <f t="shared" si="126"/>
        <v>94082</v>
      </c>
    </row>
    <row r="1167" spans="1:19" x14ac:dyDescent="0.2">
      <c r="A1167" s="57" t="s">
        <v>241</v>
      </c>
      <c r="B1167" s="57" t="s">
        <v>244</v>
      </c>
      <c r="C1167" s="57" t="s">
        <v>245</v>
      </c>
      <c r="D1167" s="58">
        <v>33.659999999999997</v>
      </c>
      <c r="E1167" s="59">
        <v>41093</v>
      </c>
      <c r="F1167" s="58">
        <v>94082</v>
      </c>
      <c r="G1167" s="58">
        <v>18761</v>
      </c>
      <c r="H1167" s="58">
        <v>15818</v>
      </c>
      <c r="I1167" s="58">
        <v>97416</v>
      </c>
      <c r="J1167" s="58">
        <v>0</v>
      </c>
      <c r="K1167" s="1">
        <f t="shared" si="127"/>
        <v>532433.87999999989</v>
      </c>
      <c r="L1167" s="1">
        <f t="shared" si="128"/>
        <v>15818</v>
      </c>
      <c r="M1167" s="1">
        <f>VLOOKUP(B1167,'[1]Срок Годности'!$A$2:$B$4,2,0)</f>
        <v>1500</v>
      </c>
      <c r="N1167" s="60">
        <f t="shared" si="129"/>
        <v>18761</v>
      </c>
      <c r="O1167" s="1" t="str">
        <f t="shared" si="130"/>
        <v>27 2012</v>
      </c>
      <c r="P1167" s="1">
        <f t="shared" si="131"/>
        <v>21</v>
      </c>
      <c r="Q1167" s="1">
        <f t="shared" ca="1" si="132"/>
        <v>4040</v>
      </c>
      <c r="S1167" s="1">
        <f t="shared" si="126"/>
        <v>97416</v>
      </c>
    </row>
    <row r="1168" spans="1:19" x14ac:dyDescent="0.2">
      <c r="A1168" s="57" t="s">
        <v>241</v>
      </c>
      <c r="B1168" s="57" t="s">
        <v>244</v>
      </c>
      <c r="C1168" s="57" t="s">
        <v>245</v>
      </c>
      <c r="D1168" s="58">
        <v>33.659999999999997</v>
      </c>
      <c r="E1168" s="59">
        <v>41094</v>
      </c>
      <c r="F1168" s="58">
        <v>97416</v>
      </c>
      <c r="G1168" s="58">
        <v>13727</v>
      </c>
      <c r="H1168" s="58">
        <v>14227</v>
      </c>
      <c r="I1168" s="58">
        <v>96744</v>
      </c>
      <c r="J1168" s="58">
        <v>6</v>
      </c>
      <c r="K1168" s="1">
        <f t="shared" si="127"/>
        <v>478880.81999999995</v>
      </c>
      <c r="L1168" s="1">
        <f t="shared" si="128"/>
        <v>14227</v>
      </c>
      <c r="M1168" s="1">
        <f>VLOOKUP(B1168,'[1]Срок Годности'!$A$2:$B$4,2,0)</f>
        <v>1500</v>
      </c>
      <c r="N1168" s="60">
        <f t="shared" si="129"/>
        <v>13727</v>
      </c>
      <c r="O1168" s="1" t="str">
        <f t="shared" si="130"/>
        <v>27 2012</v>
      </c>
      <c r="P1168" s="1">
        <f t="shared" si="131"/>
        <v>21</v>
      </c>
      <c r="Q1168" s="1">
        <f t="shared" ca="1" si="132"/>
        <v>4039</v>
      </c>
      <c r="S1168" s="1">
        <f t="shared" si="126"/>
        <v>96738</v>
      </c>
    </row>
    <row r="1169" spans="1:19" x14ac:dyDescent="0.2">
      <c r="A1169" s="57" t="s">
        <v>241</v>
      </c>
      <c r="B1169" s="57" t="s">
        <v>244</v>
      </c>
      <c r="C1169" s="57" t="s">
        <v>245</v>
      </c>
      <c r="D1169" s="58">
        <v>33.659999999999997</v>
      </c>
      <c r="E1169" s="59">
        <v>41095</v>
      </c>
      <c r="F1169" s="58">
        <v>96744</v>
      </c>
      <c r="G1169" s="58">
        <v>14735</v>
      </c>
      <c r="H1169" s="58">
        <v>15727</v>
      </c>
      <c r="I1169" s="58">
        <v>95793</v>
      </c>
      <c r="J1169" s="58">
        <v>1</v>
      </c>
      <c r="K1169" s="1">
        <f t="shared" si="127"/>
        <v>529370.81999999995</v>
      </c>
      <c r="L1169" s="1">
        <f t="shared" si="128"/>
        <v>15727</v>
      </c>
      <c r="M1169" s="1">
        <f>VLOOKUP(B1169,'[1]Срок Годности'!$A$2:$B$4,2,0)</f>
        <v>1500</v>
      </c>
      <c r="N1169" s="60">
        <f t="shared" si="129"/>
        <v>14735</v>
      </c>
      <c r="O1169" s="1" t="str">
        <f t="shared" si="130"/>
        <v>27 2012</v>
      </c>
      <c r="P1169" s="1">
        <f t="shared" si="131"/>
        <v>21</v>
      </c>
      <c r="Q1169" s="1">
        <f t="shared" ca="1" si="132"/>
        <v>4038</v>
      </c>
      <c r="S1169" s="1">
        <f t="shared" si="126"/>
        <v>95792</v>
      </c>
    </row>
    <row r="1170" spans="1:19" x14ac:dyDescent="0.2">
      <c r="A1170" s="57" t="s">
        <v>241</v>
      </c>
      <c r="B1170" s="57" t="s">
        <v>244</v>
      </c>
      <c r="C1170" s="57" t="s">
        <v>245</v>
      </c>
      <c r="D1170" s="58">
        <v>33.659999999999997</v>
      </c>
      <c r="E1170" s="59">
        <v>41096</v>
      </c>
      <c r="F1170" s="58">
        <v>95793</v>
      </c>
      <c r="G1170" s="58">
        <v>10380</v>
      </c>
      <c r="H1170" s="58">
        <v>14684</v>
      </c>
      <c r="I1170" s="58">
        <v>91376</v>
      </c>
      <c r="J1170" s="58">
        <v>0</v>
      </c>
      <c r="K1170" s="1">
        <f t="shared" si="127"/>
        <v>494263.43999999994</v>
      </c>
      <c r="L1170" s="1">
        <f t="shared" si="128"/>
        <v>14684</v>
      </c>
      <c r="M1170" s="1">
        <f>VLOOKUP(B1170,'[1]Срок Годности'!$A$2:$B$4,2,0)</f>
        <v>1500</v>
      </c>
      <c r="N1170" s="60">
        <f t="shared" si="129"/>
        <v>10380</v>
      </c>
      <c r="O1170" s="1" t="str">
        <f t="shared" si="130"/>
        <v>27 2012</v>
      </c>
      <c r="P1170" s="1">
        <f t="shared" si="131"/>
        <v>21</v>
      </c>
      <c r="Q1170" s="1">
        <f t="shared" ca="1" si="132"/>
        <v>4037</v>
      </c>
      <c r="S1170" s="1">
        <f t="shared" si="126"/>
        <v>91376</v>
      </c>
    </row>
    <row r="1171" spans="1:19" x14ac:dyDescent="0.2">
      <c r="A1171" s="57" t="s">
        <v>241</v>
      </c>
      <c r="B1171" s="57" t="s">
        <v>244</v>
      </c>
      <c r="C1171" s="57" t="s">
        <v>245</v>
      </c>
      <c r="D1171" s="58">
        <v>33.659999999999997</v>
      </c>
      <c r="E1171" s="59">
        <v>41097</v>
      </c>
      <c r="F1171" s="58">
        <v>91376</v>
      </c>
      <c r="G1171" s="58">
        <v>18177</v>
      </c>
      <c r="H1171" s="58">
        <v>14843</v>
      </c>
      <c r="I1171" s="58">
        <v>94804</v>
      </c>
      <c r="J1171" s="58">
        <v>2</v>
      </c>
      <c r="K1171" s="1">
        <f t="shared" si="127"/>
        <v>499615.37999999995</v>
      </c>
      <c r="L1171" s="1">
        <f t="shared" si="128"/>
        <v>14843</v>
      </c>
      <c r="M1171" s="1">
        <f>VLOOKUP(B1171,'[1]Срок Годности'!$A$2:$B$4,2,0)</f>
        <v>1500</v>
      </c>
      <c r="N1171" s="60">
        <f t="shared" si="129"/>
        <v>18177</v>
      </c>
      <c r="O1171" s="1" t="str">
        <f t="shared" si="130"/>
        <v>27 2012</v>
      </c>
      <c r="P1171" s="1">
        <f t="shared" si="131"/>
        <v>21</v>
      </c>
      <c r="Q1171" s="1">
        <f t="shared" ca="1" si="132"/>
        <v>4036</v>
      </c>
      <c r="S1171" s="1">
        <f t="shared" si="126"/>
        <v>94802</v>
      </c>
    </row>
    <row r="1172" spans="1:19" x14ac:dyDescent="0.2">
      <c r="A1172" s="57" t="s">
        <v>241</v>
      </c>
      <c r="B1172" s="57" t="s">
        <v>244</v>
      </c>
      <c r="C1172" s="57" t="s">
        <v>245</v>
      </c>
      <c r="D1172" s="58">
        <v>33.659999999999997</v>
      </c>
      <c r="E1172" s="59">
        <v>41098</v>
      </c>
      <c r="F1172" s="58">
        <v>94804</v>
      </c>
      <c r="G1172" s="58">
        <v>14070</v>
      </c>
      <c r="H1172" s="58">
        <v>14728</v>
      </c>
      <c r="I1172" s="58">
        <v>94097</v>
      </c>
      <c r="J1172" s="58">
        <v>1</v>
      </c>
      <c r="K1172" s="1">
        <f t="shared" si="127"/>
        <v>495744.47999999992</v>
      </c>
      <c r="L1172" s="1">
        <f t="shared" si="128"/>
        <v>14728</v>
      </c>
      <c r="M1172" s="1">
        <f>VLOOKUP(B1172,'[1]Срок Годности'!$A$2:$B$4,2,0)</f>
        <v>1500</v>
      </c>
      <c r="N1172" s="60">
        <f t="shared" si="129"/>
        <v>0</v>
      </c>
      <c r="O1172" s="1" t="str">
        <f t="shared" si="130"/>
        <v>28 2012</v>
      </c>
      <c r="P1172" s="1">
        <f t="shared" si="131"/>
        <v>21</v>
      </c>
      <c r="Q1172" s="1">
        <f t="shared" ca="1" si="132"/>
        <v>4035</v>
      </c>
      <c r="S1172" s="1">
        <f t="shared" si="126"/>
        <v>94096</v>
      </c>
    </row>
    <row r="1173" spans="1:19" x14ac:dyDescent="0.2">
      <c r="A1173" s="57" t="s">
        <v>241</v>
      </c>
      <c r="B1173" s="57" t="s">
        <v>244</v>
      </c>
      <c r="C1173" s="57" t="s">
        <v>245</v>
      </c>
      <c r="D1173" s="58">
        <v>33.659999999999997</v>
      </c>
      <c r="E1173" s="59">
        <v>41099</v>
      </c>
      <c r="F1173" s="58">
        <v>94097</v>
      </c>
      <c r="G1173" s="58">
        <v>14543</v>
      </c>
      <c r="H1173" s="58">
        <v>14213</v>
      </c>
      <c r="I1173" s="58">
        <v>94360</v>
      </c>
      <c r="J1173" s="58">
        <v>1</v>
      </c>
      <c r="K1173" s="1">
        <f t="shared" si="127"/>
        <v>478409.57999999996</v>
      </c>
      <c r="L1173" s="1">
        <f t="shared" si="128"/>
        <v>14213</v>
      </c>
      <c r="M1173" s="1">
        <f>VLOOKUP(B1173,'[1]Срок Годности'!$A$2:$B$4,2,0)</f>
        <v>1500</v>
      </c>
      <c r="N1173" s="60">
        <f t="shared" si="129"/>
        <v>14543</v>
      </c>
      <c r="O1173" s="1" t="str">
        <f t="shared" si="130"/>
        <v>28 2012</v>
      </c>
      <c r="P1173" s="1">
        <f t="shared" si="131"/>
        <v>21</v>
      </c>
      <c r="Q1173" s="1">
        <f t="shared" ca="1" si="132"/>
        <v>4034</v>
      </c>
      <c r="S1173" s="1">
        <f t="shared" si="126"/>
        <v>94359</v>
      </c>
    </row>
    <row r="1174" spans="1:19" x14ac:dyDescent="0.2">
      <c r="A1174" s="57" t="s">
        <v>241</v>
      </c>
      <c r="B1174" s="57" t="s">
        <v>244</v>
      </c>
      <c r="C1174" s="57" t="s">
        <v>245</v>
      </c>
      <c r="D1174" s="58">
        <v>33.659999999999997</v>
      </c>
      <c r="E1174" s="59">
        <v>41100</v>
      </c>
      <c r="F1174" s="58">
        <v>94360</v>
      </c>
      <c r="G1174" s="58">
        <v>11862</v>
      </c>
      <c r="H1174" s="58">
        <v>13129</v>
      </c>
      <c r="I1174" s="58">
        <v>92931</v>
      </c>
      <c r="J1174" s="58">
        <v>0</v>
      </c>
      <c r="K1174" s="1">
        <f t="shared" si="127"/>
        <v>441922.13999999996</v>
      </c>
      <c r="L1174" s="1">
        <f t="shared" si="128"/>
        <v>13129</v>
      </c>
      <c r="M1174" s="1">
        <f>VLOOKUP(B1174,'[1]Срок Годности'!$A$2:$B$4,2,0)</f>
        <v>1500</v>
      </c>
      <c r="N1174" s="60">
        <f t="shared" si="129"/>
        <v>11862</v>
      </c>
      <c r="O1174" s="1" t="str">
        <f t="shared" si="130"/>
        <v>28 2012</v>
      </c>
      <c r="P1174" s="1">
        <f t="shared" si="131"/>
        <v>21</v>
      </c>
      <c r="Q1174" s="1">
        <f t="shared" ca="1" si="132"/>
        <v>4033</v>
      </c>
      <c r="S1174" s="1">
        <f t="shared" si="126"/>
        <v>92931</v>
      </c>
    </row>
    <row r="1175" spans="1:19" x14ac:dyDescent="0.2">
      <c r="A1175" s="57" t="s">
        <v>241</v>
      </c>
      <c r="B1175" s="57" t="s">
        <v>244</v>
      </c>
      <c r="C1175" s="57" t="s">
        <v>245</v>
      </c>
      <c r="D1175" s="58">
        <v>33.659999999999997</v>
      </c>
      <c r="E1175" s="59">
        <v>41101</v>
      </c>
      <c r="F1175" s="58">
        <v>92931</v>
      </c>
      <c r="G1175" s="58">
        <v>12040</v>
      </c>
      <c r="H1175" s="58">
        <v>13647</v>
      </c>
      <c r="I1175" s="58">
        <v>91289</v>
      </c>
      <c r="J1175" s="58">
        <v>2</v>
      </c>
      <c r="K1175" s="1">
        <f t="shared" si="127"/>
        <v>459358.01999999996</v>
      </c>
      <c r="L1175" s="1">
        <f t="shared" si="128"/>
        <v>13647</v>
      </c>
      <c r="M1175" s="1">
        <f>VLOOKUP(B1175,'[1]Срок Годности'!$A$2:$B$4,2,0)</f>
        <v>1500</v>
      </c>
      <c r="N1175" s="60">
        <f t="shared" si="129"/>
        <v>12040</v>
      </c>
      <c r="O1175" s="1" t="str">
        <f t="shared" si="130"/>
        <v>28 2012</v>
      </c>
      <c r="P1175" s="1">
        <f t="shared" si="131"/>
        <v>21</v>
      </c>
      <c r="Q1175" s="1">
        <f t="shared" ca="1" si="132"/>
        <v>4032</v>
      </c>
      <c r="S1175" s="1">
        <f t="shared" si="126"/>
        <v>91287</v>
      </c>
    </row>
    <row r="1176" spans="1:19" x14ac:dyDescent="0.2">
      <c r="A1176" s="57" t="s">
        <v>241</v>
      </c>
      <c r="B1176" s="57" t="s">
        <v>244</v>
      </c>
      <c r="C1176" s="57" t="s">
        <v>245</v>
      </c>
      <c r="D1176" s="58">
        <v>33.659999999999997</v>
      </c>
      <c r="E1176" s="59">
        <v>41102</v>
      </c>
      <c r="F1176" s="58">
        <v>91289</v>
      </c>
      <c r="G1176" s="58">
        <v>10215</v>
      </c>
      <c r="H1176" s="58">
        <v>12339</v>
      </c>
      <c r="I1176" s="58">
        <v>89046</v>
      </c>
      <c r="J1176" s="58">
        <v>0</v>
      </c>
      <c r="K1176" s="1">
        <f t="shared" si="127"/>
        <v>415330.73999999993</v>
      </c>
      <c r="L1176" s="1">
        <f t="shared" si="128"/>
        <v>12339</v>
      </c>
      <c r="M1176" s="1">
        <f>VLOOKUP(B1176,'[1]Срок Годности'!$A$2:$B$4,2,0)</f>
        <v>1500</v>
      </c>
      <c r="N1176" s="60">
        <f t="shared" si="129"/>
        <v>10215</v>
      </c>
      <c r="O1176" s="1" t="str">
        <f t="shared" si="130"/>
        <v>28 2012</v>
      </c>
      <c r="P1176" s="1">
        <f t="shared" si="131"/>
        <v>21</v>
      </c>
      <c r="Q1176" s="1">
        <f t="shared" ca="1" si="132"/>
        <v>4031</v>
      </c>
      <c r="S1176" s="1">
        <f t="shared" si="126"/>
        <v>89046</v>
      </c>
    </row>
    <row r="1177" spans="1:19" x14ac:dyDescent="0.2">
      <c r="A1177" s="57" t="s">
        <v>241</v>
      </c>
      <c r="B1177" s="57" t="s">
        <v>244</v>
      </c>
      <c r="C1177" s="57" t="s">
        <v>245</v>
      </c>
      <c r="D1177" s="58">
        <v>33.659999999999997</v>
      </c>
      <c r="E1177" s="59">
        <v>41103</v>
      </c>
      <c r="F1177" s="58">
        <v>89046</v>
      </c>
      <c r="G1177" s="58">
        <v>12198</v>
      </c>
      <c r="H1177" s="58">
        <v>12514</v>
      </c>
      <c r="I1177" s="58">
        <v>88596</v>
      </c>
      <c r="J1177" s="58">
        <v>2</v>
      </c>
      <c r="K1177" s="1">
        <f t="shared" si="127"/>
        <v>421221.23999999993</v>
      </c>
      <c r="L1177" s="1">
        <f t="shared" si="128"/>
        <v>12514</v>
      </c>
      <c r="M1177" s="1">
        <f>VLOOKUP(B1177,'[1]Срок Годности'!$A$2:$B$4,2,0)</f>
        <v>1500</v>
      </c>
      <c r="N1177" s="60">
        <f t="shared" si="129"/>
        <v>12198</v>
      </c>
      <c r="O1177" s="1" t="str">
        <f t="shared" si="130"/>
        <v>28 2012</v>
      </c>
      <c r="P1177" s="1">
        <f t="shared" si="131"/>
        <v>21</v>
      </c>
      <c r="Q1177" s="1">
        <f t="shared" ca="1" si="132"/>
        <v>4030</v>
      </c>
      <c r="S1177" s="1">
        <f t="shared" si="126"/>
        <v>88594</v>
      </c>
    </row>
    <row r="1178" spans="1:19" x14ac:dyDescent="0.2">
      <c r="A1178" s="57" t="s">
        <v>241</v>
      </c>
      <c r="B1178" s="57" t="s">
        <v>244</v>
      </c>
      <c r="C1178" s="57" t="s">
        <v>245</v>
      </c>
      <c r="D1178" s="58">
        <v>33.659999999999997</v>
      </c>
      <c r="E1178" s="59">
        <v>41104</v>
      </c>
      <c r="F1178" s="58">
        <v>88596</v>
      </c>
      <c r="G1178" s="58">
        <v>9342</v>
      </c>
      <c r="H1178" s="58">
        <v>12253</v>
      </c>
      <c r="I1178" s="58">
        <v>85588</v>
      </c>
      <c r="J1178" s="58">
        <v>7</v>
      </c>
      <c r="K1178" s="1">
        <f t="shared" si="127"/>
        <v>412435.98</v>
      </c>
      <c r="L1178" s="1">
        <f t="shared" si="128"/>
        <v>12253</v>
      </c>
      <c r="M1178" s="1">
        <f>VLOOKUP(B1178,'[1]Срок Годности'!$A$2:$B$4,2,0)</f>
        <v>1500</v>
      </c>
      <c r="N1178" s="60">
        <f t="shared" si="129"/>
        <v>9342</v>
      </c>
      <c r="O1178" s="1" t="str">
        <f t="shared" si="130"/>
        <v>28 2012</v>
      </c>
      <c r="P1178" s="1">
        <f t="shared" si="131"/>
        <v>21</v>
      </c>
      <c r="Q1178" s="1">
        <f t="shared" ca="1" si="132"/>
        <v>4029</v>
      </c>
      <c r="S1178" s="1">
        <f t="shared" si="126"/>
        <v>85581</v>
      </c>
    </row>
    <row r="1179" spans="1:19" x14ac:dyDescent="0.2">
      <c r="A1179" s="57" t="s">
        <v>241</v>
      </c>
      <c r="B1179" s="57" t="s">
        <v>244</v>
      </c>
      <c r="C1179" s="57" t="s">
        <v>245</v>
      </c>
      <c r="D1179" s="58">
        <v>33.659999999999997</v>
      </c>
      <c r="E1179" s="59">
        <v>41105</v>
      </c>
      <c r="F1179" s="58">
        <v>85588</v>
      </c>
      <c r="G1179" s="58">
        <v>2435</v>
      </c>
      <c r="H1179" s="58">
        <v>11393</v>
      </c>
      <c r="I1179" s="58">
        <v>77117</v>
      </c>
      <c r="J1179" s="58">
        <v>1</v>
      </c>
      <c r="K1179" s="1">
        <f t="shared" si="127"/>
        <v>383488.37999999995</v>
      </c>
      <c r="L1179" s="1">
        <f t="shared" si="128"/>
        <v>11393</v>
      </c>
      <c r="M1179" s="1">
        <f>VLOOKUP(B1179,'[1]Срок Годности'!$A$2:$B$4,2,0)</f>
        <v>1500</v>
      </c>
      <c r="N1179" s="60">
        <f t="shared" si="129"/>
        <v>0</v>
      </c>
      <c r="O1179" s="1" t="str">
        <f t="shared" si="130"/>
        <v>29 2012</v>
      </c>
      <c r="P1179" s="1">
        <f t="shared" si="131"/>
        <v>21</v>
      </c>
      <c r="Q1179" s="1">
        <f t="shared" ca="1" si="132"/>
        <v>4028</v>
      </c>
      <c r="S1179" s="1">
        <f t="shared" si="126"/>
        <v>77116</v>
      </c>
    </row>
    <row r="1180" spans="1:19" x14ac:dyDescent="0.2">
      <c r="A1180" s="57" t="s">
        <v>241</v>
      </c>
      <c r="B1180" s="57" t="s">
        <v>244</v>
      </c>
      <c r="C1180" s="57" t="s">
        <v>245</v>
      </c>
      <c r="D1180" s="58">
        <v>33.659999999999997</v>
      </c>
      <c r="E1180" s="59">
        <v>41106</v>
      </c>
      <c r="F1180" s="58">
        <v>77117</v>
      </c>
      <c r="G1180" s="58">
        <v>11077</v>
      </c>
      <c r="H1180" s="58">
        <v>11178</v>
      </c>
      <c r="I1180" s="58">
        <v>76932</v>
      </c>
      <c r="J1180" s="58">
        <v>2</v>
      </c>
      <c r="K1180" s="1">
        <f t="shared" si="127"/>
        <v>376251.48</v>
      </c>
      <c r="L1180" s="1">
        <f t="shared" si="128"/>
        <v>11178</v>
      </c>
      <c r="M1180" s="1">
        <f>VLOOKUP(B1180,'[1]Срок Годности'!$A$2:$B$4,2,0)</f>
        <v>1500</v>
      </c>
      <c r="N1180" s="60">
        <f t="shared" si="129"/>
        <v>11077</v>
      </c>
      <c r="O1180" s="1" t="str">
        <f t="shared" si="130"/>
        <v>29 2012</v>
      </c>
      <c r="P1180" s="1">
        <f t="shared" si="131"/>
        <v>21</v>
      </c>
      <c r="Q1180" s="1">
        <f t="shared" ca="1" si="132"/>
        <v>4027</v>
      </c>
      <c r="S1180" s="1">
        <f t="shared" si="126"/>
        <v>76930</v>
      </c>
    </row>
    <row r="1181" spans="1:19" x14ac:dyDescent="0.2">
      <c r="A1181" s="57" t="s">
        <v>241</v>
      </c>
      <c r="B1181" s="57" t="s">
        <v>244</v>
      </c>
      <c r="C1181" s="57" t="s">
        <v>245</v>
      </c>
      <c r="D1181" s="58">
        <v>33.659999999999997</v>
      </c>
      <c r="E1181" s="59">
        <v>41107</v>
      </c>
      <c r="F1181" s="58">
        <v>76932</v>
      </c>
      <c r="G1181" s="58">
        <v>16179</v>
      </c>
      <c r="H1181" s="58">
        <v>10165</v>
      </c>
      <c r="I1181" s="58">
        <v>82907</v>
      </c>
      <c r="J1181" s="58">
        <v>1</v>
      </c>
      <c r="K1181" s="1">
        <f t="shared" si="127"/>
        <v>342153.89999999997</v>
      </c>
      <c r="L1181" s="1">
        <f t="shared" si="128"/>
        <v>10165</v>
      </c>
      <c r="M1181" s="1">
        <f>VLOOKUP(B1181,'[1]Срок Годности'!$A$2:$B$4,2,0)</f>
        <v>1500</v>
      </c>
      <c r="N1181" s="60">
        <f t="shared" si="129"/>
        <v>16179</v>
      </c>
      <c r="O1181" s="1" t="str">
        <f t="shared" si="130"/>
        <v>29 2012</v>
      </c>
      <c r="P1181" s="1">
        <f t="shared" si="131"/>
        <v>21</v>
      </c>
      <c r="Q1181" s="1">
        <f t="shared" ca="1" si="132"/>
        <v>4026</v>
      </c>
      <c r="S1181" s="1">
        <f t="shared" si="126"/>
        <v>82906</v>
      </c>
    </row>
    <row r="1182" spans="1:19" x14ac:dyDescent="0.2">
      <c r="A1182" s="57" t="s">
        <v>241</v>
      </c>
      <c r="B1182" s="57" t="s">
        <v>237</v>
      </c>
      <c r="C1182" s="57" t="s">
        <v>238</v>
      </c>
      <c r="D1182" s="58">
        <v>165.05</v>
      </c>
      <c r="E1182" s="59">
        <v>41061</v>
      </c>
      <c r="F1182" s="58">
        <v>9614</v>
      </c>
      <c r="G1182" s="58">
        <v>2059</v>
      </c>
      <c r="H1182" s="58">
        <v>2140</v>
      </c>
      <c r="I1182" s="58">
        <v>9517</v>
      </c>
      <c r="J1182" s="58">
        <v>0</v>
      </c>
      <c r="K1182" s="1">
        <f t="shared" si="127"/>
        <v>353207</v>
      </c>
      <c r="L1182" s="1">
        <f t="shared" si="128"/>
        <v>2140</v>
      </c>
      <c r="M1182" s="1">
        <f>VLOOKUP(B1182,'[1]Срок Годности'!$A$2:$B$4,2,0)</f>
        <v>1000</v>
      </c>
      <c r="N1182" s="60">
        <f t="shared" si="129"/>
        <v>2059</v>
      </c>
      <c r="O1182" s="1" t="str">
        <f t="shared" si="130"/>
        <v>22 2012</v>
      </c>
      <c r="P1182" s="1">
        <f t="shared" si="131"/>
        <v>22</v>
      </c>
      <c r="Q1182" s="1">
        <f t="shared" ca="1" si="132"/>
        <v>4072</v>
      </c>
      <c r="S1182" s="1">
        <f t="shared" si="126"/>
        <v>9517</v>
      </c>
    </row>
    <row r="1183" spans="1:19" x14ac:dyDescent="0.2">
      <c r="A1183" s="57" t="s">
        <v>241</v>
      </c>
      <c r="B1183" s="57" t="s">
        <v>237</v>
      </c>
      <c r="C1183" s="57" t="s">
        <v>238</v>
      </c>
      <c r="D1183" s="58">
        <v>165.05</v>
      </c>
      <c r="E1183" s="59">
        <v>41062</v>
      </c>
      <c r="F1183" s="58">
        <v>9517</v>
      </c>
      <c r="G1183" s="58">
        <v>2699</v>
      </c>
      <c r="H1183" s="58">
        <v>2649</v>
      </c>
      <c r="I1183" s="58">
        <v>9509</v>
      </c>
      <c r="J1183" s="58">
        <v>0</v>
      </c>
      <c r="K1183" s="1">
        <f t="shared" si="127"/>
        <v>437217.45</v>
      </c>
      <c r="L1183" s="1">
        <f t="shared" si="128"/>
        <v>2649</v>
      </c>
      <c r="M1183" s="1">
        <f>VLOOKUP(B1183,'[1]Срок Годности'!$A$2:$B$4,2,0)</f>
        <v>1000</v>
      </c>
      <c r="N1183" s="60">
        <f t="shared" si="129"/>
        <v>2699</v>
      </c>
      <c r="O1183" s="1" t="str">
        <f t="shared" si="130"/>
        <v>22 2012</v>
      </c>
      <c r="P1183" s="1">
        <f t="shared" si="131"/>
        <v>22</v>
      </c>
      <c r="Q1183" s="1">
        <f t="shared" ca="1" si="132"/>
        <v>4071</v>
      </c>
      <c r="S1183" s="1">
        <f t="shared" si="126"/>
        <v>9509</v>
      </c>
    </row>
    <row r="1184" spans="1:19" x14ac:dyDescent="0.2">
      <c r="A1184" s="57" t="s">
        <v>241</v>
      </c>
      <c r="B1184" s="57" t="s">
        <v>237</v>
      </c>
      <c r="C1184" s="57" t="s">
        <v>238</v>
      </c>
      <c r="D1184" s="58">
        <v>165.05</v>
      </c>
      <c r="E1184" s="59">
        <v>41063</v>
      </c>
      <c r="F1184" s="58">
        <v>9509</v>
      </c>
      <c r="G1184" s="58">
        <v>4230</v>
      </c>
      <c r="H1184" s="58">
        <v>2617</v>
      </c>
      <c r="I1184" s="58">
        <v>11111</v>
      </c>
      <c r="J1184" s="58">
        <v>0</v>
      </c>
      <c r="K1184" s="1">
        <f t="shared" si="127"/>
        <v>431935.85000000003</v>
      </c>
      <c r="L1184" s="1">
        <f t="shared" si="128"/>
        <v>2617</v>
      </c>
      <c r="M1184" s="1">
        <f>VLOOKUP(B1184,'[1]Срок Годности'!$A$2:$B$4,2,0)</f>
        <v>1000</v>
      </c>
      <c r="N1184" s="60">
        <f t="shared" si="129"/>
        <v>0</v>
      </c>
      <c r="O1184" s="1" t="str">
        <f t="shared" si="130"/>
        <v>23 2012</v>
      </c>
      <c r="P1184" s="1">
        <f t="shared" si="131"/>
        <v>22</v>
      </c>
      <c r="Q1184" s="1">
        <f t="shared" ca="1" si="132"/>
        <v>4070</v>
      </c>
      <c r="S1184" s="1">
        <f t="shared" si="126"/>
        <v>11111</v>
      </c>
    </row>
    <row r="1185" spans="1:19" x14ac:dyDescent="0.2">
      <c r="A1185" s="57" t="s">
        <v>241</v>
      </c>
      <c r="B1185" s="57" t="s">
        <v>237</v>
      </c>
      <c r="C1185" s="57" t="s">
        <v>238</v>
      </c>
      <c r="D1185" s="58">
        <v>165.05</v>
      </c>
      <c r="E1185" s="59">
        <v>41064</v>
      </c>
      <c r="F1185" s="58">
        <v>11111</v>
      </c>
      <c r="G1185" s="58">
        <v>3645</v>
      </c>
      <c r="H1185" s="58">
        <v>3060</v>
      </c>
      <c r="I1185" s="58">
        <v>11662</v>
      </c>
      <c r="J1185" s="58">
        <v>0</v>
      </c>
      <c r="K1185" s="1">
        <f t="shared" si="127"/>
        <v>505053.00000000006</v>
      </c>
      <c r="L1185" s="1">
        <f t="shared" si="128"/>
        <v>3060</v>
      </c>
      <c r="M1185" s="1">
        <f>VLOOKUP(B1185,'[1]Срок Годности'!$A$2:$B$4,2,0)</f>
        <v>1000</v>
      </c>
      <c r="N1185" s="60">
        <f t="shared" si="129"/>
        <v>3645</v>
      </c>
      <c r="O1185" s="1" t="str">
        <f t="shared" si="130"/>
        <v>23 2012</v>
      </c>
      <c r="P1185" s="1">
        <f t="shared" si="131"/>
        <v>22</v>
      </c>
      <c r="Q1185" s="1">
        <f t="shared" ca="1" si="132"/>
        <v>4069</v>
      </c>
      <c r="S1185" s="1">
        <f t="shared" si="126"/>
        <v>11662</v>
      </c>
    </row>
    <row r="1186" spans="1:19" x14ac:dyDescent="0.2">
      <c r="A1186" s="57" t="s">
        <v>241</v>
      </c>
      <c r="B1186" s="57" t="s">
        <v>237</v>
      </c>
      <c r="C1186" s="57" t="s">
        <v>238</v>
      </c>
      <c r="D1186" s="58">
        <v>165.05</v>
      </c>
      <c r="E1186" s="59">
        <v>41065</v>
      </c>
      <c r="F1186" s="58">
        <v>11662</v>
      </c>
      <c r="G1186" s="58">
        <v>2183</v>
      </c>
      <c r="H1186" s="58">
        <v>3118</v>
      </c>
      <c r="I1186" s="58">
        <v>10657</v>
      </c>
      <c r="J1186" s="58">
        <v>0</v>
      </c>
      <c r="K1186" s="1">
        <f t="shared" si="127"/>
        <v>514625.9</v>
      </c>
      <c r="L1186" s="1">
        <f t="shared" si="128"/>
        <v>3118</v>
      </c>
      <c r="M1186" s="1">
        <f>VLOOKUP(B1186,'[1]Срок Годности'!$A$2:$B$4,2,0)</f>
        <v>1000</v>
      </c>
      <c r="N1186" s="60">
        <f t="shared" si="129"/>
        <v>2183</v>
      </c>
      <c r="O1186" s="1" t="str">
        <f t="shared" si="130"/>
        <v>23 2012</v>
      </c>
      <c r="P1186" s="1">
        <f t="shared" si="131"/>
        <v>22</v>
      </c>
      <c r="Q1186" s="1">
        <f t="shared" ca="1" si="132"/>
        <v>4068</v>
      </c>
      <c r="S1186" s="1">
        <f t="shared" si="126"/>
        <v>10657</v>
      </c>
    </row>
    <row r="1187" spans="1:19" x14ac:dyDescent="0.2">
      <c r="A1187" s="57" t="s">
        <v>241</v>
      </c>
      <c r="B1187" s="57" t="s">
        <v>237</v>
      </c>
      <c r="C1187" s="57" t="s">
        <v>238</v>
      </c>
      <c r="D1187" s="58">
        <v>165.05</v>
      </c>
      <c r="E1187" s="59">
        <v>41066</v>
      </c>
      <c r="F1187" s="58">
        <v>10657</v>
      </c>
      <c r="G1187" s="58">
        <v>921</v>
      </c>
      <c r="H1187" s="58">
        <v>3391</v>
      </c>
      <c r="I1187" s="58">
        <v>8146</v>
      </c>
      <c r="J1187" s="58">
        <v>0</v>
      </c>
      <c r="K1187" s="1">
        <f t="shared" si="127"/>
        <v>559684.55000000005</v>
      </c>
      <c r="L1187" s="1">
        <f t="shared" si="128"/>
        <v>3391</v>
      </c>
      <c r="M1187" s="1">
        <f>VLOOKUP(B1187,'[1]Срок Годности'!$A$2:$B$4,2,0)</f>
        <v>1000</v>
      </c>
      <c r="N1187" s="60">
        <f t="shared" si="129"/>
        <v>921</v>
      </c>
      <c r="O1187" s="1" t="str">
        <f t="shared" si="130"/>
        <v>23 2012</v>
      </c>
      <c r="P1187" s="1">
        <f t="shared" si="131"/>
        <v>22</v>
      </c>
      <c r="Q1187" s="1">
        <f t="shared" ca="1" si="132"/>
        <v>4067</v>
      </c>
      <c r="S1187" s="1">
        <f t="shared" si="126"/>
        <v>8146</v>
      </c>
    </row>
    <row r="1188" spans="1:19" x14ac:dyDescent="0.2">
      <c r="A1188" s="57" t="s">
        <v>241</v>
      </c>
      <c r="B1188" s="57" t="s">
        <v>237</v>
      </c>
      <c r="C1188" s="57" t="s">
        <v>238</v>
      </c>
      <c r="D1188" s="58">
        <v>165.05</v>
      </c>
      <c r="E1188" s="59">
        <v>41067</v>
      </c>
      <c r="F1188" s="58">
        <v>8146</v>
      </c>
      <c r="G1188" s="58">
        <v>4590</v>
      </c>
      <c r="H1188" s="58">
        <v>3099</v>
      </c>
      <c r="I1188" s="58">
        <v>9624</v>
      </c>
      <c r="J1188" s="58">
        <v>0</v>
      </c>
      <c r="K1188" s="1">
        <f t="shared" si="127"/>
        <v>511489.95</v>
      </c>
      <c r="L1188" s="1">
        <f t="shared" si="128"/>
        <v>3099</v>
      </c>
      <c r="M1188" s="1">
        <f>VLOOKUP(B1188,'[1]Срок Годности'!$A$2:$B$4,2,0)</f>
        <v>1000</v>
      </c>
      <c r="N1188" s="60">
        <f t="shared" si="129"/>
        <v>4590</v>
      </c>
      <c r="O1188" s="1" t="str">
        <f t="shared" si="130"/>
        <v>23 2012</v>
      </c>
      <c r="P1188" s="1">
        <f t="shared" si="131"/>
        <v>22</v>
      </c>
      <c r="Q1188" s="1">
        <f t="shared" ca="1" si="132"/>
        <v>4066</v>
      </c>
      <c r="S1188" s="1">
        <f t="shared" si="126"/>
        <v>9624</v>
      </c>
    </row>
    <row r="1189" spans="1:19" x14ac:dyDescent="0.2">
      <c r="A1189" s="57" t="s">
        <v>241</v>
      </c>
      <c r="B1189" s="57" t="s">
        <v>237</v>
      </c>
      <c r="C1189" s="57" t="s">
        <v>238</v>
      </c>
      <c r="D1189" s="58">
        <v>165.05</v>
      </c>
      <c r="E1189" s="59">
        <v>41068</v>
      </c>
      <c r="F1189" s="58">
        <v>9624</v>
      </c>
      <c r="G1189" s="58">
        <v>6715</v>
      </c>
      <c r="H1189" s="58">
        <v>3975</v>
      </c>
      <c r="I1189" s="58">
        <v>12322</v>
      </c>
      <c r="J1189" s="58">
        <v>0</v>
      </c>
      <c r="K1189" s="1">
        <f t="shared" si="127"/>
        <v>656073.75</v>
      </c>
      <c r="L1189" s="1">
        <f t="shared" si="128"/>
        <v>3975</v>
      </c>
      <c r="M1189" s="1">
        <f>VLOOKUP(B1189,'[1]Срок Годности'!$A$2:$B$4,2,0)</f>
        <v>1000</v>
      </c>
      <c r="N1189" s="60">
        <f t="shared" si="129"/>
        <v>6715</v>
      </c>
      <c r="O1189" s="1" t="str">
        <f t="shared" si="130"/>
        <v>23 2012</v>
      </c>
      <c r="P1189" s="1">
        <f t="shared" si="131"/>
        <v>22</v>
      </c>
      <c r="Q1189" s="1">
        <f t="shared" ca="1" si="132"/>
        <v>4065</v>
      </c>
      <c r="S1189" s="1">
        <f t="shared" si="126"/>
        <v>12322</v>
      </c>
    </row>
    <row r="1190" spans="1:19" x14ac:dyDescent="0.2">
      <c r="A1190" s="57" t="s">
        <v>241</v>
      </c>
      <c r="B1190" s="57" t="s">
        <v>237</v>
      </c>
      <c r="C1190" s="57" t="s">
        <v>238</v>
      </c>
      <c r="D1190" s="58">
        <v>165.05</v>
      </c>
      <c r="E1190" s="59">
        <v>41069</v>
      </c>
      <c r="F1190" s="58">
        <v>12322</v>
      </c>
      <c r="G1190" s="58">
        <v>3828</v>
      </c>
      <c r="H1190" s="58">
        <v>4922</v>
      </c>
      <c r="I1190" s="58">
        <v>11135</v>
      </c>
      <c r="J1190" s="58">
        <v>0</v>
      </c>
      <c r="K1190" s="1">
        <f t="shared" si="127"/>
        <v>812376.10000000009</v>
      </c>
      <c r="L1190" s="1">
        <f t="shared" si="128"/>
        <v>4922</v>
      </c>
      <c r="M1190" s="1">
        <f>VLOOKUP(B1190,'[1]Срок Годности'!$A$2:$B$4,2,0)</f>
        <v>1000</v>
      </c>
      <c r="N1190" s="60">
        <f t="shared" si="129"/>
        <v>3828</v>
      </c>
      <c r="O1190" s="1" t="str">
        <f t="shared" si="130"/>
        <v>23 2012</v>
      </c>
      <c r="P1190" s="1">
        <f t="shared" si="131"/>
        <v>22</v>
      </c>
      <c r="Q1190" s="1">
        <f t="shared" ca="1" si="132"/>
        <v>4064</v>
      </c>
      <c r="S1190" s="1">
        <f t="shared" si="126"/>
        <v>11135</v>
      </c>
    </row>
    <row r="1191" spans="1:19" x14ac:dyDescent="0.2">
      <c r="A1191" s="57" t="s">
        <v>241</v>
      </c>
      <c r="B1191" s="57" t="s">
        <v>237</v>
      </c>
      <c r="C1191" s="57" t="s">
        <v>238</v>
      </c>
      <c r="D1191" s="58">
        <v>165.05</v>
      </c>
      <c r="E1191" s="59">
        <v>41070</v>
      </c>
      <c r="F1191" s="58">
        <v>11135</v>
      </c>
      <c r="G1191" s="58">
        <v>2229</v>
      </c>
      <c r="H1191" s="58">
        <v>5679</v>
      </c>
      <c r="I1191" s="58">
        <v>7667</v>
      </c>
      <c r="J1191" s="58">
        <v>0</v>
      </c>
      <c r="K1191" s="1">
        <f t="shared" si="127"/>
        <v>937318.95000000007</v>
      </c>
      <c r="L1191" s="1">
        <f t="shared" si="128"/>
        <v>5679</v>
      </c>
      <c r="M1191" s="1">
        <f>VLOOKUP(B1191,'[1]Срок Годности'!$A$2:$B$4,2,0)</f>
        <v>1000</v>
      </c>
      <c r="N1191" s="60">
        <f t="shared" si="129"/>
        <v>0</v>
      </c>
      <c r="O1191" s="1" t="str">
        <f t="shared" si="130"/>
        <v>24 2012</v>
      </c>
      <c r="P1191" s="1">
        <f t="shared" si="131"/>
        <v>22</v>
      </c>
      <c r="Q1191" s="1">
        <f t="shared" ca="1" si="132"/>
        <v>4063</v>
      </c>
      <c r="S1191" s="1">
        <f t="shared" si="126"/>
        <v>7667</v>
      </c>
    </row>
    <row r="1192" spans="1:19" x14ac:dyDescent="0.2">
      <c r="A1192" s="57" t="s">
        <v>241</v>
      </c>
      <c r="B1192" s="57" t="s">
        <v>237</v>
      </c>
      <c r="C1192" s="57" t="s">
        <v>238</v>
      </c>
      <c r="D1192" s="58">
        <v>165.05</v>
      </c>
      <c r="E1192" s="59">
        <v>41071</v>
      </c>
      <c r="F1192" s="58">
        <v>7667</v>
      </c>
      <c r="G1192" s="58">
        <v>3709</v>
      </c>
      <c r="H1192" s="58">
        <v>4734</v>
      </c>
      <c r="I1192" s="58">
        <v>6678</v>
      </c>
      <c r="J1192" s="58">
        <v>0</v>
      </c>
      <c r="K1192" s="1">
        <f t="shared" si="127"/>
        <v>781346.70000000007</v>
      </c>
      <c r="L1192" s="1">
        <f t="shared" si="128"/>
        <v>4734</v>
      </c>
      <c r="M1192" s="1">
        <f>VLOOKUP(B1192,'[1]Срок Годности'!$A$2:$B$4,2,0)</f>
        <v>1000</v>
      </c>
      <c r="N1192" s="60">
        <f t="shared" si="129"/>
        <v>3709</v>
      </c>
      <c r="O1192" s="1" t="str">
        <f t="shared" si="130"/>
        <v>24 2012</v>
      </c>
      <c r="P1192" s="1">
        <f t="shared" si="131"/>
        <v>22</v>
      </c>
      <c r="Q1192" s="1">
        <f t="shared" ca="1" si="132"/>
        <v>4062</v>
      </c>
      <c r="S1192" s="1">
        <f t="shared" si="126"/>
        <v>6678</v>
      </c>
    </row>
    <row r="1193" spans="1:19" x14ac:dyDescent="0.2">
      <c r="A1193" s="57" t="s">
        <v>241</v>
      </c>
      <c r="B1193" s="57" t="s">
        <v>237</v>
      </c>
      <c r="C1193" s="57" t="s">
        <v>238</v>
      </c>
      <c r="D1193" s="58">
        <v>165.05</v>
      </c>
      <c r="E1193" s="59">
        <v>41072</v>
      </c>
      <c r="F1193" s="58">
        <v>6678</v>
      </c>
      <c r="G1193" s="58">
        <v>4861</v>
      </c>
      <c r="H1193" s="58">
        <v>5038</v>
      </c>
      <c r="I1193" s="58">
        <v>6462</v>
      </c>
      <c r="J1193" s="58">
        <v>0</v>
      </c>
      <c r="K1193" s="1">
        <f t="shared" si="127"/>
        <v>831521.9</v>
      </c>
      <c r="L1193" s="1">
        <f t="shared" si="128"/>
        <v>5038</v>
      </c>
      <c r="M1193" s="1">
        <f>VLOOKUP(B1193,'[1]Срок Годности'!$A$2:$B$4,2,0)</f>
        <v>1000</v>
      </c>
      <c r="N1193" s="60">
        <f t="shared" si="129"/>
        <v>4861</v>
      </c>
      <c r="O1193" s="1" t="str">
        <f t="shared" si="130"/>
        <v>24 2012</v>
      </c>
      <c r="P1193" s="1">
        <f t="shared" si="131"/>
        <v>22</v>
      </c>
      <c r="Q1193" s="1">
        <f t="shared" ca="1" si="132"/>
        <v>4061</v>
      </c>
      <c r="S1193" s="1">
        <f t="shared" si="126"/>
        <v>6462</v>
      </c>
    </row>
    <row r="1194" spans="1:19" x14ac:dyDescent="0.2">
      <c r="A1194" s="57" t="s">
        <v>241</v>
      </c>
      <c r="B1194" s="57" t="s">
        <v>237</v>
      </c>
      <c r="C1194" s="57" t="s">
        <v>238</v>
      </c>
      <c r="D1194" s="58">
        <v>165.05</v>
      </c>
      <c r="E1194" s="59">
        <v>41073</v>
      </c>
      <c r="F1194" s="58">
        <v>6462</v>
      </c>
      <c r="G1194" s="58">
        <v>1520</v>
      </c>
      <c r="H1194" s="58">
        <v>3446</v>
      </c>
      <c r="I1194" s="58">
        <v>4479</v>
      </c>
      <c r="J1194" s="58">
        <v>0</v>
      </c>
      <c r="K1194" s="1">
        <f t="shared" si="127"/>
        <v>568762.30000000005</v>
      </c>
      <c r="L1194" s="1">
        <f t="shared" si="128"/>
        <v>3446</v>
      </c>
      <c r="M1194" s="1">
        <f>VLOOKUP(B1194,'[1]Срок Годности'!$A$2:$B$4,2,0)</f>
        <v>1000</v>
      </c>
      <c r="N1194" s="60">
        <f t="shared" si="129"/>
        <v>1520</v>
      </c>
      <c r="O1194" s="1" t="str">
        <f t="shared" si="130"/>
        <v>24 2012</v>
      </c>
      <c r="P1194" s="1">
        <f t="shared" si="131"/>
        <v>22</v>
      </c>
      <c r="Q1194" s="1">
        <f t="shared" ca="1" si="132"/>
        <v>4060</v>
      </c>
      <c r="S1194" s="1">
        <f t="shared" si="126"/>
        <v>4479</v>
      </c>
    </row>
    <row r="1195" spans="1:19" x14ac:dyDescent="0.2">
      <c r="A1195" s="57" t="s">
        <v>241</v>
      </c>
      <c r="B1195" s="57" t="s">
        <v>237</v>
      </c>
      <c r="C1195" s="57" t="s">
        <v>238</v>
      </c>
      <c r="D1195" s="58">
        <v>165.05</v>
      </c>
      <c r="E1195" s="59">
        <v>41074</v>
      </c>
      <c r="F1195" s="58">
        <v>4479</v>
      </c>
      <c r="G1195" s="58">
        <v>4518</v>
      </c>
      <c r="H1195" s="58">
        <v>2968</v>
      </c>
      <c r="I1195" s="58">
        <v>6014</v>
      </c>
      <c r="J1195" s="58">
        <v>0</v>
      </c>
      <c r="K1195" s="1">
        <f t="shared" si="127"/>
        <v>489868.4</v>
      </c>
      <c r="L1195" s="1">
        <f t="shared" si="128"/>
        <v>2968</v>
      </c>
      <c r="M1195" s="1">
        <f>VLOOKUP(B1195,'[1]Срок Годности'!$A$2:$B$4,2,0)</f>
        <v>1000</v>
      </c>
      <c r="N1195" s="60">
        <f t="shared" si="129"/>
        <v>4518</v>
      </c>
      <c r="O1195" s="1" t="str">
        <f t="shared" si="130"/>
        <v>24 2012</v>
      </c>
      <c r="P1195" s="1">
        <f t="shared" si="131"/>
        <v>22</v>
      </c>
      <c r="Q1195" s="1">
        <f t="shared" ca="1" si="132"/>
        <v>4059</v>
      </c>
      <c r="S1195" s="1">
        <f t="shared" si="126"/>
        <v>6014</v>
      </c>
    </row>
    <row r="1196" spans="1:19" x14ac:dyDescent="0.2">
      <c r="A1196" s="57" t="s">
        <v>241</v>
      </c>
      <c r="B1196" s="57" t="s">
        <v>237</v>
      </c>
      <c r="C1196" s="57" t="s">
        <v>238</v>
      </c>
      <c r="D1196" s="58">
        <v>165.05</v>
      </c>
      <c r="E1196" s="59">
        <v>41075</v>
      </c>
      <c r="F1196" s="58">
        <v>6014</v>
      </c>
      <c r="G1196" s="58">
        <v>4276</v>
      </c>
      <c r="H1196" s="58">
        <v>3141</v>
      </c>
      <c r="I1196" s="58">
        <v>7083</v>
      </c>
      <c r="J1196" s="58">
        <v>0</v>
      </c>
      <c r="K1196" s="1">
        <f t="shared" si="127"/>
        <v>518422.05000000005</v>
      </c>
      <c r="L1196" s="1">
        <f t="shared" si="128"/>
        <v>3141</v>
      </c>
      <c r="M1196" s="1">
        <f>VLOOKUP(B1196,'[1]Срок Годности'!$A$2:$B$4,2,0)</f>
        <v>1000</v>
      </c>
      <c r="N1196" s="60">
        <f t="shared" si="129"/>
        <v>4276</v>
      </c>
      <c r="O1196" s="1" t="str">
        <f t="shared" si="130"/>
        <v>24 2012</v>
      </c>
      <c r="P1196" s="1">
        <f t="shared" si="131"/>
        <v>22</v>
      </c>
      <c r="Q1196" s="1">
        <f t="shared" ca="1" si="132"/>
        <v>4058</v>
      </c>
      <c r="S1196" s="1">
        <f t="shared" si="126"/>
        <v>7083</v>
      </c>
    </row>
    <row r="1197" spans="1:19" x14ac:dyDescent="0.2">
      <c r="A1197" s="57" t="s">
        <v>241</v>
      </c>
      <c r="B1197" s="57" t="s">
        <v>237</v>
      </c>
      <c r="C1197" s="57" t="s">
        <v>238</v>
      </c>
      <c r="D1197" s="58">
        <v>165.05</v>
      </c>
      <c r="E1197" s="59">
        <v>41076</v>
      </c>
      <c r="F1197" s="58">
        <v>7083</v>
      </c>
      <c r="G1197" s="58">
        <v>4412</v>
      </c>
      <c r="H1197" s="58">
        <v>3963</v>
      </c>
      <c r="I1197" s="58">
        <v>7519</v>
      </c>
      <c r="J1197" s="58">
        <v>0</v>
      </c>
      <c r="K1197" s="1">
        <f t="shared" si="127"/>
        <v>654093.15</v>
      </c>
      <c r="L1197" s="1">
        <f t="shared" si="128"/>
        <v>3963</v>
      </c>
      <c r="M1197" s="1">
        <f>VLOOKUP(B1197,'[1]Срок Годности'!$A$2:$B$4,2,0)</f>
        <v>1000</v>
      </c>
      <c r="N1197" s="60">
        <f t="shared" si="129"/>
        <v>4412</v>
      </c>
      <c r="O1197" s="1" t="str">
        <f t="shared" si="130"/>
        <v>24 2012</v>
      </c>
      <c r="P1197" s="1">
        <f t="shared" si="131"/>
        <v>22</v>
      </c>
      <c r="Q1197" s="1">
        <f t="shared" ca="1" si="132"/>
        <v>4057</v>
      </c>
      <c r="S1197" s="1">
        <f t="shared" si="126"/>
        <v>7519</v>
      </c>
    </row>
    <row r="1198" spans="1:19" x14ac:dyDescent="0.2">
      <c r="A1198" s="57" t="s">
        <v>241</v>
      </c>
      <c r="B1198" s="57" t="s">
        <v>237</v>
      </c>
      <c r="C1198" s="57" t="s">
        <v>238</v>
      </c>
      <c r="D1198" s="58">
        <v>165.05</v>
      </c>
      <c r="E1198" s="59">
        <v>41077</v>
      </c>
      <c r="F1198" s="58">
        <v>7519</v>
      </c>
      <c r="G1198" s="58">
        <v>699</v>
      </c>
      <c r="H1198" s="58">
        <v>3428</v>
      </c>
      <c r="I1198" s="58">
        <v>4765</v>
      </c>
      <c r="J1198" s="58">
        <v>0</v>
      </c>
      <c r="K1198" s="1">
        <f t="shared" si="127"/>
        <v>565791.4</v>
      </c>
      <c r="L1198" s="1">
        <f t="shared" si="128"/>
        <v>3428</v>
      </c>
      <c r="M1198" s="1">
        <f>VLOOKUP(B1198,'[1]Срок Годности'!$A$2:$B$4,2,0)</f>
        <v>1000</v>
      </c>
      <c r="N1198" s="60">
        <f t="shared" si="129"/>
        <v>0</v>
      </c>
      <c r="O1198" s="1" t="str">
        <f t="shared" si="130"/>
        <v>25 2012</v>
      </c>
      <c r="P1198" s="1">
        <f t="shared" si="131"/>
        <v>22</v>
      </c>
      <c r="Q1198" s="1">
        <f t="shared" ca="1" si="132"/>
        <v>4056</v>
      </c>
      <c r="S1198" s="1">
        <f t="shared" si="126"/>
        <v>4765</v>
      </c>
    </row>
    <row r="1199" spans="1:19" x14ac:dyDescent="0.2">
      <c r="A1199" s="57" t="s">
        <v>241</v>
      </c>
      <c r="B1199" s="57" t="s">
        <v>237</v>
      </c>
      <c r="C1199" s="57" t="s">
        <v>238</v>
      </c>
      <c r="D1199" s="58">
        <v>165.05</v>
      </c>
      <c r="E1199" s="59">
        <v>41078</v>
      </c>
      <c r="F1199" s="58">
        <v>4765</v>
      </c>
      <c r="G1199" s="58">
        <v>4597</v>
      </c>
      <c r="H1199" s="58">
        <v>2261</v>
      </c>
      <c r="I1199" s="58">
        <v>7108</v>
      </c>
      <c r="J1199" s="58">
        <v>0</v>
      </c>
      <c r="K1199" s="1">
        <f t="shared" si="127"/>
        <v>373178.05000000005</v>
      </c>
      <c r="L1199" s="1">
        <f t="shared" si="128"/>
        <v>2261</v>
      </c>
      <c r="M1199" s="1">
        <f>VLOOKUP(B1199,'[1]Срок Годности'!$A$2:$B$4,2,0)</f>
        <v>1000</v>
      </c>
      <c r="N1199" s="60">
        <f t="shared" si="129"/>
        <v>4597</v>
      </c>
      <c r="O1199" s="1" t="str">
        <f t="shared" si="130"/>
        <v>25 2012</v>
      </c>
      <c r="P1199" s="1">
        <f t="shared" si="131"/>
        <v>22</v>
      </c>
      <c r="Q1199" s="1">
        <f t="shared" ca="1" si="132"/>
        <v>4055</v>
      </c>
      <c r="S1199" s="1">
        <f t="shared" si="126"/>
        <v>7108</v>
      </c>
    </row>
    <row r="1200" spans="1:19" x14ac:dyDescent="0.2">
      <c r="A1200" s="57" t="s">
        <v>241</v>
      </c>
      <c r="B1200" s="57" t="s">
        <v>237</v>
      </c>
      <c r="C1200" s="57" t="s">
        <v>238</v>
      </c>
      <c r="D1200" s="58">
        <v>165.05</v>
      </c>
      <c r="E1200" s="59">
        <v>41079</v>
      </c>
      <c r="F1200" s="58">
        <v>7108</v>
      </c>
      <c r="G1200" s="58">
        <v>5337</v>
      </c>
      <c r="H1200" s="58">
        <v>2827</v>
      </c>
      <c r="I1200" s="58">
        <v>9577</v>
      </c>
      <c r="J1200" s="58">
        <v>0</v>
      </c>
      <c r="K1200" s="1">
        <f t="shared" si="127"/>
        <v>466596.35000000003</v>
      </c>
      <c r="L1200" s="1">
        <f t="shared" si="128"/>
        <v>2827</v>
      </c>
      <c r="M1200" s="1">
        <f>VLOOKUP(B1200,'[1]Срок Годности'!$A$2:$B$4,2,0)</f>
        <v>1000</v>
      </c>
      <c r="N1200" s="60">
        <f t="shared" si="129"/>
        <v>5337</v>
      </c>
      <c r="O1200" s="1" t="str">
        <f t="shared" si="130"/>
        <v>25 2012</v>
      </c>
      <c r="P1200" s="1">
        <f t="shared" si="131"/>
        <v>22</v>
      </c>
      <c r="Q1200" s="1">
        <f t="shared" ca="1" si="132"/>
        <v>4054</v>
      </c>
      <c r="S1200" s="1">
        <f t="shared" si="126"/>
        <v>9577</v>
      </c>
    </row>
    <row r="1201" spans="1:19" x14ac:dyDescent="0.2">
      <c r="A1201" s="57" t="s">
        <v>241</v>
      </c>
      <c r="B1201" s="57" t="s">
        <v>237</v>
      </c>
      <c r="C1201" s="57" t="s">
        <v>238</v>
      </c>
      <c r="D1201" s="58">
        <v>165.05</v>
      </c>
      <c r="E1201" s="59">
        <v>41080</v>
      </c>
      <c r="F1201" s="58">
        <v>9577</v>
      </c>
      <c r="G1201" s="58">
        <v>3853</v>
      </c>
      <c r="H1201" s="58">
        <v>3454</v>
      </c>
      <c r="I1201" s="58">
        <v>9935</v>
      </c>
      <c r="J1201" s="58">
        <v>0</v>
      </c>
      <c r="K1201" s="1">
        <f t="shared" si="127"/>
        <v>570082.70000000007</v>
      </c>
      <c r="L1201" s="1">
        <f t="shared" si="128"/>
        <v>3454</v>
      </c>
      <c r="M1201" s="1">
        <f>VLOOKUP(B1201,'[1]Срок Годности'!$A$2:$B$4,2,0)</f>
        <v>1000</v>
      </c>
      <c r="N1201" s="60">
        <f t="shared" si="129"/>
        <v>3853</v>
      </c>
      <c r="O1201" s="1" t="str">
        <f t="shared" si="130"/>
        <v>25 2012</v>
      </c>
      <c r="P1201" s="1">
        <f t="shared" si="131"/>
        <v>22</v>
      </c>
      <c r="Q1201" s="1">
        <f t="shared" ca="1" si="132"/>
        <v>4053</v>
      </c>
      <c r="S1201" s="1">
        <f t="shared" si="126"/>
        <v>9935</v>
      </c>
    </row>
    <row r="1202" spans="1:19" x14ac:dyDescent="0.2">
      <c r="A1202" s="57" t="s">
        <v>241</v>
      </c>
      <c r="B1202" s="57" t="s">
        <v>237</v>
      </c>
      <c r="C1202" s="57" t="s">
        <v>238</v>
      </c>
      <c r="D1202" s="58">
        <v>165.05</v>
      </c>
      <c r="E1202" s="59">
        <v>41081</v>
      </c>
      <c r="F1202" s="58">
        <v>9935</v>
      </c>
      <c r="G1202" s="58">
        <v>5560</v>
      </c>
      <c r="H1202" s="58">
        <v>3271</v>
      </c>
      <c r="I1202" s="58">
        <v>12199</v>
      </c>
      <c r="J1202" s="58">
        <v>1</v>
      </c>
      <c r="K1202" s="1">
        <f t="shared" si="127"/>
        <v>539878.55000000005</v>
      </c>
      <c r="L1202" s="1">
        <f t="shared" si="128"/>
        <v>3271</v>
      </c>
      <c r="M1202" s="1">
        <f>VLOOKUP(B1202,'[1]Срок Годности'!$A$2:$B$4,2,0)</f>
        <v>1000</v>
      </c>
      <c r="N1202" s="60">
        <f t="shared" si="129"/>
        <v>5560</v>
      </c>
      <c r="O1202" s="1" t="str">
        <f t="shared" si="130"/>
        <v>25 2012</v>
      </c>
      <c r="P1202" s="1">
        <f t="shared" si="131"/>
        <v>22</v>
      </c>
      <c r="Q1202" s="1">
        <f t="shared" ca="1" si="132"/>
        <v>4052</v>
      </c>
      <c r="S1202" s="1">
        <f t="shared" si="126"/>
        <v>12198</v>
      </c>
    </row>
    <row r="1203" spans="1:19" x14ac:dyDescent="0.2">
      <c r="A1203" s="57" t="s">
        <v>241</v>
      </c>
      <c r="B1203" s="57" t="s">
        <v>237</v>
      </c>
      <c r="C1203" s="57" t="s">
        <v>238</v>
      </c>
      <c r="D1203" s="58">
        <v>165.05</v>
      </c>
      <c r="E1203" s="59">
        <v>41082</v>
      </c>
      <c r="F1203" s="58">
        <v>12199</v>
      </c>
      <c r="G1203" s="58">
        <v>3387</v>
      </c>
      <c r="H1203" s="58">
        <v>3564</v>
      </c>
      <c r="I1203" s="58">
        <v>11968</v>
      </c>
      <c r="J1203" s="58">
        <v>0</v>
      </c>
      <c r="K1203" s="1">
        <f t="shared" si="127"/>
        <v>588238.20000000007</v>
      </c>
      <c r="L1203" s="1">
        <f t="shared" si="128"/>
        <v>3564</v>
      </c>
      <c r="M1203" s="1">
        <f>VLOOKUP(B1203,'[1]Срок Годности'!$A$2:$B$4,2,0)</f>
        <v>1000</v>
      </c>
      <c r="N1203" s="60">
        <f t="shared" si="129"/>
        <v>3387</v>
      </c>
      <c r="O1203" s="1" t="str">
        <f t="shared" si="130"/>
        <v>25 2012</v>
      </c>
      <c r="P1203" s="1">
        <f t="shared" si="131"/>
        <v>22</v>
      </c>
      <c r="Q1203" s="1">
        <f t="shared" ca="1" si="132"/>
        <v>4051</v>
      </c>
      <c r="S1203" s="1">
        <f t="shared" si="126"/>
        <v>11968</v>
      </c>
    </row>
    <row r="1204" spans="1:19" x14ac:dyDescent="0.2">
      <c r="A1204" s="57" t="s">
        <v>241</v>
      </c>
      <c r="B1204" s="57" t="s">
        <v>237</v>
      </c>
      <c r="C1204" s="57" t="s">
        <v>238</v>
      </c>
      <c r="D1204" s="58">
        <v>165.05</v>
      </c>
      <c r="E1204" s="59">
        <v>41083</v>
      </c>
      <c r="F1204" s="58">
        <v>11968</v>
      </c>
      <c r="G1204" s="58">
        <v>714</v>
      </c>
      <c r="H1204" s="58">
        <v>3791</v>
      </c>
      <c r="I1204" s="58">
        <v>8874</v>
      </c>
      <c r="J1204" s="58">
        <v>0</v>
      </c>
      <c r="K1204" s="1">
        <f t="shared" si="127"/>
        <v>625704.55000000005</v>
      </c>
      <c r="L1204" s="1">
        <f t="shared" si="128"/>
        <v>3791</v>
      </c>
      <c r="M1204" s="1">
        <f>VLOOKUP(B1204,'[1]Срок Годности'!$A$2:$B$4,2,0)</f>
        <v>1000</v>
      </c>
      <c r="N1204" s="60">
        <f t="shared" si="129"/>
        <v>714</v>
      </c>
      <c r="O1204" s="1" t="str">
        <f t="shared" si="130"/>
        <v>25 2012</v>
      </c>
      <c r="P1204" s="1">
        <f t="shared" si="131"/>
        <v>22</v>
      </c>
      <c r="Q1204" s="1">
        <f t="shared" ca="1" si="132"/>
        <v>4050</v>
      </c>
      <c r="S1204" s="1">
        <f t="shared" si="126"/>
        <v>8874</v>
      </c>
    </row>
    <row r="1205" spans="1:19" x14ac:dyDescent="0.2">
      <c r="A1205" s="57" t="s">
        <v>241</v>
      </c>
      <c r="B1205" s="57" t="s">
        <v>237</v>
      </c>
      <c r="C1205" s="57" t="s">
        <v>238</v>
      </c>
      <c r="D1205" s="58">
        <v>165.05</v>
      </c>
      <c r="E1205" s="59">
        <v>41084</v>
      </c>
      <c r="F1205" s="58">
        <v>8874</v>
      </c>
      <c r="G1205" s="58">
        <v>3377</v>
      </c>
      <c r="H1205" s="58">
        <v>3586</v>
      </c>
      <c r="I1205" s="58">
        <v>8530</v>
      </c>
      <c r="J1205" s="58">
        <v>1</v>
      </c>
      <c r="K1205" s="1">
        <f t="shared" si="127"/>
        <v>591869.30000000005</v>
      </c>
      <c r="L1205" s="1">
        <f t="shared" si="128"/>
        <v>3586</v>
      </c>
      <c r="M1205" s="1">
        <f>VLOOKUP(B1205,'[1]Срок Годности'!$A$2:$B$4,2,0)</f>
        <v>1000</v>
      </c>
      <c r="N1205" s="60">
        <f t="shared" si="129"/>
        <v>0</v>
      </c>
      <c r="O1205" s="1" t="str">
        <f t="shared" si="130"/>
        <v>26 2012</v>
      </c>
      <c r="P1205" s="1">
        <f t="shared" si="131"/>
        <v>22</v>
      </c>
      <c r="Q1205" s="1">
        <f t="shared" ca="1" si="132"/>
        <v>4049</v>
      </c>
      <c r="S1205" s="1">
        <f t="shared" si="126"/>
        <v>8529</v>
      </c>
    </row>
    <row r="1206" spans="1:19" x14ac:dyDescent="0.2">
      <c r="A1206" s="57" t="s">
        <v>241</v>
      </c>
      <c r="B1206" s="57" t="s">
        <v>237</v>
      </c>
      <c r="C1206" s="57" t="s">
        <v>238</v>
      </c>
      <c r="D1206" s="58">
        <v>165.05</v>
      </c>
      <c r="E1206" s="59">
        <v>41085</v>
      </c>
      <c r="F1206" s="58">
        <v>8530</v>
      </c>
      <c r="G1206" s="58">
        <v>4306</v>
      </c>
      <c r="H1206" s="58">
        <v>3158</v>
      </c>
      <c r="I1206" s="58">
        <v>9645</v>
      </c>
      <c r="J1206" s="58">
        <v>0</v>
      </c>
      <c r="K1206" s="1">
        <f t="shared" si="127"/>
        <v>521227.9</v>
      </c>
      <c r="L1206" s="1">
        <f t="shared" si="128"/>
        <v>3158</v>
      </c>
      <c r="M1206" s="1">
        <f>VLOOKUP(B1206,'[1]Срок Годности'!$A$2:$B$4,2,0)</f>
        <v>1000</v>
      </c>
      <c r="N1206" s="60">
        <f t="shared" si="129"/>
        <v>4306</v>
      </c>
      <c r="O1206" s="1" t="str">
        <f t="shared" si="130"/>
        <v>26 2012</v>
      </c>
      <c r="P1206" s="1">
        <f t="shared" si="131"/>
        <v>22</v>
      </c>
      <c r="Q1206" s="1">
        <f t="shared" ca="1" si="132"/>
        <v>4048</v>
      </c>
      <c r="S1206" s="1">
        <f t="shared" si="126"/>
        <v>9645</v>
      </c>
    </row>
    <row r="1207" spans="1:19" x14ac:dyDescent="0.2">
      <c r="A1207" s="57" t="s">
        <v>241</v>
      </c>
      <c r="B1207" s="57" t="s">
        <v>237</v>
      </c>
      <c r="C1207" s="57" t="s">
        <v>238</v>
      </c>
      <c r="D1207" s="58">
        <v>165.05</v>
      </c>
      <c r="E1207" s="59">
        <v>41086</v>
      </c>
      <c r="F1207" s="58">
        <v>9645</v>
      </c>
      <c r="G1207" s="58">
        <v>228</v>
      </c>
      <c r="H1207" s="58">
        <v>2708</v>
      </c>
      <c r="I1207" s="58">
        <v>7160</v>
      </c>
      <c r="J1207" s="58">
        <v>0</v>
      </c>
      <c r="K1207" s="1">
        <f t="shared" si="127"/>
        <v>446955.4</v>
      </c>
      <c r="L1207" s="1">
        <f t="shared" si="128"/>
        <v>2708</v>
      </c>
      <c r="M1207" s="1">
        <f>VLOOKUP(B1207,'[1]Срок Годности'!$A$2:$B$4,2,0)</f>
        <v>1000</v>
      </c>
      <c r="N1207" s="60">
        <f t="shared" si="129"/>
        <v>228</v>
      </c>
      <c r="O1207" s="1" t="str">
        <f t="shared" si="130"/>
        <v>26 2012</v>
      </c>
      <c r="P1207" s="1">
        <f t="shared" si="131"/>
        <v>22</v>
      </c>
      <c r="Q1207" s="1">
        <f t="shared" ca="1" si="132"/>
        <v>4047</v>
      </c>
      <c r="S1207" s="1">
        <f t="shared" si="126"/>
        <v>7160</v>
      </c>
    </row>
    <row r="1208" spans="1:19" x14ac:dyDescent="0.2">
      <c r="A1208" s="57" t="s">
        <v>241</v>
      </c>
      <c r="B1208" s="57" t="s">
        <v>237</v>
      </c>
      <c r="C1208" s="57" t="s">
        <v>238</v>
      </c>
      <c r="D1208" s="58">
        <v>165.05</v>
      </c>
      <c r="E1208" s="59">
        <v>41087</v>
      </c>
      <c r="F1208" s="58">
        <v>7160</v>
      </c>
      <c r="G1208" s="58">
        <v>6811</v>
      </c>
      <c r="H1208" s="58">
        <v>2400</v>
      </c>
      <c r="I1208" s="58">
        <v>11554</v>
      </c>
      <c r="J1208" s="58">
        <v>0</v>
      </c>
      <c r="K1208" s="1">
        <f t="shared" si="127"/>
        <v>396120</v>
      </c>
      <c r="L1208" s="1">
        <f t="shared" si="128"/>
        <v>2400</v>
      </c>
      <c r="M1208" s="1">
        <f>VLOOKUP(B1208,'[1]Срок Годности'!$A$2:$B$4,2,0)</f>
        <v>1000</v>
      </c>
      <c r="N1208" s="60">
        <f t="shared" si="129"/>
        <v>6811</v>
      </c>
      <c r="O1208" s="1" t="str">
        <f t="shared" si="130"/>
        <v>26 2012</v>
      </c>
      <c r="P1208" s="1">
        <f t="shared" si="131"/>
        <v>22</v>
      </c>
      <c r="Q1208" s="1">
        <f t="shared" ca="1" si="132"/>
        <v>4046</v>
      </c>
      <c r="S1208" s="1">
        <f t="shared" si="126"/>
        <v>11554</v>
      </c>
    </row>
    <row r="1209" spans="1:19" x14ac:dyDescent="0.2">
      <c r="A1209" s="57" t="s">
        <v>241</v>
      </c>
      <c r="B1209" s="57" t="s">
        <v>237</v>
      </c>
      <c r="C1209" s="57" t="s">
        <v>238</v>
      </c>
      <c r="D1209" s="58">
        <v>165.05</v>
      </c>
      <c r="E1209" s="59">
        <v>41088</v>
      </c>
      <c r="F1209" s="58">
        <v>11554</v>
      </c>
      <c r="G1209" s="58">
        <v>7782</v>
      </c>
      <c r="H1209" s="58">
        <v>2538</v>
      </c>
      <c r="I1209" s="58">
        <v>16761</v>
      </c>
      <c r="J1209" s="58">
        <v>0</v>
      </c>
      <c r="K1209" s="1">
        <f t="shared" si="127"/>
        <v>418896.9</v>
      </c>
      <c r="L1209" s="1">
        <f t="shared" si="128"/>
        <v>2538</v>
      </c>
      <c r="M1209" s="1">
        <f>VLOOKUP(B1209,'[1]Срок Годности'!$A$2:$B$4,2,0)</f>
        <v>1000</v>
      </c>
      <c r="N1209" s="60">
        <f t="shared" si="129"/>
        <v>7782</v>
      </c>
      <c r="O1209" s="1" t="str">
        <f t="shared" si="130"/>
        <v>26 2012</v>
      </c>
      <c r="P1209" s="1">
        <f t="shared" si="131"/>
        <v>22</v>
      </c>
      <c r="Q1209" s="1">
        <f t="shared" ca="1" si="132"/>
        <v>4045</v>
      </c>
      <c r="S1209" s="1">
        <f t="shared" si="126"/>
        <v>16761</v>
      </c>
    </row>
    <row r="1210" spans="1:19" x14ac:dyDescent="0.2">
      <c r="A1210" s="57" t="s">
        <v>241</v>
      </c>
      <c r="B1210" s="57" t="s">
        <v>237</v>
      </c>
      <c r="C1210" s="57" t="s">
        <v>238</v>
      </c>
      <c r="D1210" s="58">
        <v>165.05</v>
      </c>
      <c r="E1210" s="59">
        <v>41089</v>
      </c>
      <c r="F1210" s="58">
        <v>16761</v>
      </c>
      <c r="G1210" s="58">
        <v>3229</v>
      </c>
      <c r="H1210" s="58">
        <v>3188</v>
      </c>
      <c r="I1210" s="58">
        <v>16773</v>
      </c>
      <c r="J1210" s="58">
        <v>0</v>
      </c>
      <c r="K1210" s="1">
        <f t="shared" si="127"/>
        <v>526179.4</v>
      </c>
      <c r="L1210" s="1">
        <f t="shared" si="128"/>
        <v>3188</v>
      </c>
      <c r="M1210" s="1">
        <f>VLOOKUP(B1210,'[1]Срок Годности'!$A$2:$B$4,2,0)</f>
        <v>1000</v>
      </c>
      <c r="N1210" s="60">
        <f t="shared" si="129"/>
        <v>3229</v>
      </c>
      <c r="O1210" s="1" t="str">
        <f t="shared" si="130"/>
        <v>26 2012</v>
      </c>
      <c r="P1210" s="1">
        <f t="shared" si="131"/>
        <v>22</v>
      </c>
      <c r="Q1210" s="1">
        <f t="shared" ca="1" si="132"/>
        <v>4044</v>
      </c>
      <c r="S1210" s="1">
        <f t="shared" si="126"/>
        <v>16773</v>
      </c>
    </row>
    <row r="1211" spans="1:19" x14ac:dyDescent="0.2">
      <c r="A1211" s="57" t="s">
        <v>241</v>
      </c>
      <c r="B1211" s="57" t="s">
        <v>237</v>
      </c>
      <c r="C1211" s="57" t="s">
        <v>238</v>
      </c>
      <c r="D1211" s="58">
        <v>165.05</v>
      </c>
      <c r="E1211" s="59">
        <v>41090</v>
      </c>
      <c r="F1211" s="58">
        <v>16773</v>
      </c>
      <c r="G1211" s="58">
        <v>1880</v>
      </c>
      <c r="H1211" s="58">
        <v>3986</v>
      </c>
      <c r="I1211" s="58">
        <v>14586</v>
      </c>
      <c r="J1211" s="58">
        <v>0</v>
      </c>
      <c r="K1211" s="1">
        <f t="shared" si="127"/>
        <v>657889.30000000005</v>
      </c>
      <c r="L1211" s="1">
        <f t="shared" si="128"/>
        <v>3986</v>
      </c>
      <c r="M1211" s="1">
        <f>VLOOKUP(B1211,'[1]Срок Годности'!$A$2:$B$4,2,0)</f>
        <v>1000</v>
      </c>
      <c r="N1211" s="60">
        <f t="shared" si="129"/>
        <v>1880</v>
      </c>
      <c r="O1211" s="1" t="str">
        <f t="shared" si="130"/>
        <v>26 2012</v>
      </c>
      <c r="P1211" s="1">
        <f t="shared" si="131"/>
        <v>22</v>
      </c>
      <c r="Q1211" s="1">
        <f t="shared" ca="1" si="132"/>
        <v>4043</v>
      </c>
      <c r="S1211" s="1">
        <f t="shared" si="126"/>
        <v>14586</v>
      </c>
    </row>
    <row r="1212" spans="1:19" x14ac:dyDescent="0.2">
      <c r="A1212" s="57" t="s">
        <v>241</v>
      </c>
      <c r="B1212" s="57" t="s">
        <v>237</v>
      </c>
      <c r="C1212" s="57" t="s">
        <v>238</v>
      </c>
      <c r="D1212" s="58">
        <v>165.05</v>
      </c>
      <c r="E1212" s="59">
        <v>41091</v>
      </c>
      <c r="F1212" s="58">
        <v>14586</v>
      </c>
      <c r="G1212" s="58">
        <v>2803</v>
      </c>
      <c r="H1212" s="58">
        <v>3899</v>
      </c>
      <c r="I1212" s="58">
        <v>13455</v>
      </c>
      <c r="J1212" s="58">
        <v>0</v>
      </c>
      <c r="K1212" s="1">
        <f t="shared" si="127"/>
        <v>643529.95000000007</v>
      </c>
      <c r="L1212" s="1">
        <f t="shared" si="128"/>
        <v>3899</v>
      </c>
      <c r="M1212" s="1">
        <f>VLOOKUP(B1212,'[1]Срок Годности'!$A$2:$B$4,2,0)</f>
        <v>1000</v>
      </c>
      <c r="N1212" s="60">
        <f t="shared" si="129"/>
        <v>0</v>
      </c>
      <c r="O1212" s="1" t="str">
        <f t="shared" si="130"/>
        <v>27 2012</v>
      </c>
      <c r="P1212" s="1">
        <f t="shared" si="131"/>
        <v>22</v>
      </c>
      <c r="Q1212" s="1">
        <f t="shared" ca="1" si="132"/>
        <v>4042</v>
      </c>
      <c r="S1212" s="1">
        <f t="shared" si="126"/>
        <v>13455</v>
      </c>
    </row>
    <row r="1213" spans="1:19" x14ac:dyDescent="0.2">
      <c r="A1213" s="57" t="s">
        <v>241</v>
      </c>
      <c r="B1213" s="57" t="s">
        <v>237</v>
      </c>
      <c r="C1213" s="57" t="s">
        <v>238</v>
      </c>
      <c r="D1213" s="58">
        <v>165.05</v>
      </c>
      <c r="E1213" s="59">
        <v>41092</v>
      </c>
      <c r="F1213" s="58">
        <v>13455</v>
      </c>
      <c r="G1213" s="58">
        <v>3689</v>
      </c>
      <c r="H1213" s="58">
        <v>3153</v>
      </c>
      <c r="I1213" s="58">
        <v>13927</v>
      </c>
      <c r="J1213" s="58">
        <v>0</v>
      </c>
      <c r="K1213" s="1">
        <f t="shared" si="127"/>
        <v>520402.65</v>
      </c>
      <c r="L1213" s="1">
        <f t="shared" si="128"/>
        <v>3153</v>
      </c>
      <c r="M1213" s="1">
        <f>VLOOKUP(B1213,'[1]Срок Годности'!$A$2:$B$4,2,0)</f>
        <v>1000</v>
      </c>
      <c r="N1213" s="60">
        <f t="shared" si="129"/>
        <v>3689</v>
      </c>
      <c r="O1213" s="1" t="str">
        <f t="shared" si="130"/>
        <v>27 2012</v>
      </c>
      <c r="P1213" s="1">
        <f t="shared" si="131"/>
        <v>22</v>
      </c>
      <c r="Q1213" s="1">
        <f t="shared" ca="1" si="132"/>
        <v>4041</v>
      </c>
      <c r="S1213" s="1">
        <f t="shared" si="126"/>
        <v>13927</v>
      </c>
    </row>
    <row r="1214" spans="1:19" x14ac:dyDescent="0.2">
      <c r="A1214" s="57" t="s">
        <v>241</v>
      </c>
      <c r="B1214" s="57" t="s">
        <v>237</v>
      </c>
      <c r="C1214" s="57" t="s">
        <v>238</v>
      </c>
      <c r="D1214" s="58">
        <v>165.05</v>
      </c>
      <c r="E1214" s="59">
        <v>41093</v>
      </c>
      <c r="F1214" s="58">
        <v>13927</v>
      </c>
      <c r="G1214" s="58">
        <v>3989</v>
      </c>
      <c r="H1214" s="58">
        <v>3666</v>
      </c>
      <c r="I1214" s="58">
        <v>14147</v>
      </c>
      <c r="J1214" s="58">
        <v>0</v>
      </c>
      <c r="K1214" s="1">
        <f t="shared" si="127"/>
        <v>605073.30000000005</v>
      </c>
      <c r="L1214" s="1">
        <f t="shared" si="128"/>
        <v>3666</v>
      </c>
      <c r="M1214" s="1">
        <f>VLOOKUP(B1214,'[1]Срок Годности'!$A$2:$B$4,2,0)</f>
        <v>1000</v>
      </c>
      <c r="N1214" s="60">
        <f t="shared" si="129"/>
        <v>3989</v>
      </c>
      <c r="O1214" s="1" t="str">
        <f t="shared" si="130"/>
        <v>27 2012</v>
      </c>
      <c r="P1214" s="1">
        <f t="shared" si="131"/>
        <v>22</v>
      </c>
      <c r="Q1214" s="1">
        <f t="shared" ca="1" si="132"/>
        <v>4040</v>
      </c>
      <c r="S1214" s="1">
        <f t="shared" si="126"/>
        <v>14147</v>
      </c>
    </row>
    <row r="1215" spans="1:19" x14ac:dyDescent="0.2">
      <c r="A1215" s="57" t="s">
        <v>241</v>
      </c>
      <c r="B1215" s="57" t="s">
        <v>237</v>
      </c>
      <c r="C1215" s="57" t="s">
        <v>238</v>
      </c>
      <c r="D1215" s="58">
        <v>165.05</v>
      </c>
      <c r="E1215" s="59">
        <v>41094</v>
      </c>
      <c r="F1215" s="58">
        <v>14147</v>
      </c>
      <c r="G1215" s="58">
        <v>3007</v>
      </c>
      <c r="H1215" s="58">
        <v>3431</v>
      </c>
      <c r="I1215" s="58">
        <v>13645</v>
      </c>
      <c r="J1215" s="58">
        <v>0</v>
      </c>
      <c r="K1215" s="1">
        <f t="shared" si="127"/>
        <v>566286.55000000005</v>
      </c>
      <c r="L1215" s="1">
        <f t="shared" si="128"/>
        <v>3431</v>
      </c>
      <c r="M1215" s="1">
        <f>VLOOKUP(B1215,'[1]Срок Годности'!$A$2:$B$4,2,0)</f>
        <v>1000</v>
      </c>
      <c r="N1215" s="60">
        <f t="shared" si="129"/>
        <v>3007</v>
      </c>
      <c r="O1215" s="1" t="str">
        <f t="shared" si="130"/>
        <v>27 2012</v>
      </c>
      <c r="P1215" s="1">
        <f t="shared" si="131"/>
        <v>22</v>
      </c>
      <c r="Q1215" s="1">
        <f t="shared" ca="1" si="132"/>
        <v>4039</v>
      </c>
      <c r="S1215" s="1">
        <f t="shared" si="126"/>
        <v>13645</v>
      </c>
    </row>
    <row r="1216" spans="1:19" x14ac:dyDescent="0.2">
      <c r="A1216" s="57" t="s">
        <v>241</v>
      </c>
      <c r="B1216" s="57" t="s">
        <v>237</v>
      </c>
      <c r="C1216" s="57" t="s">
        <v>238</v>
      </c>
      <c r="D1216" s="58">
        <v>165.05</v>
      </c>
      <c r="E1216" s="59">
        <v>41095</v>
      </c>
      <c r="F1216" s="58">
        <v>13645</v>
      </c>
      <c r="G1216" s="58">
        <v>4326</v>
      </c>
      <c r="H1216" s="58">
        <v>3544</v>
      </c>
      <c r="I1216" s="58">
        <v>14366</v>
      </c>
      <c r="J1216" s="58">
        <v>0</v>
      </c>
      <c r="K1216" s="1">
        <f t="shared" si="127"/>
        <v>584937.20000000007</v>
      </c>
      <c r="L1216" s="1">
        <f t="shared" si="128"/>
        <v>3544</v>
      </c>
      <c r="M1216" s="1">
        <f>VLOOKUP(B1216,'[1]Срок Годности'!$A$2:$B$4,2,0)</f>
        <v>1000</v>
      </c>
      <c r="N1216" s="60">
        <f t="shared" si="129"/>
        <v>4326</v>
      </c>
      <c r="O1216" s="1" t="str">
        <f t="shared" si="130"/>
        <v>27 2012</v>
      </c>
      <c r="P1216" s="1">
        <f t="shared" si="131"/>
        <v>22</v>
      </c>
      <c r="Q1216" s="1">
        <f t="shared" ca="1" si="132"/>
        <v>4038</v>
      </c>
      <c r="S1216" s="1">
        <f t="shared" si="126"/>
        <v>14366</v>
      </c>
    </row>
    <row r="1217" spans="1:19" x14ac:dyDescent="0.2">
      <c r="A1217" s="57" t="s">
        <v>241</v>
      </c>
      <c r="B1217" s="57" t="s">
        <v>237</v>
      </c>
      <c r="C1217" s="57" t="s">
        <v>238</v>
      </c>
      <c r="D1217" s="58">
        <v>165.05</v>
      </c>
      <c r="E1217" s="59">
        <v>41096</v>
      </c>
      <c r="F1217" s="58">
        <v>14366</v>
      </c>
      <c r="G1217" s="58">
        <v>4026</v>
      </c>
      <c r="H1217" s="58">
        <v>3473</v>
      </c>
      <c r="I1217" s="58">
        <v>14824</v>
      </c>
      <c r="J1217" s="58">
        <v>1</v>
      </c>
      <c r="K1217" s="1">
        <f t="shared" si="127"/>
        <v>573218.65</v>
      </c>
      <c r="L1217" s="1">
        <f t="shared" si="128"/>
        <v>3473</v>
      </c>
      <c r="M1217" s="1">
        <f>VLOOKUP(B1217,'[1]Срок Годности'!$A$2:$B$4,2,0)</f>
        <v>1000</v>
      </c>
      <c r="N1217" s="60">
        <f t="shared" si="129"/>
        <v>4026</v>
      </c>
      <c r="O1217" s="1" t="str">
        <f t="shared" si="130"/>
        <v>27 2012</v>
      </c>
      <c r="P1217" s="1">
        <f t="shared" si="131"/>
        <v>22</v>
      </c>
      <c r="Q1217" s="1">
        <f t="shared" ca="1" si="132"/>
        <v>4037</v>
      </c>
      <c r="S1217" s="1">
        <f t="shared" si="126"/>
        <v>14823</v>
      </c>
    </row>
    <row r="1218" spans="1:19" x14ac:dyDescent="0.2">
      <c r="A1218" s="57" t="s">
        <v>241</v>
      </c>
      <c r="B1218" s="57" t="s">
        <v>237</v>
      </c>
      <c r="C1218" s="57" t="s">
        <v>238</v>
      </c>
      <c r="D1218" s="58">
        <v>165.05</v>
      </c>
      <c r="E1218" s="59">
        <v>41097</v>
      </c>
      <c r="F1218" s="58">
        <v>14824</v>
      </c>
      <c r="G1218" s="58">
        <v>3972</v>
      </c>
      <c r="H1218" s="58">
        <v>4229</v>
      </c>
      <c r="I1218" s="58">
        <v>14528</v>
      </c>
      <c r="J1218" s="58">
        <v>0</v>
      </c>
      <c r="K1218" s="1">
        <f t="shared" si="127"/>
        <v>697996.45000000007</v>
      </c>
      <c r="L1218" s="1">
        <f t="shared" si="128"/>
        <v>4229</v>
      </c>
      <c r="M1218" s="1">
        <f>VLOOKUP(B1218,'[1]Срок Годности'!$A$2:$B$4,2,0)</f>
        <v>1000</v>
      </c>
      <c r="N1218" s="60">
        <f t="shared" si="129"/>
        <v>3972</v>
      </c>
      <c r="O1218" s="1" t="str">
        <f t="shared" si="130"/>
        <v>27 2012</v>
      </c>
      <c r="P1218" s="1">
        <f t="shared" si="131"/>
        <v>22</v>
      </c>
      <c r="Q1218" s="1">
        <f t="shared" ca="1" si="132"/>
        <v>4036</v>
      </c>
      <c r="S1218" s="1">
        <f t="shared" si="126"/>
        <v>14528</v>
      </c>
    </row>
    <row r="1219" spans="1:19" x14ac:dyDescent="0.2">
      <c r="A1219" s="57" t="s">
        <v>241</v>
      </c>
      <c r="B1219" s="57" t="s">
        <v>237</v>
      </c>
      <c r="C1219" s="57" t="s">
        <v>238</v>
      </c>
      <c r="D1219" s="58">
        <v>165.05</v>
      </c>
      <c r="E1219" s="59">
        <v>41098</v>
      </c>
      <c r="F1219" s="58">
        <v>14528</v>
      </c>
      <c r="G1219" s="58">
        <v>4456</v>
      </c>
      <c r="H1219" s="58">
        <v>4123</v>
      </c>
      <c r="I1219" s="58">
        <v>14799</v>
      </c>
      <c r="J1219" s="58">
        <v>0</v>
      </c>
      <c r="K1219" s="1">
        <f t="shared" si="127"/>
        <v>680501.15</v>
      </c>
      <c r="L1219" s="1">
        <f t="shared" si="128"/>
        <v>4123</v>
      </c>
      <c r="M1219" s="1">
        <f>VLOOKUP(B1219,'[1]Срок Годности'!$A$2:$B$4,2,0)</f>
        <v>1000</v>
      </c>
      <c r="N1219" s="60">
        <f t="shared" si="129"/>
        <v>0</v>
      </c>
      <c r="O1219" s="1" t="str">
        <f t="shared" si="130"/>
        <v>28 2012</v>
      </c>
      <c r="P1219" s="1">
        <f t="shared" si="131"/>
        <v>22</v>
      </c>
      <c r="Q1219" s="1">
        <f t="shared" ca="1" si="132"/>
        <v>4035</v>
      </c>
      <c r="S1219" s="1">
        <f t="shared" si="126"/>
        <v>14799</v>
      </c>
    </row>
    <row r="1220" spans="1:19" x14ac:dyDescent="0.2">
      <c r="A1220" s="57" t="s">
        <v>241</v>
      </c>
      <c r="B1220" s="57" t="s">
        <v>237</v>
      </c>
      <c r="C1220" s="57" t="s">
        <v>238</v>
      </c>
      <c r="D1220" s="58">
        <v>165.05</v>
      </c>
      <c r="E1220" s="59">
        <v>41099</v>
      </c>
      <c r="F1220" s="58">
        <v>14799</v>
      </c>
      <c r="G1220" s="58">
        <v>4213</v>
      </c>
      <c r="H1220" s="58">
        <v>3618</v>
      </c>
      <c r="I1220" s="58">
        <v>15324</v>
      </c>
      <c r="J1220" s="58">
        <v>0</v>
      </c>
      <c r="K1220" s="1">
        <f t="shared" si="127"/>
        <v>597150.9</v>
      </c>
      <c r="L1220" s="1">
        <f t="shared" si="128"/>
        <v>3618</v>
      </c>
      <c r="M1220" s="1">
        <f>VLOOKUP(B1220,'[1]Срок Годности'!$A$2:$B$4,2,0)</f>
        <v>1000</v>
      </c>
      <c r="N1220" s="60">
        <f t="shared" si="129"/>
        <v>4213</v>
      </c>
      <c r="O1220" s="1" t="str">
        <f t="shared" si="130"/>
        <v>28 2012</v>
      </c>
      <c r="P1220" s="1">
        <f t="shared" si="131"/>
        <v>22</v>
      </c>
      <c r="Q1220" s="1">
        <f t="shared" ca="1" si="132"/>
        <v>4034</v>
      </c>
      <c r="S1220" s="1">
        <f t="shared" si="126"/>
        <v>15324</v>
      </c>
    </row>
    <row r="1221" spans="1:19" x14ac:dyDescent="0.2">
      <c r="A1221" s="57" t="s">
        <v>241</v>
      </c>
      <c r="B1221" s="57" t="s">
        <v>237</v>
      </c>
      <c r="C1221" s="57" t="s">
        <v>238</v>
      </c>
      <c r="D1221" s="58">
        <v>165.05</v>
      </c>
      <c r="E1221" s="59">
        <v>41100</v>
      </c>
      <c r="F1221" s="58">
        <v>15324</v>
      </c>
      <c r="G1221" s="58">
        <v>4296</v>
      </c>
      <c r="H1221" s="58">
        <v>3670</v>
      </c>
      <c r="I1221" s="58">
        <v>15798</v>
      </c>
      <c r="J1221" s="58">
        <v>0</v>
      </c>
      <c r="K1221" s="1">
        <f t="shared" si="127"/>
        <v>605733.5</v>
      </c>
      <c r="L1221" s="1">
        <f t="shared" si="128"/>
        <v>3670</v>
      </c>
      <c r="M1221" s="1">
        <f>VLOOKUP(B1221,'[1]Срок Годности'!$A$2:$B$4,2,0)</f>
        <v>1000</v>
      </c>
      <c r="N1221" s="60">
        <f t="shared" si="129"/>
        <v>4296</v>
      </c>
      <c r="O1221" s="1" t="str">
        <f t="shared" si="130"/>
        <v>28 2012</v>
      </c>
      <c r="P1221" s="1">
        <f t="shared" si="131"/>
        <v>22</v>
      </c>
      <c r="Q1221" s="1">
        <f t="shared" ca="1" si="132"/>
        <v>4033</v>
      </c>
      <c r="S1221" s="1">
        <f t="shared" si="126"/>
        <v>15798</v>
      </c>
    </row>
    <row r="1222" spans="1:19" x14ac:dyDescent="0.2">
      <c r="A1222" s="57" t="s">
        <v>241</v>
      </c>
      <c r="B1222" s="57" t="s">
        <v>237</v>
      </c>
      <c r="C1222" s="57" t="s">
        <v>238</v>
      </c>
      <c r="D1222" s="58">
        <v>165.05</v>
      </c>
      <c r="E1222" s="59">
        <v>41101</v>
      </c>
      <c r="F1222" s="58">
        <v>15798</v>
      </c>
      <c r="G1222" s="58">
        <v>4073</v>
      </c>
      <c r="H1222" s="58">
        <v>3651</v>
      </c>
      <c r="I1222" s="58">
        <v>16100</v>
      </c>
      <c r="J1222" s="58">
        <v>0</v>
      </c>
      <c r="K1222" s="1">
        <f t="shared" si="127"/>
        <v>602597.55000000005</v>
      </c>
      <c r="L1222" s="1">
        <f t="shared" si="128"/>
        <v>3651</v>
      </c>
      <c r="M1222" s="1">
        <f>VLOOKUP(B1222,'[1]Срок Годности'!$A$2:$B$4,2,0)</f>
        <v>1000</v>
      </c>
      <c r="N1222" s="60">
        <f t="shared" si="129"/>
        <v>4073</v>
      </c>
      <c r="O1222" s="1" t="str">
        <f t="shared" si="130"/>
        <v>28 2012</v>
      </c>
      <c r="P1222" s="1">
        <f t="shared" si="131"/>
        <v>22</v>
      </c>
      <c r="Q1222" s="1">
        <f t="shared" ca="1" si="132"/>
        <v>4032</v>
      </c>
      <c r="S1222" s="1">
        <f t="shared" si="126"/>
        <v>16100</v>
      </c>
    </row>
    <row r="1223" spans="1:19" x14ac:dyDescent="0.2">
      <c r="A1223" s="57" t="s">
        <v>241</v>
      </c>
      <c r="B1223" s="57" t="s">
        <v>237</v>
      </c>
      <c r="C1223" s="57" t="s">
        <v>238</v>
      </c>
      <c r="D1223" s="58">
        <v>165.05</v>
      </c>
      <c r="E1223" s="59">
        <v>41102</v>
      </c>
      <c r="F1223" s="58">
        <v>16100</v>
      </c>
      <c r="G1223" s="58">
        <v>2938</v>
      </c>
      <c r="H1223" s="58">
        <v>3207</v>
      </c>
      <c r="I1223" s="58">
        <v>15747</v>
      </c>
      <c r="J1223" s="58">
        <v>0</v>
      </c>
      <c r="K1223" s="1">
        <f t="shared" si="127"/>
        <v>529315.35000000009</v>
      </c>
      <c r="L1223" s="1">
        <f t="shared" si="128"/>
        <v>3207</v>
      </c>
      <c r="M1223" s="1">
        <f>VLOOKUP(B1223,'[1]Срок Годности'!$A$2:$B$4,2,0)</f>
        <v>1000</v>
      </c>
      <c r="N1223" s="60">
        <f t="shared" si="129"/>
        <v>2938</v>
      </c>
      <c r="O1223" s="1" t="str">
        <f t="shared" si="130"/>
        <v>28 2012</v>
      </c>
      <c r="P1223" s="1">
        <f t="shared" si="131"/>
        <v>22</v>
      </c>
      <c r="Q1223" s="1">
        <f t="shared" ca="1" si="132"/>
        <v>4031</v>
      </c>
      <c r="S1223" s="1">
        <f t="shared" ref="S1223:S1286" si="133">I1223-J1223</f>
        <v>15747</v>
      </c>
    </row>
    <row r="1224" spans="1:19" x14ac:dyDescent="0.2">
      <c r="A1224" s="57" t="s">
        <v>241</v>
      </c>
      <c r="B1224" s="57" t="s">
        <v>237</v>
      </c>
      <c r="C1224" s="57" t="s">
        <v>238</v>
      </c>
      <c r="D1224" s="58">
        <v>165.05</v>
      </c>
      <c r="E1224" s="59">
        <v>41103</v>
      </c>
      <c r="F1224" s="58">
        <v>15747</v>
      </c>
      <c r="G1224" s="58">
        <v>4367</v>
      </c>
      <c r="H1224" s="58">
        <v>3133</v>
      </c>
      <c r="I1224" s="58">
        <v>16912</v>
      </c>
      <c r="J1224" s="58">
        <v>0</v>
      </c>
      <c r="K1224" s="1">
        <f t="shared" ref="K1224:K1287" si="134">H1224*D1224</f>
        <v>517101.65</v>
      </c>
      <c r="L1224" s="1">
        <f t="shared" ref="L1224:L1287" si="135">IF(H1224&gt;1000,H1224,"")</f>
        <v>3133</v>
      </c>
      <c r="M1224" s="1">
        <f>VLOOKUP(B1224,'[1]Срок Годности'!$A$2:$B$4,2,0)</f>
        <v>1000</v>
      </c>
      <c r="N1224" s="60">
        <f t="shared" ref="N1224:N1287" si="136">IF(WEEKDAY(E1224) = 1, 0, G1224)</f>
        <v>4367</v>
      </c>
      <c r="O1224" s="1" t="str">
        <f t="shared" ref="O1224:O1287" si="137">WEEKNUM(E1224) &amp; " " &amp; YEAR(E1224)</f>
        <v>28 2012</v>
      </c>
      <c r="P1224" s="1">
        <f t="shared" ref="P1224:P1287" si="138">LEN(C1224)</f>
        <v>22</v>
      </c>
      <c r="Q1224" s="1">
        <f t="shared" ref="Q1224:Q1287" ca="1" si="139">DATEDIF(E1224,NOW(),"D")</f>
        <v>4030</v>
      </c>
      <c r="S1224" s="1">
        <f t="shared" si="133"/>
        <v>16912</v>
      </c>
    </row>
    <row r="1225" spans="1:19" x14ac:dyDescent="0.2">
      <c r="A1225" s="57" t="s">
        <v>241</v>
      </c>
      <c r="B1225" s="57" t="s">
        <v>237</v>
      </c>
      <c r="C1225" s="57" t="s">
        <v>238</v>
      </c>
      <c r="D1225" s="58">
        <v>165.05</v>
      </c>
      <c r="E1225" s="59">
        <v>41104</v>
      </c>
      <c r="F1225" s="58">
        <v>16912</v>
      </c>
      <c r="G1225" s="58">
        <v>2544</v>
      </c>
      <c r="H1225" s="58">
        <v>3161</v>
      </c>
      <c r="I1225" s="58">
        <v>16256</v>
      </c>
      <c r="J1225" s="58">
        <v>0</v>
      </c>
      <c r="K1225" s="1">
        <f t="shared" si="134"/>
        <v>521723.05000000005</v>
      </c>
      <c r="L1225" s="1">
        <f t="shared" si="135"/>
        <v>3161</v>
      </c>
      <c r="M1225" s="1">
        <f>VLOOKUP(B1225,'[1]Срок Годности'!$A$2:$B$4,2,0)</f>
        <v>1000</v>
      </c>
      <c r="N1225" s="60">
        <f t="shared" si="136"/>
        <v>2544</v>
      </c>
      <c r="O1225" s="1" t="str">
        <f t="shared" si="137"/>
        <v>28 2012</v>
      </c>
      <c r="P1225" s="1">
        <f t="shared" si="138"/>
        <v>22</v>
      </c>
      <c r="Q1225" s="1">
        <f t="shared" ca="1" si="139"/>
        <v>4029</v>
      </c>
      <c r="S1225" s="1">
        <f t="shared" si="133"/>
        <v>16256</v>
      </c>
    </row>
    <row r="1226" spans="1:19" x14ac:dyDescent="0.2">
      <c r="A1226" s="57" t="s">
        <v>241</v>
      </c>
      <c r="B1226" s="57" t="s">
        <v>237</v>
      </c>
      <c r="C1226" s="57" t="s">
        <v>238</v>
      </c>
      <c r="D1226" s="58">
        <v>165.05</v>
      </c>
      <c r="E1226" s="59">
        <v>41105</v>
      </c>
      <c r="F1226" s="58">
        <v>16256</v>
      </c>
      <c r="G1226" s="58">
        <v>3817</v>
      </c>
      <c r="H1226" s="58">
        <v>3088</v>
      </c>
      <c r="I1226" s="58">
        <v>16851</v>
      </c>
      <c r="J1226" s="58">
        <v>0</v>
      </c>
      <c r="K1226" s="1">
        <f t="shared" si="134"/>
        <v>509674.4</v>
      </c>
      <c r="L1226" s="1">
        <f t="shared" si="135"/>
        <v>3088</v>
      </c>
      <c r="M1226" s="1">
        <f>VLOOKUP(B1226,'[1]Срок Годности'!$A$2:$B$4,2,0)</f>
        <v>1000</v>
      </c>
      <c r="N1226" s="60">
        <f t="shared" si="136"/>
        <v>0</v>
      </c>
      <c r="O1226" s="1" t="str">
        <f t="shared" si="137"/>
        <v>29 2012</v>
      </c>
      <c r="P1226" s="1">
        <f t="shared" si="138"/>
        <v>22</v>
      </c>
      <c r="Q1226" s="1">
        <f t="shared" ca="1" si="139"/>
        <v>4028</v>
      </c>
      <c r="S1226" s="1">
        <f t="shared" si="133"/>
        <v>16851</v>
      </c>
    </row>
    <row r="1227" spans="1:19" x14ac:dyDescent="0.2">
      <c r="A1227" s="57" t="s">
        <v>241</v>
      </c>
      <c r="B1227" s="57" t="s">
        <v>237</v>
      </c>
      <c r="C1227" s="57" t="s">
        <v>238</v>
      </c>
      <c r="D1227" s="58">
        <v>165.05</v>
      </c>
      <c r="E1227" s="59">
        <v>41106</v>
      </c>
      <c r="F1227" s="58">
        <v>16851</v>
      </c>
      <c r="G1227" s="58">
        <v>2417</v>
      </c>
      <c r="H1227" s="58">
        <v>2475</v>
      </c>
      <c r="I1227" s="58">
        <v>16775</v>
      </c>
      <c r="J1227" s="58">
        <v>2</v>
      </c>
      <c r="K1227" s="1">
        <f t="shared" si="134"/>
        <v>408498.75</v>
      </c>
      <c r="L1227" s="1">
        <f t="shared" si="135"/>
        <v>2475</v>
      </c>
      <c r="M1227" s="1">
        <f>VLOOKUP(B1227,'[1]Срок Годности'!$A$2:$B$4,2,0)</f>
        <v>1000</v>
      </c>
      <c r="N1227" s="60">
        <f t="shared" si="136"/>
        <v>2417</v>
      </c>
      <c r="O1227" s="1" t="str">
        <f t="shared" si="137"/>
        <v>29 2012</v>
      </c>
      <c r="P1227" s="1">
        <f t="shared" si="138"/>
        <v>22</v>
      </c>
      <c r="Q1227" s="1">
        <f t="shared" ca="1" si="139"/>
        <v>4027</v>
      </c>
      <c r="S1227" s="1">
        <f t="shared" si="133"/>
        <v>16773</v>
      </c>
    </row>
    <row r="1228" spans="1:19" x14ac:dyDescent="0.2">
      <c r="A1228" s="57" t="s">
        <v>241</v>
      </c>
      <c r="B1228" s="57" t="s">
        <v>237</v>
      </c>
      <c r="C1228" s="57" t="s">
        <v>238</v>
      </c>
      <c r="D1228" s="58">
        <v>165.05</v>
      </c>
      <c r="E1228" s="59">
        <v>41107</v>
      </c>
      <c r="F1228" s="58">
        <v>16775</v>
      </c>
      <c r="G1228" s="58">
        <v>2352</v>
      </c>
      <c r="H1228" s="58">
        <v>2560</v>
      </c>
      <c r="I1228" s="58">
        <v>16549</v>
      </c>
      <c r="J1228" s="58">
        <v>0</v>
      </c>
      <c r="K1228" s="1">
        <f t="shared" si="134"/>
        <v>422528</v>
      </c>
      <c r="L1228" s="1">
        <f t="shared" si="135"/>
        <v>2560</v>
      </c>
      <c r="M1228" s="1">
        <f>VLOOKUP(B1228,'[1]Срок Годности'!$A$2:$B$4,2,0)</f>
        <v>1000</v>
      </c>
      <c r="N1228" s="60">
        <f t="shared" si="136"/>
        <v>2352</v>
      </c>
      <c r="O1228" s="1" t="str">
        <f t="shared" si="137"/>
        <v>29 2012</v>
      </c>
      <c r="P1228" s="1">
        <f t="shared" si="138"/>
        <v>22</v>
      </c>
      <c r="Q1228" s="1">
        <f t="shared" ca="1" si="139"/>
        <v>4026</v>
      </c>
      <c r="S1228" s="1">
        <f t="shared" si="133"/>
        <v>16549</v>
      </c>
    </row>
    <row r="1229" spans="1:19" x14ac:dyDescent="0.2">
      <c r="A1229" s="57" t="s">
        <v>236</v>
      </c>
      <c r="B1229" s="57" t="s">
        <v>225</v>
      </c>
      <c r="C1229" s="57" t="s">
        <v>226</v>
      </c>
      <c r="D1229" s="58">
        <v>317.08</v>
      </c>
      <c r="E1229" s="59">
        <v>41061</v>
      </c>
      <c r="F1229" s="58">
        <v>4</v>
      </c>
      <c r="G1229" s="58">
        <v>229</v>
      </c>
      <c r="H1229" s="58">
        <v>9</v>
      </c>
      <c r="I1229" s="58">
        <v>223</v>
      </c>
      <c r="J1229" s="58">
        <v>0</v>
      </c>
      <c r="K1229" s="1">
        <f t="shared" si="134"/>
        <v>2853.72</v>
      </c>
      <c r="L1229" s="1" t="str">
        <f t="shared" si="135"/>
        <v/>
      </c>
      <c r="M1229" s="1">
        <f>VLOOKUP(B1229,'[1]Срок Годности'!$A$2:$B$4,2,0)</f>
        <v>500</v>
      </c>
      <c r="N1229" s="60">
        <f t="shared" si="136"/>
        <v>229</v>
      </c>
      <c r="O1229" s="1" t="str">
        <f t="shared" si="137"/>
        <v>22 2012</v>
      </c>
      <c r="P1229" s="1">
        <f t="shared" si="138"/>
        <v>23</v>
      </c>
      <c r="Q1229" s="1">
        <f t="shared" ca="1" si="139"/>
        <v>4072</v>
      </c>
      <c r="S1229" s="1">
        <f t="shared" si="133"/>
        <v>223</v>
      </c>
    </row>
    <row r="1230" spans="1:19" x14ac:dyDescent="0.2">
      <c r="A1230" s="57" t="s">
        <v>236</v>
      </c>
      <c r="B1230" s="57" t="s">
        <v>225</v>
      </c>
      <c r="C1230" s="57" t="s">
        <v>226</v>
      </c>
      <c r="D1230" s="58">
        <v>317.08</v>
      </c>
      <c r="E1230" s="59">
        <v>41062</v>
      </c>
      <c r="F1230" s="58">
        <v>223</v>
      </c>
      <c r="G1230" s="58">
        <v>223</v>
      </c>
      <c r="H1230" s="58">
        <v>21</v>
      </c>
      <c r="I1230" s="58">
        <v>425</v>
      </c>
      <c r="J1230" s="58">
        <v>0</v>
      </c>
      <c r="K1230" s="1">
        <f t="shared" si="134"/>
        <v>6658.6799999999994</v>
      </c>
      <c r="L1230" s="1" t="str">
        <f t="shared" si="135"/>
        <v/>
      </c>
      <c r="M1230" s="1">
        <f>VLOOKUP(B1230,'[1]Срок Годности'!$A$2:$B$4,2,0)</f>
        <v>500</v>
      </c>
      <c r="N1230" s="60">
        <f t="shared" si="136"/>
        <v>223</v>
      </c>
      <c r="O1230" s="1" t="str">
        <f t="shared" si="137"/>
        <v>22 2012</v>
      </c>
      <c r="P1230" s="1">
        <f t="shared" si="138"/>
        <v>23</v>
      </c>
      <c r="Q1230" s="1">
        <f t="shared" ca="1" si="139"/>
        <v>4071</v>
      </c>
      <c r="S1230" s="1">
        <f t="shared" si="133"/>
        <v>425</v>
      </c>
    </row>
    <row r="1231" spans="1:19" x14ac:dyDescent="0.2">
      <c r="A1231" s="57" t="s">
        <v>236</v>
      </c>
      <c r="B1231" s="57" t="s">
        <v>225</v>
      </c>
      <c r="C1231" s="57" t="s">
        <v>226</v>
      </c>
      <c r="D1231" s="58">
        <v>317.08</v>
      </c>
      <c r="E1231" s="59">
        <v>41063</v>
      </c>
      <c r="F1231" s="58">
        <v>425</v>
      </c>
      <c r="G1231" s="58">
        <v>25</v>
      </c>
      <c r="H1231" s="58">
        <v>47</v>
      </c>
      <c r="I1231" s="58">
        <v>403</v>
      </c>
      <c r="J1231" s="58">
        <v>0</v>
      </c>
      <c r="K1231" s="1">
        <f t="shared" si="134"/>
        <v>14902.759999999998</v>
      </c>
      <c r="L1231" s="1" t="str">
        <f t="shared" si="135"/>
        <v/>
      </c>
      <c r="M1231" s="1">
        <f>VLOOKUP(B1231,'[1]Срок Годности'!$A$2:$B$4,2,0)</f>
        <v>500</v>
      </c>
      <c r="N1231" s="60">
        <f t="shared" si="136"/>
        <v>0</v>
      </c>
      <c r="O1231" s="1" t="str">
        <f t="shared" si="137"/>
        <v>23 2012</v>
      </c>
      <c r="P1231" s="1">
        <f t="shared" si="138"/>
        <v>23</v>
      </c>
      <c r="Q1231" s="1">
        <f t="shared" ca="1" si="139"/>
        <v>4070</v>
      </c>
      <c r="S1231" s="1">
        <f t="shared" si="133"/>
        <v>403</v>
      </c>
    </row>
    <row r="1232" spans="1:19" x14ac:dyDescent="0.2">
      <c r="A1232" s="57" t="s">
        <v>236</v>
      </c>
      <c r="B1232" s="57" t="s">
        <v>225</v>
      </c>
      <c r="C1232" s="57" t="s">
        <v>226</v>
      </c>
      <c r="D1232" s="58">
        <v>317.08</v>
      </c>
      <c r="E1232" s="59">
        <v>41064</v>
      </c>
      <c r="F1232" s="58">
        <v>403</v>
      </c>
      <c r="G1232" s="58">
        <v>3</v>
      </c>
      <c r="H1232" s="58">
        <v>50</v>
      </c>
      <c r="I1232" s="58">
        <v>356</v>
      </c>
      <c r="J1232" s="58">
        <v>0</v>
      </c>
      <c r="K1232" s="1">
        <f t="shared" si="134"/>
        <v>15854</v>
      </c>
      <c r="L1232" s="1" t="str">
        <f t="shared" si="135"/>
        <v/>
      </c>
      <c r="M1232" s="1">
        <f>VLOOKUP(B1232,'[1]Срок Годности'!$A$2:$B$4,2,0)</f>
        <v>500</v>
      </c>
      <c r="N1232" s="60">
        <f t="shared" si="136"/>
        <v>3</v>
      </c>
      <c r="O1232" s="1" t="str">
        <f t="shared" si="137"/>
        <v>23 2012</v>
      </c>
      <c r="P1232" s="1">
        <f t="shared" si="138"/>
        <v>23</v>
      </c>
      <c r="Q1232" s="1">
        <f t="shared" ca="1" si="139"/>
        <v>4069</v>
      </c>
      <c r="S1232" s="1">
        <f t="shared" si="133"/>
        <v>356</v>
      </c>
    </row>
    <row r="1233" spans="1:19" x14ac:dyDescent="0.2">
      <c r="A1233" s="57" t="s">
        <v>236</v>
      </c>
      <c r="B1233" s="57" t="s">
        <v>225</v>
      </c>
      <c r="C1233" s="57" t="s">
        <v>226</v>
      </c>
      <c r="D1233" s="58">
        <v>317.08</v>
      </c>
      <c r="E1233" s="59">
        <v>41065</v>
      </c>
      <c r="F1233" s="58">
        <v>356</v>
      </c>
      <c r="G1233" s="58">
        <v>22</v>
      </c>
      <c r="H1233" s="58">
        <v>40</v>
      </c>
      <c r="I1233" s="58">
        <v>337</v>
      </c>
      <c r="J1233" s="58">
        <v>0</v>
      </c>
      <c r="K1233" s="1">
        <f t="shared" si="134"/>
        <v>12683.199999999999</v>
      </c>
      <c r="L1233" s="1" t="str">
        <f t="shared" si="135"/>
        <v/>
      </c>
      <c r="M1233" s="1">
        <f>VLOOKUP(B1233,'[1]Срок Годности'!$A$2:$B$4,2,0)</f>
        <v>500</v>
      </c>
      <c r="N1233" s="60">
        <f t="shared" si="136"/>
        <v>22</v>
      </c>
      <c r="O1233" s="1" t="str">
        <f t="shared" si="137"/>
        <v>23 2012</v>
      </c>
      <c r="P1233" s="1">
        <f t="shared" si="138"/>
        <v>23</v>
      </c>
      <c r="Q1233" s="1">
        <f t="shared" ca="1" si="139"/>
        <v>4068</v>
      </c>
      <c r="S1233" s="1">
        <f t="shared" si="133"/>
        <v>337</v>
      </c>
    </row>
    <row r="1234" spans="1:19" x14ac:dyDescent="0.2">
      <c r="A1234" s="57" t="s">
        <v>236</v>
      </c>
      <c r="B1234" s="57" t="s">
        <v>225</v>
      </c>
      <c r="C1234" s="57" t="s">
        <v>226</v>
      </c>
      <c r="D1234" s="58">
        <v>317.08</v>
      </c>
      <c r="E1234" s="59">
        <v>41066</v>
      </c>
      <c r="F1234" s="58">
        <v>337</v>
      </c>
      <c r="G1234" s="58">
        <v>44</v>
      </c>
      <c r="H1234" s="58">
        <v>45</v>
      </c>
      <c r="I1234" s="58">
        <v>336</v>
      </c>
      <c r="J1234" s="58">
        <v>0</v>
      </c>
      <c r="K1234" s="1">
        <f t="shared" si="134"/>
        <v>14268.599999999999</v>
      </c>
      <c r="L1234" s="1" t="str">
        <f t="shared" si="135"/>
        <v/>
      </c>
      <c r="M1234" s="1">
        <f>VLOOKUP(B1234,'[1]Срок Годности'!$A$2:$B$4,2,0)</f>
        <v>500</v>
      </c>
      <c r="N1234" s="60">
        <f t="shared" si="136"/>
        <v>44</v>
      </c>
      <c r="O1234" s="1" t="str">
        <f t="shared" si="137"/>
        <v>23 2012</v>
      </c>
      <c r="P1234" s="1">
        <f t="shared" si="138"/>
        <v>23</v>
      </c>
      <c r="Q1234" s="1">
        <f t="shared" ca="1" si="139"/>
        <v>4067</v>
      </c>
      <c r="S1234" s="1">
        <f t="shared" si="133"/>
        <v>336</v>
      </c>
    </row>
    <row r="1235" spans="1:19" x14ac:dyDescent="0.2">
      <c r="A1235" s="57" t="s">
        <v>236</v>
      </c>
      <c r="B1235" s="57" t="s">
        <v>225</v>
      </c>
      <c r="C1235" s="57" t="s">
        <v>226</v>
      </c>
      <c r="D1235" s="58">
        <v>317.08</v>
      </c>
      <c r="E1235" s="59">
        <v>41067</v>
      </c>
      <c r="F1235" s="58">
        <v>336</v>
      </c>
      <c r="G1235" s="58">
        <v>219</v>
      </c>
      <c r="H1235" s="58">
        <v>42</v>
      </c>
      <c r="I1235" s="58">
        <v>512</v>
      </c>
      <c r="J1235" s="58">
        <v>0</v>
      </c>
      <c r="K1235" s="1">
        <f t="shared" si="134"/>
        <v>13317.359999999999</v>
      </c>
      <c r="L1235" s="1" t="str">
        <f t="shared" si="135"/>
        <v/>
      </c>
      <c r="M1235" s="1">
        <f>VLOOKUP(B1235,'[1]Срок Годности'!$A$2:$B$4,2,0)</f>
        <v>500</v>
      </c>
      <c r="N1235" s="60">
        <f t="shared" si="136"/>
        <v>219</v>
      </c>
      <c r="O1235" s="1" t="str">
        <f t="shared" si="137"/>
        <v>23 2012</v>
      </c>
      <c r="P1235" s="1">
        <f t="shared" si="138"/>
        <v>23</v>
      </c>
      <c r="Q1235" s="1">
        <f t="shared" ca="1" si="139"/>
        <v>4066</v>
      </c>
      <c r="S1235" s="1">
        <f t="shared" si="133"/>
        <v>512</v>
      </c>
    </row>
    <row r="1236" spans="1:19" x14ac:dyDescent="0.2">
      <c r="A1236" s="57" t="s">
        <v>236</v>
      </c>
      <c r="B1236" s="57" t="s">
        <v>225</v>
      </c>
      <c r="C1236" s="57" t="s">
        <v>226</v>
      </c>
      <c r="D1236" s="58">
        <v>317.08</v>
      </c>
      <c r="E1236" s="59">
        <v>41068</v>
      </c>
      <c r="F1236" s="58">
        <v>512</v>
      </c>
      <c r="G1236" s="58">
        <v>91</v>
      </c>
      <c r="H1236" s="58">
        <v>32</v>
      </c>
      <c r="I1236" s="58">
        <v>568</v>
      </c>
      <c r="J1236" s="58">
        <v>0</v>
      </c>
      <c r="K1236" s="1">
        <f t="shared" si="134"/>
        <v>10146.56</v>
      </c>
      <c r="L1236" s="1" t="str">
        <f t="shared" si="135"/>
        <v/>
      </c>
      <c r="M1236" s="1">
        <f>VLOOKUP(B1236,'[1]Срок Годности'!$A$2:$B$4,2,0)</f>
        <v>500</v>
      </c>
      <c r="N1236" s="60">
        <f t="shared" si="136"/>
        <v>91</v>
      </c>
      <c r="O1236" s="1" t="str">
        <f t="shared" si="137"/>
        <v>23 2012</v>
      </c>
      <c r="P1236" s="1">
        <f t="shared" si="138"/>
        <v>23</v>
      </c>
      <c r="Q1236" s="1">
        <f t="shared" ca="1" si="139"/>
        <v>4065</v>
      </c>
      <c r="S1236" s="1">
        <f t="shared" si="133"/>
        <v>568</v>
      </c>
    </row>
    <row r="1237" spans="1:19" x14ac:dyDescent="0.2">
      <c r="A1237" s="57" t="s">
        <v>236</v>
      </c>
      <c r="B1237" s="57" t="s">
        <v>225</v>
      </c>
      <c r="C1237" s="57" t="s">
        <v>226</v>
      </c>
      <c r="D1237" s="58">
        <v>317.08</v>
      </c>
      <c r="E1237" s="59">
        <v>41069</v>
      </c>
      <c r="F1237" s="58">
        <v>568</v>
      </c>
      <c r="G1237" s="58">
        <v>28</v>
      </c>
      <c r="H1237" s="58">
        <v>114</v>
      </c>
      <c r="I1237" s="58">
        <v>482</v>
      </c>
      <c r="J1237" s="58">
        <v>0</v>
      </c>
      <c r="K1237" s="1">
        <f t="shared" si="134"/>
        <v>36147.119999999995</v>
      </c>
      <c r="L1237" s="1" t="str">
        <f t="shared" si="135"/>
        <v/>
      </c>
      <c r="M1237" s="1">
        <f>VLOOKUP(B1237,'[1]Срок Годности'!$A$2:$B$4,2,0)</f>
        <v>500</v>
      </c>
      <c r="N1237" s="60">
        <f t="shared" si="136"/>
        <v>28</v>
      </c>
      <c r="O1237" s="1" t="str">
        <f t="shared" si="137"/>
        <v>23 2012</v>
      </c>
      <c r="P1237" s="1">
        <f t="shared" si="138"/>
        <v>23</v>
      </c>
      <c r="Q1237" s="1">
        <f t="shared" ca="1" si="139"/>
        <v>4064</v>
      </c>
      <c r="S1237" s="1">
        <f t="shared" si="133"/>
        <v>482</v>
      </c>
    </row>
    <row r="1238" spans="1:19" x14ac:dyDescent="0.2">
      <c r="A1238" s="57" t="s">
        <v>236</v>
      </c>
      <c r="B1238" s="57" t="s">
        <v>225</v>
      </c>
      <c r="C1238" s="57" t="s">
        <v>226</v>
      </c>
      <c r="D1238" s="58">
        <v>317.08</v>
      </c>
      <c r="E1238" s="59">
        <v>41070</v>
      </c>
      <c r="F1238" s="58">
        <v>482</v>
      </c>
      <c r="G1238" s="58">
        <v>21</v>
      </c>
      <c r="H1238" s="58">
        <v>74</v>
      </c>
      <c r="I1238" s="58">
        <v>430</v>
      </c>
      <c r="J1238" s="58">
        <v>0</v>
      </c>
      <c r="K1238" s="1">
        <f t="shared" si="134"/>
        <v>23463.919999999998</v>
      </c>
      <c r="L1238" s="1" t="str">
        <f t="shared" si="135"/>
        <v/>
      </c>
      <c r="M1238" s="1">
        <f>VLOOKUP(B1238,'[1]Срок Годности'!$A$2:$B$4,2,0)</f>
        <v>500</v>
      </c>
      <c r="N1238" s="60">
        <f t="shared" si="136"/>
        <v>0</v>
      </c>
      <c r="O1238" s="1" t="str">
        <f t="shared" si="137"/>
        <v>24 2012</v>
      </c>
      <c r="P1238" s="1">
        <f t="shared" si="138"/>
        <v>23</v>
      </c>
      <c r="Q1238" s="1">
        <f t="shared" ca="1" si="139"/>
        <v>4063</v>
      </c>
      <c r="S1238" s="1">
        <f t="shared" si="133"/>
        <v>430</v>
      </c>
    </row>
    <row r="1239" spans="1:19" x14ac:dyDescent="0.2">
      <c r="A1239" s="57" t="s">
        <v>236</v>
      </c>
      <c r="B1239" s="57" t="s">
        <v>225</v>
      </c>
      <c r="C1239" s="57" t="s">
        <v>226</v>
      </c>
      <c r="D1239" s="58">
        <v>317.08</v>
      </c>
      <c r="E1239" s="59">
        <v>41071</v>
      </c>
      <c r="F1239" s="58">
        <v>430</v>
      </c>
      <c r="G1239" s="58">
        <v>100</v>
      </c>
      <c r="H1239" s="58">
        <v>86</v>
      </c>
      <c r="I1239" s="58">
        <v>443</v>
      </c>
      <c r="J1239" s="58">
        <v>0</v>
      </c>
      <c r="K1239" s="1">
        <f t="shared" si="134"/>
        <v>27268.879999999997</v>
      </c>
      <c r="L1239" s="1" t="str">
        <f t="shared" si="135"/>
        <v/>
      </c>
      <c r="M1239" s="1">
        <f>VLOOKUP(B1239,'[1]Срок Годности'!$A$2:$B$4,2,0)</f>
        <v>500</v>
      </c>
      <c r="N1239" s="60">
        <f t="shared" si="136"/>
        <v>100</v>
      </c>
      <c r="O1239" s="1" t="str">
        <f t="shared" si="137"/>
        <v>24 2012</v>
      </c>
      <c r="P1239" s="1">
        <f t="shared" si="138"/>
        <v>23</v>
      </c>
      <c r="Q1239" s="1">
        <f t="shared" ca="1" si="139"/>
        <v>4062</v>
      </c>
      <c r="S1239" s="1">
        <f t="shared" si="133"/>
        <v>443</v>
      </c>
    </row>
    <row r="1240" spans="1:19" x14ac:dyDescent="0.2">
      <c r="A1240" s="57" t="s">
        <v>236</v>
      </c>
      <c r="B1240" s="57" t="s">
        <v>225</v>
      </c>
      <c r="C1240" s="57" t="s">
        <v>226</v>
      </c>
      <c r="D1240" s="58">
        <v>317.08</v>
      </c>
      <c r="E1240" s="59">
        <v>41072</v>
      </c>
      <c r="F1240" s="58">
        <v>443</v>
      </c>
      <c r="G1240" s="58">
        <v>66</v>
      </c>
      <c r="H1240" s="58">
        <v>67</v>
      </c>
      <c r="I1240" s="58">
        <v>439</v>
      </c>
      <c r="J1240" s="58">
        <v>0</v>
      </c>
      <c r="K1240" s="1">
        <f t="shared" si="134"/>
        <v>21244.36</v>
      </c>
      <c r="L1240" s="1" t="str">
        <f t="shared" si="135"/>
        <v/>
      </c>
      <c r="M1240" s="1">
        <f>VLOOKUP(B1240,'[1]Срок Годности'!$A$2:$B$4,2,0)</f>
        <v>500</v>
      </c>
      <c r="N1240" s="60">
        <f t="shared" si="136"/>
        <v>66</v>
      </c>
      <c r="O1240" s="1" t="str">
        <f t="shared" si="137"/>
        <v>24 2012</v>
      </c>
      <c r="P1240" s="1">
        <f t="shared" si="138"/>
        <v>23</v>
      </c>
      <c r="Q1240" s="1">
        <f t="shared" ca="1" si="139"/>
        <v>4061</v>
      </c>
      <c r="S1240" s="1">
        <f t="shared" si="133"/>
        <v>439</v>
      </c>
    </row>
    <row r="1241" spans="1:19" x14ac:dyDescent="0.2">
      <c r="A1241" s="57" t="s">
        <v>236</v>
      </c>
      <c r="B1241" s="57" t="s">
        <v>225</v>
      </c>
      <c r="C1241" s="57" t="s">
        <v>226</v>
      </c>
      <c r="D1241" s="58">
        <v>317.08</v>
      </c>
      <c r="E1241" s="59">
        <v>41073</v>
      </c>
      <c r="F1241" s="58">
        <v>439</v>
      </c>
      <c r="G1241" s="58">
        <v>57</v>
      </c>
      <c r="H1241" s="58">
        <v>94</v>
      </c>
      <c r="I1241" s="58">
        <v>399</v>
      </c>
      <c r="J1241" s="58">
        <v>0</v>
      </c>
      <c r="K1241" s="1">
        <f t="shared" si="134"/>
        <v>29805.519999999997</v>
      </c>
      <c r="L1241" s="1" t="str">
        <f t="shared" si="135"/>
        <v/>
      </c>
      <c r="M1241" s="1">
        <f>VLOOKUP(B1241,'[1]Срок Годности'!$A$2:$B$4,2,0)</f>
        <v>500</v>
      </c>
      <c r="N1241" s="60">
        <f t="shared" si="136"/>
        <v>57</v>
      </c>
      <c r="O1241" s="1" t="str">
        <f t="shared" si="137"/>
        <v>24 2012</v>
      </c>
      <c r="P1241" s="1">
        <f t="shared" si="138"/>
        <v>23</v>
      </c>
      <c r="Q1241" s="1">
        <f t="shared" ca="1" si="139"/>
        <v>4060</v>
      </c>
      <c r="S1241" s="1">
        <f t="shared" si="133"/>
        <v>399</v>
      </c>
    </row>
    <row r="1242" spans="1:19" x14ac:dyDescent="0.2">
      <c r="A1242" s="57" t="s">
        <v>236</v>
      </c>
      <c r="B1242" s="57" t="s">
        <v>225</v>
      </c>
      <c r="C1242" s="57" t="s">
        <v>226</v>
      </c>
      <c r="D1242" s="58">
        <v>317.08</v>
      </c>
      <c r="E1242" s="59">
        <v>41074</v>
      </c>
      <c r="F1242" s="58">
        <v>399</v>
      </c>
      <c r="G1242" s="58">
        <v>61</v>
      </c>
      <c r="H1242" s="58">
        <v>64</v>
      </c>
      <c r="I1242" s="58">
        <v>394</v>
      </c>
      <c r="J1242" s="58">
        <v>0</v>
      </c>
      <c r="K1242" s="1">
        <f t="shared" si="134"/>
        <v>20293.12</v>
      </c>
      <c r="L1242" s="1" t="str">
        <f t="shared" si="135"/>
        <v/>
      </c>
      <c r="M1242" s="1">
        <f>VLOOKUP(B1242,'[1]Срок Годности'!$A$2:$B$4,2,0)</f>
        <v>500</v>
      </c>
      <c r="N1242" s="60">
        <f t="shared" si="136"/>
        <v>61</v>
      </c>
      <c r="O1242" s="1" t="str">
        <f t="shared" si="137"/>
        <v>24 2012</v>
      </c>
      <c r="P1242" s="1">
        <f t="shared" si="138"/>
        <v>23</v>
      </c>
      <c r="Q1242" s="1">
        <f t="shared" ca="1" si="139"/>
        <v>4059</v>
      </c>
      <c r="S1242" s="1">
        <f t="shared" si="133"/>
        <v>394</v>
      </c>
    </row>
    <row r="1243" spans="1:19" x14ac:dyDescent="0.2">
      <c r="A1243" s="57" t="s">
        <v>236</v>
      </c>
      <c r="B1243" s="57" t="s">
        <v>225</v>
      </c>
      <c r="C1243" s="57" t="s">
        <v>226</v>
      </c>
      <c r="D1243" s="58">
        <v>317.08</v>
      </c>
      <c r="E1243" s="59">
        <v>41075</v>
      </c>
      <c r="F1243" s="58">
        <v>394</v>
      </c>
      <c r="G1243" s="58">
        <v>86</v>
      </c>
      <c r="H1243" s="58">
        <v>71</v>
      </c>
      <c r="I1243" s="58">
        <v>408</v>
      </c>
      <c r="J1243" s="58">
        <v>0</v>
      </c>
      <c r="K1243" s="1">
        <f t="shared" si="134"/>
        <v>22512.68</v>
      </c>
      <c r="L1243" s="1" t="str">
        <f t="shared" si="135"/>
        <v/>
      </c>
      <c r="M1243" s="1">
        <f>VLOOKUP(B1243,'[1]Срок Годности'!$A$2:$B$4,2,0)</f>
        <v>500</v>
      </c>
      <c r="N1243" s="60">
        <f t="shared" si="136"/>
        <v>86</v>
      </c>
      <c r="O1243" s="1" t="str">
        <f t="shared" si="137"/>
        <v>24 2012</v>
      </c>
      <c r="P1243" s="1">
        <f t="shared" si="138"/>
        <v>23</v>
      </c>
      <c r="Q1243" s="1">
        <f t="shared" ca="1" si="139"/>
        <v>4058</v>
      </c>
      <c r="S1243" s="1">
        <f t="shared" si="133"/>
        <v>408</v>
      </c>
    </row>
    <row r="1244" spans="1:19" x14ac:dyDescent="0.2">
      <c r="A1244" s="57" t="s">
        <v>236</v>
      </c>
      <c r="B1244" s="57" t="s">
        <v>225</v>
      </c>
      <c r="C1244" s="57" t="s">
        <v>226</v>
      </c>
      <c r="D1244" s="58">
        <v>317.08</v>
      </c>
      <c r="E1244" s="59">
        <v>41076</v>
      </c>
      <c r="F1244" s="58">
        <v>408</v>
      </c>
      <c r="G1244" s="58">
        <v>51</v>
      </c>
      <c r="H1244" s="58">
        <v>70</v>
      </c>
      <c r="I1244" s="58">
        <v>388</v>
      </c>
      <c r="J1244" s="58">
        <v>0</v>
      </c>
      <c r="K1244" s="1">
        <f t="shared" si="134"/>
        <v>22195.599999999999</v>
      </c>
      <c r="L1244" s="1" t="str">
        <f t="shared" si="135"/>
        <v/>
      </c>
      <c r="M1244" s="1">
        <f>VLOOKUP(B1244,'[1]Срок Годности'!$A$2:$B$4,2,0)</f>
        <v>500</v>
      </c>
      <c r="N1244" s="60">
        <f t="shared" si="136"/>
        <v>51</v>
      </c>
      <c r="O1244" s="1" t="str">
        <f t="shared" si="137"/>
        <v>24 2012</v>
      </c>
      <c r="P1244" s="1">
        <f t="shared" si="138"/>
        <v>23</v>
      </c>
      <c r="Q1244" s="1">
        <f t="shared" ca="1" si="139"/>
        <v>4057</v>
      </c>
      <c r="S1244" s="1">
        <f t="shared" si="133"/>
        <v>388</v>
      </c>
    </row>
    <row r="1245" spans="1:19" x14ac:dyDescent="0.2">
      <c r="A1245" s="57" t="s">
        <v>236</v>
      </c>
      <c r="B1245" s="57" t="s">
        <v>225</v>
      </c>
      <c r="C1245" s="57" t="s">
        <v>226</v>
      </c>
      <c r="D1245" s="58">
        <v>317.08</v>
      </c>
      <c r="E1245" s="59">
        <v>41077</v>
      </c>
      <c r="F1245" s="58">
        <v>388</v>
      </c>
      <c r="G1245" s="58">
        <v>78</v>
      </c>
      <c r="H1245" s="58">
        <v>84</v>
      </c>
      <c r="I1245" s="58">
        <v>381</v>
      </c>
      <c r="J1245" s="58">
        <v>0</v>
      </c>
      <c r="K1245" s="1">
        <f t="shared" si="134"/>
        <v>26634.719999999998</v>
      </c>
      <c r="L1245" s="1" t="str">
        <f t="shared" si="135"/>
        <v/>
      </c>
      <c r="M1245" s="1">
        <f>VLOOKUP(B1245,'[1]Срок Годности'!$A$2:$B$4,2,0)</f>
        <v>500</v>
      </c>
      <c r="N1245" s="60">
        <f t="shared" si="136"/>
        <v>0</v>
      </c>
      <c r="O1245" s="1" t="str">
        <f t="shared" si="137"/>
        <v>25 2012</v>
      </c>
      <c r="P1245" s="1">
        <f t="shared" si="138"/>
        <v>23</v>
      </c>
      <c r="Q1245" s="1">
        <f t="shared" ca="1" si="139"/>
        <v>4056</v>
      </c>
      <c r="S1245" s="1">
        <f t="shared" si="133"/>
        <v>381</v>
      </c>
    </row>
    <row r="1246" spans="1:19" x14ac:dyDescent="0.2">
      <c r="A1246" s="57" t="s">
        <v>236</v>
      </c>
      <c r="B1246" s="57" t="s">
        <v>225</v>
      </c>
      <c r="C1246" s="57" t="s">
        <v>226</v>
      </c>
      <c r="D1246" s="58">
        <v>317.08</v>
      </c>
      <c r="E1246" s="59">
        <v>41078</v>
      </c>
      <c r="F1246" s="58">
        <v>381</v>
      </c>
      <c r="G1246" s="58">
        <v>54</v>
      </c>
      <c r="H1246" s="58">
        <v>70</v>
      </c>
      <c r="I1246" s="58">
        <v>365</v>
      </c>
      <c r="J1246" s="58">
        <v>0</v>
      </c>
      <c r="K1246" s="1">
        <f t="shared" si="134"/>
        <v>22195.599999999999</v>
      </c>
      <c r="L1246" s="1" t="str">
        <f t="shared" si="135"/>
        <v/>
      </c>
      <c r="M1246" s="1">
        <f>VLOOKUP(B1246,'[1]Срок Годности'!$A$2:$B$4,2,0)</f>
        <v>500</v>
      </c>
      <c r="N1246" s="60">
        <f t="shared" si="136"/>
        <v>54</v>
      </c>
      <c r="O1246" s="1" t="str">
        <f t="shared" si="137"/>
        <v>25 2012</v>
      </c>
      <c r="P1246" s="1">
        <f t="shared" si="138"/>
        <v>23</v>
      </c>
      <c r="Q1246" s="1">
        <f t="shared" ca="1" si="139"/>
        <v>4055</v>
      </c>
      <c r="S1246" s="1">
        <f t="shared" si="133"/>
        <v>365</v>
      </c>
    </row>
    <row r="1247" spans="1:19" x14ac:dyDescent="0.2">
      <c r="A1247" s="57" t="s">
        <v>236</v>
      </c>
      <c r="B1247" s="57" t="s">
        <v>225</v>
      </c>
      <c r="C1247" s="57" t="s">
        <v>226</v>
      </c>
      <c r="D1247" s="58">
        <v>317.08</v>
      </c>
      <c r="E1247" s="59">
        <v>41079</v>
      </c>
      <c r="F1247" s="58">
        <v>365</v>
      </c>
      <c r="G1247" s="58">
        <v>131</v>
      </c>
      <c r="H1247" s="58">
        <v>76</v>
      </c>
      <c r="I1247" s="58">
        <v>417</v>
      </c>
      <c r="J1247" s="58">
        <v>0</v>
      </c>
      <c r="K1247" s="1">
        <f t="shared" si="134"/>
        <v>24098.079999999998</v>
      </c>
      <c r="L1247" s="1" t="str">
        <f t="shared" si="135"/>
        <v/>
      </c>
      <c r="M1247" s="1">
        <f>VLOOKUP(B1247,'[1]Срок Годности'!$A$2:$B$4,2,0)</f>
        <v>500</v>
      </c>
      <c r="N1247" s="60">
        <f t="shared" si="136"/>
        <v>131</v>
      </c>
      <c r="O1247" s="1" t="str">
        <f t="shared" si="137"/>
        <v>25 2012</v>
      </c>
      <c r="P1247" s="1">
        <f t="shared" si="138"/>
        <v>23</v>
      </c>
      <c r="Q1247" s="1">
        <f t="shared" ca="1" si="139"/>
        <v>4054</v>
      </c>
      <c r="S1247" s="1">
        <f t="shared" si="133"/>
        <v>417</v>
      </c>
    </row>
    <row r="1248" spans="1:19" x14ac:dyDescent="0.2">
      <c r="A1248" s="57" t="s">
        <v>236</v>
      </c>
      <c r="B1248" s="57" t="s">
        <v>225</v>
      </c>
      <c r="C1248" s="57" t="s">
        <v>226</v>
      </c>
      <c r="D1248" s="58">
        <v>317.08</v>
      </c>
      <c r="E1248" s="59">
        <v>41080</v>
      </c>
      <c r="F1248" s="58">
        <v>417</v>
      </c>
      <c r="G1248" s="58">
        <v>119</v>
      </c>
      <c r="H1248" s="58">
        <v>78</v>
      </c>
      <c r="I1248" s="58">
        <v>458</v>
      </c>
      <c r="J1248" s="58">
        <v>0</v>
      </c>
      <c r="K1248" s="1">
        <f t="shared" si="134"/>
        <v>24732.239999999998</v>
      </c>
      <c r="L1248" s="1" t="str">
        <f t="shared" si="135"/>
        <v/>
      </c>
      <c r="M1248" s="1">
        <f>VLOOKUP(B1248,'[1]Срок Годности'!$A$2:$B$4,2,0)</f>
        <v>500</v>
      </c>
      <c r="N1248" s="60">
        <f t="shared" si="136"/>
        <v>119</v>
      </c>
      <c r="O1248" s="1" t="str">
        <f t="shared" si="137"/>
        <v>25 2012</v>
      </c>
      <c r="P1248" s="1">
        <f t="shared" si="138"/>
        <v>23</v>
      </c>
      <c r="Q1248" s="1">
        <f t="shared" ca="1" si="139"/>
        <v>4053</v>
      </c>
      <c r="S1248" s="1">
        <f t="shared" si="133"/>
        <v>458</v>
      </c>
    </row>
    <row r="1249" spans="1:19" x14ac:dyDescent="0.2">
      <c r="A1249" s="57" t="s">
        <v>236</v>
      </c>
      <c r="B1249" s="57" t="s">
        <v>225</v>
      </c>
      <c r="C1249" s="57" t="s">
        <v>226</v>
      </c>
      <c r="D1249" s="58">
        <v>317.08</v>
      </c>
      <c r="E1249" s="59">
        <v>41081</v>
      </c>
      <c r="F1249" s="58">
        <v>458</v>
      </c>
      <c r="G1249" s="58">
        <v>75</v>
      </c>
      <c r="H1249" s="58">
        <v>100</v>
      </c>
      <c r="I1249" s="58">
        <v>430</v>
      </c>
      <c r="J1249" s="58">
        <v>0</v>
      </c>
      <c r="K1249" s="1">
        <f t="shared" si="134"/>
        <v>31708</v>
      </c>
      <c r="L1249" s="1" t="str">
        <f t="shared" si="135"/>
        <v/>
      </c>
      <c r="M1249" s="1">
        <f>VLOOKUP(B1249,'[1]Срок Годности'!$A$2:$B$4,2,0)</f>
        <v>500</v>
      </c>
      <c r="N1249" s="60">
        <f t="shared" si="136"/>
        <v>75</v>
      </c>
      <c r="O1249" s="1" t="str">
        <f t="shared" si="137"/>
        <v>25 2012</v>
      </c>
      <c r="P1249" s="1">
        <f t="shared" si="138"/>
        <v>23</v>
      </c>
      <c r="Q1249" s="1">
        <f t="shared" ca="1" si="139"/>
        <v>4052</v>
      </c>
      <c r="S1249" s="1">
        <f t="shared" si="133"/>
        <v>430</v>
      </c>
    </row>
    <row r="1250" spans="1:19" x14ac:dyDescent="0.2">
      <c r="A1250" s="57" t="s">
        <v>236</v>
      </c>
      <c r="B1250" s="57" t="s">
        <v>225</v>
      </c>
      <c r="C1250" s="57" t="s">
        <v>226</v>
      </c>
      <c r="D1250" s="58">
        <v>317.08</v>
      </c>
      <c r="E1250" s="59">
        <v>41082</v>
      </c>
      <c r="F1250" s="58">
        <v>430</v>
      </c>
      <c r="G1250" s="58">
        <v>123</v>
      </c>
      <c r="H1250" s="58">
        <v>111</v>
      </c>
      <c r="I1250" s="58">
        <v>441</v>
      </c>
      <c r="J1250" s="58">
        <v>0</v>
      </c>
      <c r="K1250" s="1">
        <f t="shared" si="134"/>
        <v>35195.879999999997</v>
      </c>
      <c r="L1250" s="1" t="str">
        <f t="shared" si="135"/>
        <v/>
      </c>
      <c r="M1250" s="1">
        <f>VLOOKUP(B1250,'[1]Срок Годности'!$A$2:$B$4,2,0)</f>
        <v>500</v>
      </c>
      <c r="N1250" s="60">
        <f t="shared" si="136"/>
        <v>123</v>
      </c>
      <c r="O1250" s="1" t="str">
        <f t="shared" si="137"/>
        <v>25 2012</v>
      </c>
      <c r="P1250" s="1">
        <f t="shared" si="138"/>
        <v>23</v>
      </c>
      <c r="Q1250" s="1">
        <f t="shared" ca="1" si="139"/>
        <v>4051</v>
      </c>
      <c r="S1250" s="1">
        <f t="shared" si="133"/>
        <v>441</v>
      </c>
    </row>
    <row r="1251" spans="1:19" x14ac:dyDescent="0.2">
      <c r="A1251" s="57" t="s">
        <v>236</v>
      </c>
      <c r="B1251" s="57" t="s">
        <v>225</v>
      </c>
      <c r="C1251" s="57" t="s">
        <v>226</v>
      </c>
      <c r="D1251" s="58">
        <v>317.08</v>
      </c>
      <c r="E1251" s="59">
        <v>41083</v>
      </c>
      <c r="F1251" s="58">
        <v>441</v>
      </c>
      <c r="G1251" s="58">
        <v>87</v>
      </c>
      <c r="H1251" s="58">
        <v>87</v>
      </c>
      <c r="I1251" s="58">
        <v>439</v>
      </c>
      <c r="J1251" s="58">
        <v>0</v>
      </c>
      <c r="K1251" s="1">
        <f t="shared" si="134"/>
        <v>27585.96</v>
      </c>
      <c r="L1251" s="1" t="str">
        <f t="shared" si="135"/>
        <v/>
      </c>
      <c r="M1251" s="1">
        <f>VLOOKUP(B1251,'[1]Срок Годности'!$A$2:$B$4,2,0)</f>
        <v>500</v>
      </c>
      <c r="N1251" s="60">
        <f t="shared" si="136"/>
        <v>87</v>
      </c>
      <c r="O1251" s="1" t="str">
        <f t="shared" si="137"/>
        <v>25 2012</v>
      </c>
      <c r="P1251" s="1">
        <f t="shared" si="138"/>
        <v>23</v>
      </c>
      <c r="Q1251" s="1">
        <f t="shared" ca="1" si="139"/>
        <v>4050</v>
      </c>
      <c r="S1251" s="1">
        <f t="shared" si="133"/>
        <v>439</v>
      </c>
    </row>
    <row r="1252" spans="1:19" x14ac:dyDescent="0.2">
      <c r="A1252" s="57" t="s">
        <v>236</v>
      </c>
      <c r="B1252" s="57" t="s">
        <v>225</v>
      </c>
      <c r="C1252" s="57" t="s">
        <v>226</v>
      </c>
      <c r="D1252" s="58">
        <v>317.08</v>
      </c>
      <c r="E1252" s="59">
        <v>41084</v>
      </c>
      <c r="F1252" s="58">
        <v>439</v>
      </c>
      <c r="G1252" s="58">
        <v>91</v>
      </c>
      <c r="H1252" s="58">
        <v>123</v>
      </c>
      <c r="I1252" s="58">
        <v>407</v>
      </c>
      <c r="J1252" s="58">
        <v>0</v>
      </c>
      <c r="K1252" s="1">
        <f t="shared" si="134"/>
        <v>39000.839999999997</v>
      </c>
      <c r="L1252" s="1" t="str">
        <f t="shared" si="135"/>
        <v/>
      </c>
      <c r="M1252" s="1">
        <f>VLOOKUP(B1252,'[1]Срок Годности'!$A$2:$B$4,2,0)</f>
        <v>500</v>
      </c>
      <c r="N1252" s="60">
        <f t="shared" si="136"/>
        <v>0</v>
      </c>
      <c r="O1252" s="1" t="str">
        <f t="shared" si="137"/>
        <v>26 2012</v>
      </c>
      <c r="P1252" s="1">
        <f t="shared" si="138"/>
        <v>23</v>
      </c>
      <c r="Q1252" s="1">
        <f t="shared" ca="1" si="139"/>
        <v>4049</v>
      </c>
      <c r="S1252" s="1">
        <f t="shared" si="133"/>
        <v>407</v>
      </c>
    </row>
    <row r="1253" spans="1:19" x14ac:dyDescent="0.2">
      <c r="A1253" s="57" t="s">
        <v>236</v>
      </c>
      <c r="B1253" s="57" t="s">
        <v>225</v>
      </c>
      <c r="C1253" s="57" t="s">
        <v>226</v>
      </c>
      <c r="D1253" s="58">
        <v>317.08</v>
      </c>
      <c r="E1253" s="59">
        <v>41085</v>
      </c>
      <c r="F1253" s="58">
        <v>407</v>
      </c>
      <c r="G1253" s="58">
        <v>104</v>
      </c>
      <c r="H1253" s="58">
        <v>93</v>
      </c>
      <c r="I1253" s="58">
        <v>419</v>
      </c>
      <c r="J1253" s="58">
        <v>0</v>
      </c>
      <c r="K1253" s="1">
        <f t="shared" si="134"/>
        <v>29488.44</v>
      </c>
      <c r="L1253" s="1" t="str">
        <f t="shared" si="135"/>
        <v/>
      </c>
      <c r="M1253" s="1">
        <f>VLOOKUP(B1253,'[1]Срок Годности'!$A$2:$B$4,2,0)</f>
        <v>500</v>
      </c>
      <c r="N1253" s="60">
        <f t="shared" si="136"/>
        <v>104</v>
      </c>
      <c r="O1253" s="1" t="str">
        <f t="shared" si="137"/>
        <v>26 2012</v>
      </c>
      <c r="P1253" s="1">
        <f t="shared" si="138"/>
        <v>23</v>
      </c>
      <c r="Q1253" s="1">
        <f t="shared" ca="1" si="139"/>
        <v>4048</v>
      </c>
      <c r="S1253" s="1">
        <f t="shared" si="133"/>
        <v>419</v>
      </c>
    </row>
    <row r="1254" spans="1:19" x14ac:dyDescent="0.2">
      <c r="A1254" s="57" t="s">
        <v>236</v>
      </c>
      <c r="B1254" s="57" t="s">
        <v>225</v>
      </c>
      <c r="C1254" s="57" t="s">
        <v>226</v>
      </c>
      <c r="D1254" s="58">
        <v>317.08</v>
      </c>
      <c r="E1254" s="59">
        <v>41086</v>
      </c>
      <c r="F1254" s="58">
        <v>419</v>
      </c>
      <c r="G1254" s="58">
        <v>152</v>
      </c>
      <c r="H1254" s="58">
        <v>93</v>
      </c>
      <c r="I1254" s="58">
        <v>478</v>
      </c>
      <c r="J1254" s="58">
        <v>0</v>
      </c>
      <c r="K1254" s="1">
        <f t="shared" si="134"/>
        <v>29488.44</v>
      </c>
      <c r="L1254" s="1" t="str">
        <f t="shared" si="135"/>
        <v/>
      </c>
      <c r="M1254" s="1">
        <f>VLOOKUP(B1254,'[1]Срок Годности'!$A$2:$B$4,2,0)</f>
        <v>500</v>
      </c>
      <c r="N1254" s="60">
        <f t="shared" si="136"/>
        <v>152</v>
      </c>
      <c r="O1254" s="1" t="str">
        <f t="shared" si="137"/>
        <v>26 2012</v>
      </c>
      <c r="P1254" s="1">
        <f t="shared" si="138"/>
        <v>23</v>
      </c>
      <c r="Q1254" s="1">
        <f t="shared" ca="1" si="139"/>
        <v>4047</v>
      </c>
      <c r="S1254" s="1">
        <f t="shared" si="133"/>
        <v>478</v>
      </c>
    </row>
    <row r="1255" spans="1:19" x14ac:dyDescent="0.2">
      <c r="A1255" s="57" t="s">
        <v>236</v>
      </c>
      <c r="B1255" s="57" t="s">
        <v>225</v>
      </c>
      <c r="C1255" s="57" t="s">
        <v>226</v>
      </c>
      <c r="D1255" s="58">
        <v>317.08</v>
      </c>
      <c r="E1255" s="59">
        <v>41087</v>
      </c>
      <c r="F1255" s="58">
        <v>478</v>
      </c>
      <c r="G1255" s="58">
        <v>182</v>
      </c>
      <c r="H1255" s="58">
        <v>104</v>
      </c>
      <c r="I1255" s="58">
        <v>553</v>
      </c>
      <c r="J1255" s="58">
        <v>0</v>
      </c>
      <c r="K1255" s="1">
        <f t="shared" si="134"/>
        <v>32976.32</v>
      </c>
      <c r="L1255" s="1" t="str">
        <f t="shared" si="135"/>
        <v/>
      </c>
      <c r="M1255" s="1">
        <f>VLOOKUP(B1255,'[1]Срок Годности'!$A$2:$B$4,2,0)</f>
        <v>500</v>
      </c>
      <c r="N1255" s="60">
        <f t="shared" si="136"/>
        <v>182</v>
      </c>
      <c r="O1255" s="1" t="str">
        <f t="shared" si="137"/>
        <v>26 2012</v>
      </c>
      <c r="P1255" s="1">
        <f t="shared" si="138"/>
        <v>23</v>
      </c>
      <c r="Q1255" s="1">
        <f t="shared" ca="1" si="139"/>
        <v>4046</v>
      </c>
      <c r="S1255" s="1">
        <f t="shared" si="133"/>
        <v>553</v>
      </c>
    </row>
    <row r="1256" spans="1:19" x14ac:dyDescent="0.2">
      <c r="A1256" s="57" t="s">
        <v>236</v>
      </c>
      <c r="B1256" s="57" t="s">
        <v>225</v>
      </c>
      <c r="C1256" s="57" t="s">
        <v>226</v>
      </c>
      <c r="D1256" s="58">
        <v>317.08</v>
      </c>
      <c r="E1256" s="59">
        <v>41088</v>
      </c>
      <c r="F1256" s="58">
        <v>553</v>
      </c>
      <c r="G1256" s="58">
        <v>93</v>
      </c>
      <c r="H1256" s="58">
        <v>152</v>
      </c>
      <c r="I1256" s="58">
        <v>485</v>
      </c>
      <c r="J1256" s="58">
        <v>0</v>
      </c>
      <c r="K1256" s="1">
        <f t="shared" si="134"/>
        <v>48196.159999999996</v>
      </c>
      <c r="L1256" s="1" t="str">
        <f t="shared" si="135"/>
        <v/>
      </c>
      <c r="M1256" s="1">
        <f>VLOOKUP(B1256,'[1]Срок Годности'!$A$2:$B$4,2,0)</f>
        <v>500</v>
      </c>
      <c r="N1256" s="60">
        <f t="shared" si="136"/>
        <v>93</v>
      </c>
      <c r="O1256" s="1" t="str">
        <f t="shared" si="137"/>
        <v>26 2012</v>
      </c>
      <c r="P1256" s="1">
        <f t="shared" si="138"/>
        <v>23</v>
      </c>
      <c r="Q1256" s="1">
        <f t="shared" ca="1" si="139"/>
        <v>4045</v>
      </c>
      <c r="S1256" s="1">
        <f t="shared" si="133"/>
        <v>485</v>
      </c>
    </row>
    <row r="1257" spans="1:19" x14ac:dyDescent="0.2">
      <c r="A1257" s="57" t="s">
        <v>236</v>
      </c>
      <c r="B1257" s="57" t="s">
        <v>225</v>
      </c>
      <c r="C1257" s="57" t="s">
        <v>226</v>
      </c>
      <c r="D1257" s="58">
        <v>317.08</v>
      </c>
      <c r="E1257" s="59">
        <v>41089</v>
      </c>
      <c r="F1257" s="58">
        <v>485</v>
      </c>
      <c r="G1257" s="58">
        <v>120</v>
      </c>
      <c r="H1257" s="58">
        <v>144</v>
      </c>
      <c r="I1257" s="58">
        <v>467</v>
      </c>
      <c r="J1257" s="58">
        <v>0</v>
      </c>
      <c r="K1257" s="1">
        <f t="shared" si="134"/>
        <v>45659.519999999997</v>
      </c>
      <c r="L1257" s="1" t="str">
        <f t="shared" si="135"/>
        <v/>
      </c>
      <c r="M1257" s="1">
        <f>VLOOKUP(B1257,'[1]Срок Годности'!$A$2:$B$4,2,0)</f>
        <v>500</v>
      </c>
      <c r="N1257" s="60">
        <f t="shared" si="136"/>
        <v>120</v>
      </c>
      <c r="O1257" s="1" t="str">
        <f t="shared" si="137"/>
        <v>26 2012</v>
      </c>
      <c r="P1257" s="1">
        <f t="shared" si="138"/>
        <v>23</v>
      </c>
      <c r="Q1257" s="1">
        <f t="shared" ca="1" si="139"/>
        <v>4044</v>
      </c>
      <c r="S1257" s="1">
        <f t="shared" si="133"/>
        <v>467</v>
      </c>
    </row>
    <row r="1258" spans="1:19" x14ac:dyDescent="0.2">
      <c r="A1258" s="57" t="s">
        <v>236</v>
      </c>
      <c r="B1258" s="57" t="s">
        <v>225</v>
      </c>
      <c r="C1258" s="57" t="s">
        <v>226</v>
      </c>
      <c r="D1258" s="58">
        <v>317.08</v>
      </c>
      <c r="E1258" s="59">
        <v>41090</v>
      </c>
      <c r="F1258" s="58">
        <v>467</v>
      </c>
      <c r="G1258" s="58">
        <v>140</v>
      </c>
      <c r="H1258" s="58">
        <v>157</v>
      </c>
      <c r="I1258" s="58">
        <v>450</v>
      </c>
      <c r="J1258" s="58">
        <v>0</v>
      </c>
      <c r="K1258" s="1">
        <f t="shared" si="134"/>
        <v>49781.56</v>
      </c>
      <c r="L1258" s="1" t="str">
        <f t="shared" si="135"/>
        <v/>
      </c>
      <c r="M1258" s="1">
        <f>VLOOKUP(B1258,'[1]Срок Годности'!$A$2:$B$4,2,0)</f>
        <v>500</v>
      </c>
      <c r="N1258" s="60">
        <f t="shared" si="136"/>
        <v>140</v>
      </c>
      <c r="O1258" s="1" t="str">
        <f t="shared" si="137"/>
        <v>26 2012</v>
      </c>
      <c r="P1258" s="1">
        <f t="shared" si="138"/>
        <v>23</v>
      </c>
      <c r="Q1258" s="1">
        <f t="shared" ca="1" si="139"/>
        <v>4043</v>
      </c>
      <c r="S1258" s="1">
        <f t="shared" si="133"/>
        <v>450</v>
      </c>
    </row>
    <row r="1259" spans="1:19" x14ac:dyDescent="0.2">
      <c r="A1259" s="57" t="s">
        <v>236</v>
      </c>
      <c r="B1259" s="57" t="s">
        <v>225</v>
      </c>
      <c r="C1259" s="57" t="s">
        <v>226</v>
      </c>
      <c r="D1259" s="58">
        <v>317.08</v>
      </c>
      <c r="E1259" s="59">
        <v>41091</v>
      </c>
      <c r="F1259" s="58">
        <v>450</v>
      </c>
      <c r="G1259" s="58">
        <v>170</v>
      </c>
      <c r="H1259" s="58">
        <v>165</v>
      </c>
      <c r="I1259" s="58">
        <v>453</v>
      </c>
      <c r="J1259" s="58">
        <v>0</v>
      </c>
      <c r="K1259" s="1">
        <f t="shared" si="134"/>
        <v>52318.2</v>
      </c>
      <c r="L1259" s="1" t="str">
        <f t="shared" si="135"/>
        <v/>
      </c>
      <c r="M1259" s="1">
        <f>VLOOKUP(B1259,'[1]Срок Годности'!$A$2:$B$4,2,0)</f>
        <v>500</v>
      </c>
      <c r="N1259" s="60">
        <f t="shared" si="136"/>
        <v>0</v>
      </c>
      <c r="O1259" s="1" t="str">
        <f t="shared" si="137"/>
        <v>27 2012</v>
      </c>
      <c r="P1259" s="1">
        <f t="shared" si="138"/>
        <v>23</v>
      </c>
      <c r="Q1259" s="1">
        <f t="shared" ca="1" si="139"/>
        <v>4042</v>
      </c>
      <c r="S1259" s="1">
        <f t="shared" si="133"/>
        <v>453</v>
      </c>
    </row>
    <row r="1260" spans="1:19" x14ac:dyDescent="0.2">
      <c r="A1260" s="57" t="s">
        <v>236</v>
      </c>
      <c r="B1260" s="57" t="s">
        <v>225</v>
      </c>
      <c r="C1260" s="57" t="s">
        <v>226</v>
      </c>
      <c r="D1260" s="58">
        <v>317.08</v>
      </c>
      <c r="E1260" s="59">
        <v>41092</v>
      </c>
      <c r="F1260" s="58">
        <v>453</v>
      </c>
      <c r="G1260" s="58">
        <v>218</v>
      </c>
      <c r="H1260" s="58">
        <v>205</v>
      </c>
      <c r="I1260" s="58">
        <v>466</v>
      </c>
      <c r="J1260" s="58">
        <v>0</v>
      </c>
      <c r="K1260" s="1">
        <f t="shared" si="134"/>
        <v>65001.399999999994</v>
      </c>
      <c r="L1260" s="1" t="str">
        <f t="shared" si="135"/>
        <v/>
      </c>
      <c r="M1260" s="1">
        <f>VLOOKUP(B1260,'[1]Срок Годности'!$A$2:$B$4,2,0)</f>
        <v>500</v>
      </c>
      <c r="N1260" s="60">
        <f t="shared" si="136"/>
        <v>218</v>
      </c>
      <c r="O1260" s="1" t="str">
        <f t="shared" si="137"/>
        <v>27 2012</v>
      </c>
      <c r="P1260" s="1">
        <f t="shared" si="138"/>
        <v>23</v>
      </c>
      <c r="Q1260" s="1">
        <f t="shared" ca="1" si="139"/>
        <v>4041</v>
      </c>
      <c r="S1260" s="1">
        <f t="shared" si="133"/>
        <v>466</v>
      </c>
    </row>
    <row r="1261" spans="1:19" x14ac:dyDescent="0.2">
      <c r="A1261" s="57" t="s">
        <v>236</v>
      </c>
      <c r="B1261" s="57" t="s">
        <v>225</v>
      </c>
      <c r="C1261" s="57" t="s">
        <v>226</v>
      </c>
      <c r="D1261" s="58">
        <v>317.08</v>
      </c>
      <c r="E1261" s="59">
        <v>41093</v>
      </c>
      <c r="F1261" s="58">
        <v>466</v>
      </c>
      <c r="G1261" s="58">
        <v>221</v>
      </c>
      <c r="H1261" s="58">
        <v>186</v>
      </c>
      <c r="I1261" s="58">
        <v>499</v>
      </c>
      <c r="J1261" s="58">
        <v>0</v>
      </c>
      <c r="K1261" s="1">
        <f t="shared" si="134"/>
        <v>58976.88</v>
      </c>
      <c r="L1261" s="1" t="str">
        <f t="shared" si="135"/>
        <v/>
      </c>
      <c r="M1261" s="1">
        <f>VLOOKUP(B1261,'[1]Срок Годности'!$A$2:$B$4,2,0)</f>
        <v>500</v>
      </c>
      <c r="N1261" s="60">
        <f t="shared" si="136"/>
        <v>221</v>
      </c>
      <c r="O1261" s="1" t="str">
        <f t="shared" si="137"/>
        <v>27 2012</v>
      </c>
      <c r="P1261" s="1">
        <f t="shared" si="138"/>
        <v>23</v>
      </c>
      <c r="Q1261" s="1">
        <f t="shared" ca="1" si="139"/>
        <v>4040</v>
      </c>
      <c r="S1261" s="1">
        <f t="shared" si="133"/>
        <v>499</v>
      </c>
    </row>
    <row r="1262" spans="1:19" x14ac:dyDescent="0.2">
      <c r="A1262" s="57" t="s">
        <v>236</v>
      </c>
      <c r="B1262" s="57" t="s">
        <v>225</v>
      </c>
      <c r="C1262" s="57" t="s">
        <v>226</v>
      </c>
      <c r="D1262" s="58">
        <v>317.08</v>
      </c>
      <c r="E1262" s="59">
        <v>41094</v>
      </c>
      <c r="F1262" s="58">
        <v>499</v>
      </c>
      <c r="G1262" s="58">
        <v>183</v>
      </c>
      <c r="H1262" s="58">
        <v>202</v>
      </c>
      <c r="I1262" s="58">
        <v>482</v>
      </c>
      <c r="J1262" s="58">
        <v>0</v>
      </c>
      <c r="K1262" s="1">
        <f t="shared" si="134"/>
        <v>64050.159999999996</v>
      </c>
      <c r="L1262" s="1" t="str">
        <f t="shared" si="135"/>
        <v/>
      </c>
      <c r="M1262" s="1">
        <f>VLOOKUP(B1262,'[1]Срок Годности'!$A$2:$B$4,2,0)</f>
        <v>500</v>
      </c>
      <c r="N1262" s="60">
        <f t="shared" si="136"/>
        <v>183</v>
      </c>
      <c r="O1262" s="1" t="str">
        <f t="shared" si="137"/>
        <v>27 2012</v>
      </c>
      <c r="P1262" s="1">
        <f t="shared" si="138"/>
        <v>23</v>
      </c>
      <c r="Q1262" s="1">
        <f t="shared" ca="1" si="139"/>
        <v>4039</v>
      </c>
      <c r="S1262" s="1">
        <f t="shared" si="133"/>
        <v>482</v>
      </c>
    </row>
    <row r="1263" spans="1:19" x14ac:dyDescent="0.2">
      <c r="A1263" s="57" t="s">
        <v>236</v>
      </c>
      <c r="B1263" s="57" t="s">
        <v>225</v>
      </c>
      <c r="C1263" s="57" t="s">
        <v>226</v>
      </c>
      <c r="D1263" s="58">
        <v>317.08</v>
      </c>
      <c r="E1263" s="59">
        <v>41095</v>
      </c>
      <c r="F1263" s="58">
        <v>482</v>
      </c>
      <c r="G1263" s="58">
        <v>266</v>
      </c>
      <c r="H1263" s="58">
        <v>130</v>
      </c>
      <c r="I1263" s="58">
        <v>608</v>
      </c>
      <c r="J1263" s="58">
        <v>0</v>
      </c>
      <c r="K1263" s="1">
        <f t="shared" si="134"/>
        <v>41220.400000000001</v>
      </c>
      <c r="L1263" s="1" t="str">
        <f t="shared" si="135"/>
        <v/>
      </c>
      <c r="M1263" s="1">
        <f>VLOOKUP(B1263,'[1]Срок Годности'!$A$2:$B$4,2,0)</f>
        <v>500</v>
      </c>
      <c r="N1263" s="60">
        <f t="shared" si="136"/>
        <v>266</v>
      </c>
      <c r="O1263" s="1" t="str">
        <f t="shared" si="137"/>
        <v>27 2012</v>
      </c>
      <c r="P1263" s="1">
        <f t="shared" si="138"/>
        <v>23</v>
      </c>
      <c r="Q1263" s="1">
        <f t="shared" ca="1" si="139"/>
        <v>4038</v>
      </c>
      <c r="S1263" s="1">
        <f t="shared" si="133"/>
        <v>608</v>
      </c>
    </row>
    <row r="1264" spans="1:19" x14ac:dyDescent="0.2">
      <c r="A1264" s="57" t="s">
        <v>236</v>
      </c>
      <c r="B1264" s="57" t="s">
        <v>225</v>
      </c>
      <c r="C1264" s="57" t="s">
        <v>226</v>
      </c>
      <c r="D1264" s="58">
        <v>317.08</v>
      </c>
      <c r="E1264" s="59">
        <v>41096</v>
      </c>
      <c r="F1264" s="58">
        <v>608</v>
      </c>
      <c r="G1264" s="58">
        <v>285</v>
      </c>
      <c r="H1264" s="58">
        <v>241</v>
      </c>
      <c r="I1264" s="58">
        <v>655</v>
      </c>
      <c r="J1264" s="58">
        <v>0</v>
      </c>
      <c r="K1264" s="1">
        <f t="shared" si="134"/>
        <v>76416.28</v>
      </c>
      <c r="L1264" s="1" t="str">
        <f t="shared" si="135"/>
        <v/>
      </c>
      <c r="M1264" s="1">
        <f>VLOOKUP(B1264,'[1]Срок Годности'!$A$2:$B$4,2,0)</f>
        <v>500</v>
      </c>
      <c r="N1264" s="60">
        <f t="shared" si="136"/>
        <v>285</v>
      </c>
      <c r="O1264" s="1" t="str">
        <f t="shared" si="137"/>
        <v>27 2012</v>
      </c>
      <c r="P1264" s="1">
        <f t="shared" si="138"/>
        <v>23</v>
      </c>
      <c r="Q1264" s="1">
        <f t="shared" ca="1" si="139"/>
        <v>4037</v>
      </c>
      <c r="S1264" s="1">
        <f t="shared" si="133"/>
        <v>655</v>
      </c>
    </row>
    <row r="1265" spans="1:19" x14ac:dyDescent="0.2">
      <c r="A1265" s="57" t="s">
        <v>236</v>
      </c>
      <c r="B1265" s="57" t="s">
        <v>225</v>
      </c>
      <c r="C1265" s="57" t="s">
        <v>226</v>
      </c>
      <c r="D1265" s="58">
        <v>317.08</v>
      </c>
      <c r="E1265" s="59">
        <v>41097</v>
      </c>
      <c r="F1265" s="58">
        <v>655</v>
      </c>
      <c r="G1265" s="58">
        <v>268</v>
      </c>
      <c r="H1265" s="58">
        <v>219</v>
      </c>
      <c r="I1265" s="58">
        <v>704</v>
      </c>
      <c r="J1265" s="58">
        <v>0</v>
      </c>
      <c r="K1265" s="1">
        <f t="shared" si="134"/>
        <v>69440.51999999999</v>
      </c>
      <c r="L1265" s="1" t="str">
        <f t="shared" si="135"/>
        <v/>
      </c>
      <c r="M1265" s="1">
        <f>VLOOKUP(B1265,'[1]Срок Годности'!$A$2:$B$4,2,0)</f>
        <v>500</v>
      </c>
      <c r="N1265" s="60">
        <f t="shared" si="136"/>
        <v>268</v>
      </c>
      <c r="O1265" s="1" t="str">
        <f t="shared" si="137"/>
        <v>27 2012</v>
      </c>
      <c r="P1265" s="1">
        <f t="shared" si="138"/>
        <v>23</v>
      </c>
      <c r="Q1265" s="1">
        <f t="shared" ca="1" si="139"/>
        <v>4036</v>
      </c>
      <c r="S1265" s="1">
        <f t="shared" si="133"/>
        <v>704</v>
      </c>
    </row>
    <row r="1266" spans="1:19" x14ac:dyDescent="0.2">
      <c r="A1266" s="57" t="s">
        <v>236</v>
      </c>
      <c r="B1266" s="57" t="s">
        <v>225</v>
      </c>
      <c r="C1266" s="57" t="s">
        <v>226</v>
      </c>
      <c r="D1266" s="58">
        <v>317.08</v>
      </c>
      <c r="E1266" s="59">
        <v>41098</v>
      </c>
      <c r="F1266" s="58">
        <v>704</v>
      </c>
      <c r="G1266" s="58">
        <v>138</v>
      </c>
      <c r="H1266" s="58">
        <v>303</v>
      </c>
      <c r="I1266" s="58">
        <v>528</v>
      </c>
      <c r="J1266" s="58">
        <v>0</v>
      </c>
      <c r="K1266" s="1">
        <f t="shared" si="134"/>
        <v>96075.239999999991</v>
      </c>
      <c r="L1266" s="1" t="str">
        <f t="shared" si="135"/>
        <v/>
      </c>
      <c r="M1266" s="1">
        <f>VLOOKUP(B1266,'[1]Срок Годности'!$A$2:$B$4,2,0)</f>
        <v>500</v>
      </c>
      <c r="N1266" s="60">
        <f t="shared" si="136"/>
        <v>0</v>
      </c>
      <c r="O1266" s="1" t="str">
        <f t="shared" si="137"/>
        <v>28 2012</v>
      </c>
      <c r="P1266" s="1">
        <f t="shared" si="138"/>
        <v>23</v>
      </c>
      <c r="Q1266" s="1">
        <f t="shared" ca="1" si="139"/>
        <v>4035</v>
      </c>
      <c r="S1266" s="1">
        <f t="shared" si="133"/>
        <v>528</v>
      </c>
    </row>
    <row r="1267" spans="1:19" x14ac:dyDescent="0.2">
      <c r="A1267" s="57" t="s">
        <v>236</v>
      </c>
      <c r="B1267" s="57" t="s">
        <v>225</v>
      </c>
      <c r="C1267" s="57" t="s">
        <v>226</v>
      </c>
      <c r="D1267" s="58">
        <v>317.08</v>
      </c>
      <c r="E1267" s="59">
        <v>41099</v>
      </c>
      <c r="F1267" s="58">
        <v>528</v>
      </c>
      <c r="G1267" s="58">
        <v>174</v>
      </c>
      <c r="H1267" s="58">
        <v>286</v>
      </c>
      <c r="I1267" s="58">
        <v>412</v>
      </c>
      <c r="J1267" s="58">
        <v>0</v>
      </c>
      <c r="K1267" s="1">
        <f t="shared" si="134"/>
        <v>90684.87999999999</v>
      </c>
      <c r="L1267" s="1" t="str">
        <f t="shared" si="135"/>
        <v/>
      </c>
      <c r="M1267" s="1">
        <f>VLOOKUP(B1267,'[1]Срок Годности'!$A$2:$B$4,2,0)</f>
        <v>500</v>
      </c>
      <c r="N1267" s="60">
        <f t="shared" si="136"/>
        <v>174</v>
      </c>
      <c r="O1267" s="1" t="str">
        <f t="shared" si="137"/>
        <v>28 2012</v>
      </c>
      <c r="P1267" s="1">
        <f t="shared" si="138"/>
        <v>23</v>
      </c>
      <c r="Q1267" s="1">
        <f t="shared" ca="1" si="139"/>
        <v>4034</v>
      </c>
      <c r="S1267" s="1">
        <f t="shared" si="133"/>
        <v>412</v>
      </c>
    </row>
    <row r="1268" spans="1:19" x14ac:dyDescent="0.2">
      <c r="A1268" s="57" t="s">
        <v>236</v>
      </c>
      <c r="B1268" s="57" t="s">
        <v>225</v>
      </c>
      <c r="C1268" s="57" t="s">
        <v>226</v>
      </c>
      <c r="D1268" s="58">
        <v>317.08</v>
      </c>
      <c r="E1268" s="59">
        <v>41100</v>
      </c>
      <c r="F1268" s="58">
        <v>412</v>
      </c>
      <c r="G1268" s="58">
        <v>141</v>
      </c>
      <c r="H1268" s="58">
        <v>202</v>
      </c>
      <c r="I1268" s="58">
        <v>349</v>
      </c>
      <c r="J1268" s="58">
        <v>0</v>
      </c>
      <c r="K1268" s="1">
        <f t="shared" si="134"/>
        <v>64050.159999999996</v>
      </c>
      <c r="L1268" s="1" t="str">
        <f t="shared" si="135"/>
        <v/>
      </c>
      <c r="M1268" s="1">
        <f>VLOOKUP(B1268,'[1]Срок Годности'!$A$2:$B$4,2,0)</f>
        <v>500</v>
      </c>
      <c r="N1268" s="60">
        <f t="shared" si="136"/>
        <v>141</v>
      </c>
      <c r="O1268" s="1" t="str">
        <f t="shared" si="137"/>
        <v>28 2012</v>
      </c>
      <c r="P1268" s="1">
        <f t="shared" si="138"/>
        <v>23</v>
      </c>
      <c r="Q1268" s="1">
        <f t="shared" ca="1" si="139"/>
        <v>4033</v>
      </c>
      <c r="S1268" s="1">
        <f t="shared" si="133"/>
        <v>349</v>
      </c>
    </row>
    <row r="1269" spans="1:19" x14ac:dyDescent="0.2">
      <c r="A1269" s="57" t="s">
        <v>236</v>
      </c>
      <c r="B1269" s="57" t="s">
        <v>225</v>
      </c>
      <c r="C1269" s="57" t="s">
        <v>226</v>
      </c>
      <c r="D1269" s="58">
        <v>317.08</v>
      </c>
      <c r="E1269" s="59">
        <v>41101</v>
      </c>
      <c r="F1269" s="58">
        <v>349</v>
      </c>
      <c r="G1269" s="58">
        <v>459</v>
      </c>
      <c r="H1269" s="58">
        <v>169</v>
      </c>
      <c r="I1269" s="58">
        <v>636</v>
      </c>
      <c r="J1269" s="58">
        <v>0</v>
      </c>
      <c r="K1269" s="1">
        <f t="shared" si="134"/>
        <v>53586.52</v>
      </c>
      <c r="L1269" s="1" t="str">
        <f t="shared" si="135"/>
        <v/>
      </c>
      <c r="M1269" s="1">
        <f>VLOOKUP(B1269,'[1]Срок Годности'!$A$2:$B$4,2,0)</f>
        <v>500</v>
      </c>
      <c r="N1269" s="60">
        <f t="shared" si="136"/>
        <v>459</v>
      </c>
      <c r="O1269" s="1" t="str">
        <f t="shared" si="137"/>
        <v>28 2012</v>
      </c>
      <c r="P1269" s="1">
        <f t="shared" si="138"/>
        <v>23</v>
      </c>
      <c r="Q1269" s="1">
        <f t="shared" ca="1" si="139"/>
        <v>4032</v>
      </c>
      <c r="S1269" s="1">
        <f t="shared" si="133"/>
        <v>636</v>
      </c>
    </row>
    <row r="1270" spans="1:19" x14ac:dyDescent="0.2">
      <c r="A1270" s="57" t="s">
        <v>236</v>
      </c>
      <c r="B1270" s="57" t="s">
        <v>225</v>
      </c>
      <c r="C1270" s="57" t="s">
        <v>226</v>
      </c>
      <c r="D1270" s="58">
        <v>317.08</v>
      </c>
      <c r="E1270" s="59">
        <v>41102</v>
      </c>
      <c r="F1270" s="58">
        <v>636</v>
      </c>
      <c r="G1270" s="58">
        <v>105</v>
      </c>
      <c r="H1270" s="58">
        <v>218</v>
      </c>
      <c r="I1270" s="58">
        <v>518</v>
      </c>
      <c r="J1270" s="58">
        <v>0</v>
      </c>
      <c r="K1270" s="1">
        <f t="shared" si="134"/>
        <v>69123.44</v>
      </c>
      <c r="L1270" s="1" t="str">
        <f t="shared" si="135"/>
        <v/>
      </c>
      <c r="M1270" s="1">
        <f>VLOOKUP(B1270,'[1]Срок Годности'!$A$2:$B$4,2,0)</f>
        <v>500</v>
      </c>
      <c r="N1270" s="60">
        <f t="shared" si="136"/>
        <v>105</v>
      </c>
      <c r="O1270" s="1" t="str">
        <f t="shared" si="137"/>
        <v>28 2012</v>
      </c>
      <c r="P1270" s="1">
        <f t="shared" si="138"/>
        <v>23</v>
      </c>
      <c r="Q1270" s="1">
        <f t="shared" ca="1" si="139"/>
        <v>4031</v>
      </c>
      <c r="S1270" s="1">
        <f t="shared" si="133"/>
        <v>518</v>
      </c>
    </row>
    <row r="1271" spans="1:19" x14ac:dyDescent="0.2">
      <c r="A1271" s="57" t="s">
        <v>236</v>
      </c>
      <c r="B1271" s="57" t="s">
        <v>225</v>
      </c>
      <c r="C1271" s="57" t="s">
        <v>226</v>
      </c>
      <c r="D1271" s="58">
        <v>317.08</v>
      </c>
      <c r="E1271" s="59">
        <v>41103</v>
      </c>
      <c r="F1271" s="58">
        <v>518</v>
      </c>
      <c r="G1271" s="58">
        <v>52</v>
      </c>
      <c r="H1271" s="58">
        <v>209</v>
      </c>
      <c r="I1271" s="58">
        <v>358</v>
      </c>
      <c r="J1271" s="58">
        <v>0</v>
      </c>
      <c r="K1271" s="1">
        <f t="shared" si="134"/>
        <v>66269.72</v>
      </c>
      <c r="L1271" s="1" t="str">
        <f t="shared" si="135"/>
        <v/>
      </c>
      <c r="M1271" s="1">
        <f>VLOOKUP(B1271,'[1]Срок Годности'!$A$2:$B$4,2,0)</f>
        <v>500</v>
      </c>
      <c r="N1271" s="60">
        <f t="shared" si="136"/>
        <v>52</v>
      </c>
      <c r="O1271" s="1" t="str">
        <f t="shared" si="137"/>
        <v>28 2012</v>
      </c>
      <c r="P1271" s="1">
        <f t="shared" si="138"/>
        <v>23</v>
      </c>
      <c r="Q1271" s="1">
        <f t="shared" ca="1" si="139"/>
        <v>4030</v>
      </c>
      <c r="S1271" s="1">
        <f t="shared" si="133"/>
        <v>358</v>
      </c>
    </row>
    <row r="1272" spans="1:19" x14ac:dyDescent="0.2">
      <c r="A1272" s="57" t="s">
        <v>236</v>
      </c>
      <c r="B1272" s="57" t="s">
        <v>225</v>
      </c>
      <c r="C1272" s="57" t="s">
        <v>226</v>
      </c>
      <c r="D1272" s="58">
        <v>317.08</v>
      </c>
      <c r="E1272" s="59">
        <v>41104</v>
      </c>
      <c r="F1272" s="58">
        <v>358</v>
      </c>
      <c r="G1272" s="58">
        <v>0</v>
      </c>
      <c r="H1272" s="58">
        <v>107</v>
      </c>
      <c r="I1272" s="58">
        <v>252</v>
      </c>
      <c r="J1272" s="58">
        <v>0</v>
      </c>
      <c r="K1272" s="1">
        <f t="shared" si="134"/>
        <v>33927.56</v>
      </c>
      <c r="L1272" s="1" t="str">
        <f t="shared" si="135"/>
        <v/>
      </c>
      <c r="M1272" s="1">
        <f>VLOOKUP(B1272,'[1]Срок Годности'!$A$2:$B$4,2,0)</f>
        <v>500</v>
      </c>
      <c r="N1272" s="60">
        <f t="shared" si="136"/>
        <v>0</v>
      </c>
      <c r="O1272" s="1" t="str">
        <f t="shared" si="137"/>
        <v>28 2012</v>
      </c>
      <c r="P1272" s="1">
        <f t="shared" si="138"/>
        <v>23</v>
      </c>
      <c r="Q1272" s="1">
        <f t="shared" ca="1" si="139"/>
        <v>4029</v>
      </c>
      <c r="S1272" s="1">
        <f t="shared" si="133"/>
        <v>252</v>
      </c>
    </row>
    <row r="1273" spans="1:19" x14ac:dyDescent="0.2">
      <c r="A1273" s="57" t="s">
        <v>236</v>
      </c>
      <c r="B1273" s="57" t="s">
        <v>225</v>
      </c>
      <c r="C1273" s="57" t="s">
        <v>226</v>
      </c>
      <c r="D1273" s="58">
        <v>317.08</v>
      </c>
      <c r="E1273" s="59">
        <v>41105</v>
      </c>
      <c r="F1273" s="58">
        <v>252</v>
      </c>
      <c r="G1273" s="58">
        <v>131</v>
      </c>
      <c r="H1273" s="58">
        <v>96</v>
      </c>
      <c r="I1273" s="58">
        <v>281</v>
      </c>
      <c r="J1273" s="58">
        <v>0</v>
      </c>
      <c r="K1273" s="1">
        <f t="shared" si="134"/>
        <v>30439.68</v>
      </c>
      <c r="L1273" s="1" t="str">
        <f t="shared" si="135"/>
        <v/>
      </c>
      <c r="M1273" s="1">
        <f>VLOOKUP(B1273,'[1]Срок Годности'!$A$2:$B$4,2,0)</f>
        <v>500</v>
      </c>
      <c r="N1273" s="60">
        <f t="shared" si="136"/>
        <v>0</v>
      </c>
      <c r="O1273" s="1" t="str">
        <f t="shared" si="137"/>
        <v>29 2012</v>
      </c>
      <c r="P1273" s="1">
        <f t="shared" si="138"/>
        <v>23</v>
      </c>
      <c r="Q1273" s="1">
        <f t="shared" ca="1" si="139"/>
        <v>4028</v>
      </c>
      <c r="S1273" s="1">
        <f t="shared" si="133"/>
        <v>281</v>
      </c>
    </row>
    <row r="1274" spans="1:19" x14ac:dyDescent="0.2">
      <c r="A1274" s="57" t="s">
        <v>236</v>
      </c>
      <c r="B1274" s="57" t="s">
        <v>225</v>
      </c>
      <c r="C1274" s="57" t="s">
        <v>226</v>
      </c>
      <c r="D1274" s="58">
        <v>317.08</v>
      </c>
      <c r="E1274" s="59">
        <v>41106</v>
      </c>
      <c r="F1274" s="58">
        <v>281</v>
      </c>
      <c r="G1274" s="58">
        <v>0</v>
      </c>
      <c r="H1274" s="58">
        <v>27</v>
      </c>
      <c r="I1274" s="58">
        <v>257</v>
      </c>
      <c r="J1274" s="58">
        <v>0</v>
      </c>
      <c r="K1274" s="1">
        <f t="shared" si="134"/>
        <v>8561.16</v>
      </c>
      <c r="L1274" s="1" t="str">
        <f t="shared" si="135"/>
        <v/>
      </c>
      <c r="M1274" s="1">
        <f>VLOOKUP(B1274,'[1]Срок Годности'!$A$2:$B$4,2,0)</f>
        <v>500</v>
      </c>
      <c r="N1274" s="60">
        <f t="shared" si="136"/>
        <v>0</v>
      </c>
      <c r="O1274" s="1" t="str">
        <f t="shared" si="137"/>
        <v>29 2012</v>
      </c>
      <c r="P1274" s="1">
        <f t="shared" si="138"/>
        <v>23</v>
      </c>
      <c r="Q1274" s="1">
        <f t="shared" ca="1" si="139"/>
        <v>4027</v>
      </c>
      <c r="S1274" s="1">
        <f t="shared" si="133"/>
        <v>257</v>
      </c>
    </row>
    <row r="1275" spans="1:19" x14ac:dyDescent="0.2">
      <c r="A1275" s="57" t="s">
        <v>236</v>
      </c>
      <c r="B1275" s="57" t="s">
        <v>225</v>
      </c>
      <c r="C1275" s="57" t="s">
        <v>226</v>
      </c>
      <c r="D1275" s="58">
        <v>317.08</v>
      </c>
      <c r="E1275" s="59">
        <v>41107</v>
      </c>
      <c r="F1275" s="58">
        <v>257</v>
      </c>
      <c r="G1275" s="58">
        <v>550</v>
      </c>
      <c r="H1275" s="58">
        <v>61</v>
      </c>
      <c r="I1275" s="58">
        <v>746</v>
      </c>
      <c r="J1275" s="58">
        <v>0</v>
      </c>
      <c r="K1275" s="1">
        <f t="shared" si="134"/>
        <v>19341.879999999997</v>
      </c>
      <c r="L1275" s="1" t="str">
        <f t="shared" si="135"/>
        <v/>
      </c>
      <c r="M1275" s="1">
        <f>VLOOKUP(B1275,'[1]Срок Годности'!$A$2:$B$4,2,0)</f>
        <v>500</v>
      </c>
      <c r="N1275" s="60">
        <f t="shared" si="136"/>
        <v>550</v>
      </c>
      <c r="O1275" s="1" t="str">
        <f t="shared" si="137"/>
        <v>29 2012</v>
      </c>
      <c r="P1275" s="1">
        <f t="shared" si="138"/>
        <v>23</v>
      </c>
      <c r="Q1275" s="1">
        <f t="shared" ca="1" si="139"/>
        <v>4026</v>
      </c>
      <c r="S1275" s="1">
        <f t="shared" si="133"/>
        <v>746</v>
      </c>
    </row>
    <row r="1276" spans="1:19" x14ac:dyDescent="0.2">
      <c r="A1276" s="57" t="s">
        <v>236</v>
      </c>
      <c r="B1276" s="57" t="s">
        <v>244</v>
      </c>
      <c r="C1276" s="57" t="s">
        <v>245</v>
      </c>
      <c r="D1276" s="58">
        <v>33.659999999999997</v>
      </c>
      <c r="E1276" s="59">
        <v>41061</v>
      </c>
      <c r="F1276" s="58">
        <v>12930</v>
      </c>
      <c r="G1276" s="58">
        <v>3645</v>
      </c>
      <c r="H1276" s="58">
        <v>2296</v>
      </c>
      <c r="I1276" s="58">
        <v>14215</v>
      </c>
      <c r="J1276" s="58">
        <v>0</v>
      </c>
      <c r="K1276" s="1">
        <f t="shared" si="134"/>
        <v>77283.359999999986</v>
      </c>
      <c r="L1276" s="1">
        <f t="shared" si="135"/>
        <v>2296</v>
      </c>
      <c r="M1276" s="1">
        <f>VLOOKUP(B1276,'[1]Срок Годности'!$A$2:$B$4,2,0)</f>
        <v>1500</v>
      </c>
      <c r="N1276" s="60">
        <f t="shared" si="136"/>
        <v>3645</v>
      </c>
      <c r="O1276" s="1" t="str">
        <f t="shared" si="137"/>
        <v>22 2012</v>
      </c>
      <c r="P1276" s="1">
        <f t="shared" si="138"/>
        <v>21</v>
      </c>
      <c r="Q1276" s="1">
        <f t="shared" ca="1" si="139"/>
        <v>4072</v>
      </c>
      <c r="S1276" s="1">
        <f t="shared" si="133"/>
        <v>14215</v>
      </c>
    </row>
    <row r="1277" spans="1:19" x14ac:dyDescent="0.2">
      <c r="A1277" s="57" t="s">
        <v>236</v>
      </c>
      <c r="B1277" s="57" t="s">
        <v>244</v>
      </c>
      <c r="C1277" s="57" t="s">
        <v>245</v>
      </c>
      <c r="D1277" s="58">
        <v>33.659999999999997</v>
      </c>
      <c r="E1277" s="59">
        <v>41062</v>
      </c>
      <c r="F1277" s="58">
        <v>14215</v>
      </c>
      <c r="G1277" s="58">
        <v>2052</v>
      </c>
      <c r="H1277" s="58">
        <v>2160</v>
      </c>
      <c r="I1277" s="58">
        <v>14082</v>
      </c>
      <c r="J1277" s="58">
        <v>0</v>
      </c>
      <c r="K1277" s="1">
        <f t="shared" si="134"/>
        <v>72705.599999999991</v>
      </c>
      <c r="L1277" s="1">
        <f t="shared" si="135"/>
        <v>2160</v>
      </c>
      <c r="M1277" s="1">
        <f>VLOOKUP(B1277,'[1]Срок Годности'!$A$2:$B$4,2,0)</f>
        <v>1500</v>
      </c>
      <c r="N1277" s="60">
        <f t="shared" si="136"/>
        <v>2052</v>
      </c>
      <c r="O1277" s="1" t="str">
        <f t="shared" si="137"/>
        <v>22 2012</v>
      </c>
      <c r="P1277" s="1">
        <f t="shared" si="138"/>
        <v>21</v>
      </c>
      <c r="Q1277" s="1">
        <f t="shared" ca="1" si="139"/>
        <v>4071</v>
      </c>
      <c r="S1277" s="1">
        <f t="shared" si="133"/>
        <v>14082</v>
      </c>
    </row>
    <row r="1278" spans="1:19" x14ac:dyDescent="0.2">
      <c r="A1278" s="57" t="s">
        <v>236</v>
      </c>
      <c r="B1278" s="57" t="s">
        <v>244</v>
      </c>
      <c r="C1278" s="57" t="s">
        <v>245</v>
      </c>
      <c r="D1278" s="58">
        <v>33.659999999999997</v>
      </c>
      <c r="E1278" s="59">
        <v>41063</v>
      </c>
      <c r="F1278" s="58">
        <v>14082</v>
      </c>
      <c r="G1278" s="58">
        <v>3042</v>
      </c>
      <c r="H1278" s="58">
        <v>1924</v>
      </c>
      <c r="I1278" s="58">
        <v>15170</v>
      </c>
      <c r="J1278" s="58">
        <v>0</v>
      </c>
      <c r="K1278" s="1">
        <f t="shared" si="134"/>
        <v>64761.84</v>
      </c>
      <c r="L1278" s="1">
        <f t="shared" si="135"/>
        <v>1924</v>
      </c>
      <c r="M1278" s="1">
        <f>VLOOKUP(B1278,'[1]Срок Годности'!$A$2:$B$4,2,0)</f>
        <v>1500</v>
      </c>
      <c r="N1278" s="60">
        <f t="shared" si="136"/>
        <v>0</v>
      </c>
      <c r="O1278" s="1" t="str">
        <f t="shared" si="137"/>
        <v>23 2012</v>
      </c>
      <c r="P1278" s="1">
        <f t="shared" si="138"/>
        <v>21</v>
      </c>
      <c r="Q1278" s="1">
        <f t="shared" ca="1" si="139"/>
        <v>4070</v>
      </c>
      <c r="S1278" s="1">
        <f t="shared" si="133"/>
        <v>15170</v>
      </c>
    </row>
    <row r="1279" spans="1:19" x14ac:dyDescent="0.2">
      <c r="A1279" s="57" t="s">
        <v>236</v>
      </c>
      <c r="B1279" s="57" t="s">
        <v>244</v>
      </c>
      <c r="C1279" s="57" t="s">
        <v>245</v>
      </c>
      <c r="D1279" s="58">
        <v>33.659999999999997</v>
      </c>
      <c r="E1279" s="59">
        <v>41064</v>
      </c>
      <c r="F1279" s="58">
        <v>15170</v>
      </c>
      <c r="G1279" s="58">
        <v>1587</v>
      </c>
      <c r="H1279" s="58">
        <v>2191</v>
      </c>
      <c r="I1279" s="58">
        <v>14541</v>
      </c>
      <c r="J1279" s="58">
        <v>0</v>
      </c>
      <c r="K1279" s="1">
        <f t="shared" si="134"/>
        <v>73749.06</v>
      </c>
      <c r="L1279" s="1">
        <f t="shared" si="135"/>
        <v>2191</v>
      </c>
      <c r="M1279" s="1">
        <f>VLOOKUP(B1279,'[1]Срок Годности'!$A$2:$B$4,2,0)</f>
        <v>1500</v>
      </c>
      <c r="N1279" s="60">
        <f t="shared" si="136"/>
        <v>1587</v>
      </c>
      <c r="O1279" s="1" t="str">
        <f t="shared" si="137"/>
        <v>23 2012</v>
      </c>
      <c r="P1279" s="1">
        <f t="shared" si="138"/>
        <v>21</v>
      </c>
      <c r="Q1279" s="1">
        <f t="shared" ca="1" si="139"/>
        <v>4069</v>
      </c>
      <c r="S1279" s="1">
        <f t="shared" si="133"/>
        <v>14541</v>
      </c>
    </row>
    <row r="1280" spans="1:19" x14ac:dyDescent="0.2">
      <c r="A1280" s="57" t="s">
        <v>236</v>
      </c>
      <c r="B1280" s="57" t="s">
        <v>244</v>
      </c>
      <c r="C1280" s="57" t="s">
        <v>245</v>
      </c>
      <c r="D1280" s="58">
        <v>33.659999999999997</v>
      </c>
      <c r="E1280" s="59">
        <v>41065</v>
      </c>
      <c r="F1280" s="58">
        <v>14541</v>
      </c>
      <c r="G1280" s="58">
        <v>2295</v>
      </c>
      <c r="H1280" s="58">
        <v>2124</v>
      </c>
      <c r="I1280" s="58">
        <v>14635</v>
      </c>
      <c r="J1280" s="58">
        <v>0</v>
      </c>
      <c r="K1280" s="1">
        <f t="shared" si="134"/>
        <v>71493.84</v>
      </c>
      <c r="L1280" s="1">
        <f t="shared" si="135"/>
        <v>2124</v>
      </c>
      <c r="M1280" s="1">
        <f>VLOOKUP(B1280,'[1]Срок Годности'!$A$2:$B$4,2,0)</f>
        <v>1500</v>
      </c>
      <c r="N1280" s="60">
        <f t="shared" si="136"/>
        <v>2295</v>
      </c>
      <c r="O1280" s="1" t="str">
        <f t="shared" si="137"/>
        <v>23 2012</v>
      </c>
      <c r="P1280" s="1">
        <f t="shared" si="138"/>
        <v>21</v>
      </c>
      <c r="Q1280" s="1">
        <f t="shared" ca="1" si="139"/>
        <v>4068</v>
      </c>
      <c r="S1280" s="1">
        <f t="shared" si="133"/>
        <v>14635</v>
      </c>
    </row>
    <row r="1281" spans="1:19" x14ac:dyDescent="0.2">
      <c r="A1281" s="57" t="s">
        <v>236</v>
      </c>
      <c r="B1281" s="57" t="s">
        <v>244</v>
      </c>
      <c r="C1281" s="57" t="s">
        <v>245</v>
      </c>
      <c r="D1281" s="58">
        <v>33.659999999999997</v>
      </c>
      <c r="E1281" s="59">
        <v>41066</v>
      </c>
      <c r="F1281" s="58">
        <v>14635</v>
      </c>
      <c r="G1281" s="58">
        <v>2708</v>
      </c>
      <c r="H1281" s="58">
        <v>2215</v>
      </c>
      <c r="I1281" s="58">
        <v>15105</v>
      </c>
      <c r="J1281" s="58">
        <v>0</v>
      </c>
      <c r="K1281" s="1">
        <f t="shared" si="134"/>
        <v>74556.899999999994</v>
      </c>
      <c r="L1281" s="1">
        <f t="shared" si="135"/>
        <v>2215</v>
      </c>
      <c r="M1281" s="1">
        <f>VLOOKUP(B1281,'[1]Срок Годности'!$A$2:$B$4,2,0)</f>
        <v>1500</v>
      </c>
      <c r="N1281" s="60">
        <f t="shared" si="136"/>
        <v>2708</v>
      </c>
      <c r="O1281" s="1" t="str">
        <f t="shared" si="137"/>
        <v>23 2012</v>
      </c>
      <c r="P1281" s="1">
        <f t="shared" si="138"/>
        <v>21</v>
      </c>
      <c r="Q1281" s="1">
        <f t="shared" ca="1" si="139"/>
        <v>4067</v>
      </c>
      <c r="S1281" s="1">
        <f t="shared" si="133"/>
        <v>15105</v>
      </c>
    </row>
    <row r="1282" spans="1:19" x14ac:dyDescent="0.2">
      <c r="A1282" s="57" t="s">
        <v>236</v>
      </c>
      <c r="B1282" s="57" t="s">
        <v>244</v>
      </c>
      <c r="C1282" s="57" t="s">
        <v>245</v>
      </c>
      <c r="D1282" s="58">
        <v>33.659999999999997</v>
      </c>
      <c r="E1282" s="59">
        <v>41067</v>
      </c>
      <c r="F1282" s="58">
        <v>15105</v>
      </c>
      <c r="G1282" s="58">
        <v>2490</v>
      </c>
      <c r="H1282" s="58">
        <v>2392</v>
      </c>
      <c r="I1282" s="58">
        <v>15209</v>
      </c>
      <c r="J1282" s="58">
        <v>0</v>
      </c>
      <c r="K1282" s="1">
        <f t="shared" si="134"/>
        <v>80514.719999999987</v>
      </c>
      <c r="L1282" s="1">
        <f t="shared" si="135"/>
        <v>2392</v>
      </c>
      <c r="M1282" s="1">
        <f>VLOOKUP(B1282,'[1]Срок Годности'!$A$2:$B$4,2,0)</f>
        <v>1500</v>
      </c>
      <c r="N1282" s="60">
        <f t="shared" si="136"/>
        <v>2490</v>
      </c>
      <c r="O1282" s="1" t="str">
        <f t="shared" si="137"/>
        <v>23 2012</v>
      </c>
      <c r="P1282" s="1">
        <f t="shared" si="138"/>
        <v>21</v>
      </c>
      <c r="Q1282" s="1">
        <f t="shared" ca="1" si="139"/>
        <v>4066</v>
      </c>
      <c r="S1282" s="1">
        <f t="shared" si="133"/>
        <v>15209</v>
      </c>
    </row>
    <row r="1283" spans="1:19" x14ac:dyDescent="0.2">
      <c r="A1283" s="57" t="s">
        <v>236</v>
      </c>
      <c r="B1283" s="57" t="s">
        <v>244</v>
      </c>
      <c r="C1283" s="57" t="s">
        <v>245</v>
      </c>
      <c r="D1283" s="58">
        <v>33.659999999999997</v>
      </c>
      <c r="E1283" s="59">
        <v>41068</v>
      </c>
      <c r="F1283" s="58">
        <v>15209</v>
      </c>
      <c r="G1283" s="58">
        <v>1961</v>
      </c>
      <c r="H1283" s="58">
        <v>2260</v>
      </c>
      <c r="I1283" s="58">
        <v>14945</v>
      </c>
      <c r="J1283" s="58">
        <v>0</v>
      </c>
      <c r="K1283" s="1">
        <f t="shared" si="134"/>
        <v>76071.599999999991</v>
      </c>
      <c r="L1283" s="1">
        <f t="shared" si="135"/>
        <v>2260</v>
      </c>
      <c r="M1283" s="1">
        <f>VLOOKUP(B1283,'[1]Срок Годности'!$A$2:$B$4,2,0)</f>
        <v>1500</v>
      </c>
      <c r="N1283" s="60">
        <f t="shared" si="136"/>
        <v>1961</v>
      </c>
      <c r="O1283" s="1" t="str">
        <f t="shared" si="137"/>
        <v>23 2012</v>
      </c>
      <c r="P1283" s="1">
        <f t="shared" si="138"/>
        <v>21</v>
      </c>
      <c r="Q1283" s="1">
        <f t="shared" ca="1" si="139"/>
        <v>4065</v>
      </c>
      <c r="S1283" s="1">
        <f t="shared" si="133"/>
        <v>14945</v>
      </c>
    </row>
    <row r="1284" spans="1:19" x14ac:dyDescent="0.2">
      <c r="A1284" s="57" t="s">
        <v>236</v>
      </c>
      <c r="B1284" s="57" t="s">
        <v>244</v>
      </c>
      <c r="C1284" s="57" t="s">
        <v>245</v>
      </c>
      <c r="D1284" s="58">
        <v>33.659999999999997</v>
      </c>
      <c r="E1284" s="59">
        <v>41069</v>
      </c>
      <c r="F1284" s="58">
        <v>14945</v>
      </c>
      <c r="G1284" s="58">
        <v>2080</v>
      </c>
      <c r="H1284" s="58">
        <v>1633</v>
      </c>
      <c r="I1284" s="58">
        <v>15452</v>
      </c>
      <c r="J1284" s="58">
        <v>0</v>
      </c>
      <c r="K1284" s="1">
        <f t="shared" si="134"/>
        <v>54966.779999999992</v>
      </c>
      <c r="L1284" s="1">
        <f t="shared" si="135"/>
        <v>1633</v>
      </c>
      <c r="M1284" s="1">
        <f>VLOOKUP(B1284,'[1]Срок Годности'!$A$2:$B$4,2,0)</f>
        <v>1500</v>
      </c>
      <c r="N1284" s="60">
        <f t="shared" si="136"/>
        <v>2080</v>
      </c>
      <c r="O1284" s="1" t="str">
        <f t="shared" si="137"/>
        <v>23 2012</v>
      </c>
      <c r="P1284" s="1">
        <f t="shared" si="138"/>
        <v>21</v>
      </c>
      <c r="Q1284" s="1">
        <f t="shared" ca="1" si="139"/>
        <v>4064</v>
      </c>
      <c r="S1284" s="1">
        <f t="shared" si="133"/>
        <v>15452</v>
      </c>
    </row>
    <row r="1285" spans="1:19" x14ac:dyDescent="0.2">
      <c r="A1285" s="57" t="s">
        <v>236</v>
      </c>
      <c r="B1285" s="57" t="s">
        <v>244</v>
      </c>
      <c r="C1285" s="57" t="s">
        <v>245</v>
      </c>
      <c r="D1285" s="58">
        <v>33.659999999999997</v>
      </c>
      <c r="E1285" s="59">
        <v>41070</v>
      </c>
      <c r="F1285" s="58">
        <v>15452</v>
      </c>
      <c r="G1285" s="58">
        <v>877</v>
      </c>
      <c r="H1285" s="58">
        <v>1406</v>
      </c>
      <c r="I1285" s="58">
        <v>14955</v>
      </c>
      <c r="J1285" s="58">
        <v>0</v>
      </c>
      <c r="K1285" s="1">
        <f t="shared" si="134"/>
        <v>47325.959999999992</v>
      </c>
      <c r="L1285" s="1">
        <f t="shared" si="135"/>
        <v>1406</v>
      </c>
      <c r="M1285" s="1">
        <f>VLOOKUP(B1285,'[1]Срок Годности'!$A$2:$B$4,2,0)</f>
        <v>1500</v>
      </c>
      <c r="N1285" s="60">
        <f t="shared" si="136"/>
        <v>0</v>
      </c>
      <c r="O1285" s="1" t="str">
        <f t="shared" si="137"/>
        <v>24 2012</v>
      </c>
      <c r="P1285" s="1">
        <f t="shared" si="138"/>
        <v>21</v>
      </c>
      <c r="Q1285" s="1">
        <f t="shared" ca="1" si="139"/>
        <v>4063</v>
      </c>
      <c r="S1285" s="1">
        <f t="shared" si="133"/>
        <v>14955</v>
      </c>
    </row>
    <row r="1286" spans="1:19" x14ac:dyDescent="0.2">
      <c r="A1286" s="57" t="s">
        <v>236</v>
      </c>
      <c r="B1286" s="57" t="s">
        <v>244</v>
      </c>
      <c r="C1286" s="57" t="s">
        <v>245</v>
      </c>
      <c r="D1286" s="58">
        <v>33.659999999999997</v>
      </c>
      <c r="E1286" s="59">
        <v>41071</v>
      </c>
      <c r="F1286" s="58">
        <v>14955</v>
      </c>
      <c r="G1286" s="58">
        <v>1290</v>
      </c>
      <c r="H1286" s="58">
        <v>1265</v>
      </c>
      <c r="I1286" s="58">
        <v>14977</v>
      </c>
      <c r="J1286" s="58">
        <v>0</v>
      </c>
      <c r="K1286" s="1">
        <f t="shared" si="134"/>
        <v>42579.899999999994</v>
      </c>
      <c r="L1286" s="1">
        <f t="shared" si="135"/>
        <v>1265</v>
      </c>
      <c r="M1286" s="1">
        <f>VLOOKUP(B1286,'[1]Срок Годности'!$A$2:$B$4,2,0)</f>
        <v>1500</v>
      </c>
      <c r="N1286" s="60">
        <f t="shared" si="136"/>
        <v>1290</v>
      </c>
      <c r="O1286" s="1" t="str">
        <f t="shared" si="137"/>
        <v>24 2012</v>
      </c>
      <c r="P1286" s="1">
        <f t="shared" si="138"/>
        <v>21</v>
      </c>
      <c r="Q1286" s="1">
        <f t="shared" ca="1" si="139"/>
        <v>4062</v>
      </c>
      <c r="S1286" s="1">
        <f t="shared" si="133"/>
        <v>14977</v>
      </c>
    </row>
    <row r="1287" spans="1:19" x14ac:dyDescent="0.2">
      <c r="A1287" s="57" t="s">
        <v>236</v>
      </c>
      <c r="B1287" s="57" t="s">
        <v>244</v>
      </c>
      <c r="C1287" s="57" t="s">
        <v>245</v>
      </c>
      <c r="D1287" s="58">
        <v>33.659999999999997</v>
      </c>
      <c r="E1287" s="59">
        <v>41072</v>
      </c>
      <c r="F1287" s="58">
        <v>14977</v>
      </c>
      <c r="G1287" s="58">
        <v>1837</v>
      </c>
      <c r="H1287" s="58">
        <v>1189</v>
      </c>
      <c r="I1287" s="58">
        <v>15584</v>
      </c>
      <c r="J1287" s="58">
        <v>0</v>
      </c>
      <c r="K1287" s="1">
        <f t="shared" si="134"/>
        <v>40021.74</v>
      </c>
      <c r="L1287" s="1">
        <f t="shared" si="135"/>
        <v>1189</v>
      </c>
      <c r="M1287" s="1">
        <f>VLOOKUP(B1287,'[1]Срок Годности'!$A$2:$B$4,2,0)</f>
        <v>1500</v>
      </c>
      <c r="N1287" s="60">
        <f t="shared" si="136"/>
        <v>1837</v>
      </c>
      <c r="O1287" s="1" t="str">
        <f t="shared" si="137"/>
        <v>24 2012</v>
      </c>
      <c r="P1287" s="1">
        <f t="shared" si="138"/>
        <v>21</v>
      </c>
      <c r="Q1287" s="1">
        <f t="shared" ca="1" si="139"/>
        <v>4061</v>
      </c>
      <c r="S1287" s="1">
        <f t="shared" ref="S1287:S1350" si="140">I1287-J1287</f>
        <v>15584</v>
      </c>
    </row>
    <row r="1288" spans="1:19" x14ac:dyDescent="0.2">
      <c r="A1288" s="57" t="s">
        <v>236</v>
      </c>
      <c r="B1288" s="57" t="s">
        <v>244</v>
      </c>
      <c r="C1288" s="57" t="s">
        <v>245</v>
      </c>
      <c r="D1288" s="58">
        <v>33.659999999999997</v>
      </c>
      <c r="E1288" s="59">
        <v>41073</v>
      </c>
      <c r="F1288" s="58">
        <v>15584</v>
      </c>
      <c r="G1288" s="58">
        <v>2298</v>
      </c>
      <c r="H1288" s="58">
        <v>1430</v>
      </c>
      <c r="I1288" s="58">
        <v>16451</v>
      </c>
      <c r="J1288" s="58">
        <v>0</v>
      </c>
      <c r="K1288" s="1">
        <f t="shared" ref="K1288:K1351" si="141">H1288*D1288</f>
        <v>48133.799999999996</v>
      </c>
      <c r="L1288" s="1">
        <f t="shared" ref="L1288:L1351" si="142">IF(H1288&gt;1000,H1288,"")</f>
        <v>1430</v>
      </c>
      <c r="M1288" s="1">
        <f>VLOOKUP(B1288,'[1]Срок Годности'!$A$2:$B$4,2,0)</f>
        <v>1500</v>
      </c>
      <c r="N1288" s="60">
        <f t="shared" ref="N1288:N1351" si="143">IF(WEEKDAY(E1288) = 1, 0, G1288)</f>
        <v>2298</v>
      </c>
      <c r="O1288" s="1" t="str">
        <f t="shared" ref="O1288:O1351" si="144">WEEKNUM(E1288) &amp; " " &amp; YEAR(E1288)</f>
        <v>24 2012</v>
      </c>
      <c r="P1288" s="1">
        <f t="shared" ref="P1288:P1351" si="145">LEN(C1288)</f>
        <v>21</v>
      </c>
      <c r="Q1288" s="1">
        <f t="shared" ref="Q1288:Q1351" ca="1" si="146">DATEDIF(E1288,NOW(),"D")</f>
        <v>4060</v>
      </c>
      <c r="S1288" s="1">
        <f t="shared" si="140"/>
        <v>16451</v>
      </c>
    </row>
    <row r="1289" spans="1:19" x14ac:dyDescent="0.2">
      <c r="A1289" s="57" t="s">
        <v>236</v>
      </c>
      <c r="B1289" s="57" t="s">
        <v>244</v>
      </c>
      <c r="C1289" s="57" t="s">
        <v>245</v>
      </c>
      <c r="D1289" s="58">
        <v>33.659999999999997</v>
      </c>
      <c r="E1289" s="59">
        <v>41074</v>
      </c>
      <c r="F1289" s="58">
        <v>16451</v>
      </c>
      <c r="G1289" s="58">
        <v>1222</v>
      </c>
      <c r="H1289" s="58">
        <v>1297</v>
      </c>
      <c r="I1289" s="58">
        <v>16393</v>
      </c>
      <c r="J1289" s="58">
        <v>0</v>
      </c>
      <c r="K1289" s="1">
        <f t="shared" si="141"/>
        <v>43657.02</v>
      </c>
      <c r="L1289" s="1">
        <f t="shared" si="142"/>
        <v>1297</v>
      </c>
      <c r="M1289" s="1">
        <f>VLOOKUP(B1289,'[1]Срок Годности'!$A$2:$B$4,2,0)</f>
        <v>1500</v>
      </c>
      <c r="N1289" s="60">
        <f t="shared" si="143"/>
        <v>1222</v>
      </c>
      <c r="O1289" s="1" t="str">
        <f t="shared" si="144"/>
        <v>24 2012</v>
      </c>
      <c r="P1289" s="1">
        <f t="shared" si="145"/>
        <v>21</v>
      </c>
      <c r="Q1289" s="1">
        <f t="shared" ca="1" si="146"/>
        <v>4059</v>
      </c>
      <c r="S1289" s="1">
        <f t="shared" si="140"/>
        <v>16393</v>
      </c>
    </row>
    <row r="1290" spans="1:19" x14ac:dyDescent="0.2">
      <c r="A1290" s="57" t="s">
        <v>236</v>
      </c>
      <c r="B1290" s="57" t="s">
        <v>244</v>
      </c>
      <c r="C1290" s="57" t="s">
        <v>245</v>
      </c>
      <c r="D1290" s="58">
        <v>33.659999999999997</v>
      </c>
      <c r="E1290" s="59">
        <v>41075</v>
      </c>
      <c r="F1290" s="58">
        <v>16393</v>
      </c>
      <c r="G1290" s="58">
        <v>1546</v>
      </c>
      <c r="H1290" s="58">
        <v>1361</v>
      </c>
      <c r="I1290" s="58">
        <v>16588</v>
      </c>
      <c r="J1290" s="58">
        <v>0</v>
      </c>
      <c r="K1290" s="1">
        <f t="shared" si="141"/>
        <v>45811.259999999995</v>
      </c>
      <c r="L1290" s="1">
        <f t="shared" si="142"/>
        <v>1361</v>
      </c>
      <c r="M1290" s="1">
        <f>VLOOKUP(B1290,'[1]Срок Годности'!$A$2:$B$4,2,0)</f>
        <v>1500</v>
      </c>
      <c r="N1290" s="60">
        <f t="shared" si="143"/>
        <v>1546</v>
      </c>
      <c r="O1290" s="1" t="str">
        <f t="shared" si="144"/>
        <v>24 2012</v>
      </c>
      <c r="P1290" s="1">
        <f t="shared" si="145"/>
        <v>21</v>
      </c>
      <c r="Q1290" s="1">
        <f t="shared" ca="1" si="146"/>
        <v>4058</v>
      </c>
      <c r="S1290" s="1">
        <f t="shared" si="140"/>
        <v>16588</v>
      </c>
    </row>
    <row r="1291" spans="1:19" x14ac:dyDescent="0.2">
      <c r="A1291" s="57" t="s">
        <v>236</v>
      </c>
      <c r="B1291" s="57" t="s">
        <v>244</v>
      </c>
      <c r="C1291" s="57" t="s">
        <v>245</v>
      </c>
      <c r="D1291" s="58">
        <v>33.659999999999997</v>
      </c>
      <c r="E1291" s="59">
        <v>41076</v>
      </c>
      <c r="F1291" s="58">
        <v>16588</v>
      </c>
      <c r="G1291" s="58">
        <v>966</v>
      </c>
      <c r="H1291" s="58">
        <v>1461</v>
      </c>
      <c r="I1291" s="58">
        <v>16091</v>
      </c>
      <c r="J1291" s="58">
        <v>0</v>
      </c>
      <c r="K1291" s="1">
        <f t="shared" si="141"/>
        <v>49177.259999999995</v>
      </c>
      <c r="L1291" s="1">
        <f t="shared" si="142"/>
        <v>1461</v>
      </c>
      <c r="M1291" s="1">
        <f>VLOOKUP(B1291,'[1]Срок Годности'!$A$2:$B$4,2,0)</f>
        <v>1500</v>
      </c>
      <c r="N1291" s="60">
        <f t="shared" si="143"/>
        <v>966</v>
      </c>
      <c r="O1291" s="1" t="str">
        <f t="shared" si="144"/>
        <v>24 2012</v>
      </c>
      <c r="P1291" s="1">
        <f t="shared" si="145"/>
        <v>21</v>
      </c>
      <c r="Q1291" s="1">
        <f t="shared" ca="1" si="146"/>
        <v>4057</v>
      </c>
      <c r="S1291" s="1">
        <f t="shared" si="140"/>
        <v>16091</v>
      </c>
    </row>
    <row r="1292" spans="1:19" x14ac:dyDescent="0.2">
      <c r="A1292" s="57" t="s">
        <v>236</v>
      </c>
      <c r="B1292" s="57" t="s">
        <v>244</v>
      </c>
      <c r="C1292" s="57" t="s">
        <v>245</v>
      </c>
      <c r="D1292" s="58">
        <v>33.659999999999997</v>
      </c>
      <c r="E1292" s="59">
        <v>41077</v>
      </c>
      <c r="F1292" s="58">
        <v>16091</v>
      </c>
      <c r="G1292" s="58">
        <v>1368</v>
      </c>
      <c r="H1292" s="58">
        <v>2061</v>
      </c>
      <c r="I1292" s="58">
        <v>15398</v>
      </c>
      <c r="J1292" s="58">
        <v>0</v>
      </c>
      <c r="K1292" s="1">
        <f t="shared" si="141"/>
        <v>69373.259999999995</v>
      </c>
      <c r="L1292" s="1">
        <f t="shared" si="142"/>
        <v>2061</v>
      </c>
      <c r="M1292" s="1">
        <f>VLOOKUP(B1292,'[1]Срок Годности'!$A$2:$B$4,2,0)</f>
        <v>1500</v>
      </c>
      <c r="N1292" s="60">
        <f t="shared" si="143"/>
        <v>0</v>
      </c>
      <c r="O1292" s="1" t="str">
        <f t="shared" si="144"/>
        <v>25 2012</v>
      </c>
      <c r="P1292" s="1">
        <f t="shared" si="145"/>
        <v>21</v>
      </c>
      <c r="Q1292" s="1">
        <f t="shared" ca="1" si="146"/>
        <v>4056</v>
      </c>
      <c r="S1292" s="1">
        <f t="shared" si="140"/>
        <v>15398</v>
      </c>
    </row>
    <row r="1293" spans="1:19" x14ac:dyDescent="0.2">
      <c r="A1293" s="57" t="s">
        <v>236</v>
      </c>
      <c r="B1293" s="57" t="s">
        <v>244</v>
      </c>
      <c r="C1293" s="57" t="s">
        <v>245</v>
      </c>
      <c r="D1293" s="58">
        <v>33.659999999999997</v>
      </c>
      <c r="E1293" s="59">
        <v>41078</v>
      </c>
      <c r="F1293" s="58">
        <v>15398</v>
      </c>
      <c r="G1293" s="58">
        <v>1709</v>
      </c>
      <c r="H1293" s="58">
        <v>2153</v>
      </c>
      <c r="I1293" s="58">
        <v>14953</v>
      </c>
      <c r="J1293" s="58">
        <v>0</v>
      </c>
      <c r="K1293" s="1">
        <f t="shared" si="141"/>
        <v>72469.98</v>
      </c>
      <c r="L1293" s="1">
        <f t="shared" si="142"/>
        <v>2153</v>
      </c>
      <c r="M1293" s="1">
        <f>VLOOKUP(B1293,'[1]Срок Годности'!$A$2:$B$4,2,0)</f>
        <v>1500</v>
      </c>
      <c r="N1293" s="60">
        <f t="shared" si="143"/>
        <v>1709</v>
      </c>
      <c r="O1293" s="1" t="str">
        <f t="shared" si="144"/>
        <v>25 2012</v>
      </c>
      <c r="P1293" s="1">
        <f t="shared" si="145"/>
        <v>21</v>
      </c>
      <c r="Q1293" s="1">
        <f t="shared" ca="1" si="146"/>
        <v>4055</v>
      </c>
      <c r="S1293" s="1">
        <f t="shared" si="140"/>
        <v>14953</v>
      </c>
    </row>
    <row r="1294" spans="1:19" x14ac:dyDescent="0.2">
      <c r="A1294" s="57" t="s">
        <v>236</v>
      </c>
      <c r="B1294" s="57" t="s">
        <v>244</v>
      </c>
      <c r="C1294" s="57" t="s">
        <v>245</v>
      </c>
      <c r="D1294" s="58">
        <v>33.659999999999997</v>
      </c>
      <c r="E1294" s="59">
        <v>41079</v>
      </c>
      <c r="F1294" s="58">
        <v>14953</v>
      </c>
      <c r="G1294" s="58">
        <v>2006</v>
      </c>
      <c r="H1294" s="58">
        <v>2428</v>
      </c>
      <c r="I1294" s="58">
        <v>14540</v>
      </c>
      <c r="J1294" s="58">
        <v>0</v>
      </c>
      <c r="K1294" s="1">
        <f t="shared" si="141"/>
        <v>81726.48</v>
      </c>
      <c r="L1294" s="1">
        <f t="shared" si="142"/>
        <v>2428</v>
      </c>
      <c r="M1294" s="1">
        <f>VLOOKUP(B1294,'[1]Срок Годности'!$A$2:$B$4,2,0)</f>
        <v>1500</v>
      </c>
      <c r="N1294" s="60">
        <f t="shared" si="143"/>
        <v>2006</v>
      </c>
      <c r="O1294" s="1" t="str">
        <f t="shared" si="144"/>
        <v>25 2012</v>
      </c>
      <c r="P1294" s="1">
        <f t="shared" si="145"/>
        <v>21</v>
      </c>
      <c r="Q1294" s="1">
        <f t="shared" ca="1" si="146"/>
        <v>4054</v>
      </c>
      <c r="S1294" s="1">
        <f t="shared" si="140"/>
        <v>14540</v>
      </c>
    </row>
    <row r="1295" spans="1:19" x14ac:dyDescent="0.2">
      <c r="A1295" s="57" t="s">
        <v>236</v>
      </c>
      <c r="B1295" s="57" t="s">
        <v>244</v>
      </c>
      <c r="C1295" s="57" t="s">
        <v>245</v>
      </c>
      <c r="D1295" s="58">
        <v>33.659999999999997</v>
      </c>
      <c r="E1295" s="59">
        <v>41080</v>
      </c>
      <c r="F1295" s="58">
        <v>14540</v>
      </c>
      <c r="G1295" s="58">
        <v>1903</v>
      </c>
      <c r="H1295" s="58">
        <v>2738</v>
      </c>
      <c r="I1295" s="58">
        <v>13849</v>
      </c>
      <c r="J1295" s="58">
        <v>0</v>
      </c>
      <c r="K1295" s="1">
        <f t="shared" si="141"/>
        <v>92161.079999999987</v>
      </c>
      <c r="L1295" s="1">
        <f t="shared" si="142"/>
        <v>2738</v>
      </c>
      <c r="M1295" s="1">
        <f>VLOOKUP(B1295,'[1]Срок Годности'!$A$2:$B$4,2,0)</f>
        <v>1500</v>
      </c>
      <c r="N1295" s="60">
        <f t="shared" si="143"/>
        <v>1903</v>
      </c>
      <c r="O1295" s="1" t="str">
        <f t="shared" si="144"/>
        <v>25 2012</v>
      </c>
      <c r="P1295" s="1">
        <f t="shared" si="145"/>
        <v>21</v>
      </c>
      <c r="Q1295" s="1">
        <f t="shared" ca="1" si="146"/>
        <v>4053</v>
      </c>
      <c r="S1295" s="1">
        <f t="shared" si="140"/>
        <v>13849</v>
      </c>
    </row>
    <row r="1296" spans="1:19" x14ac:dyDescent="0.2">
      <c r="A1296" s="57" t="s">
        <v>236</v>
      </c>
      <c r="B1296" s="57" t="s">
        <v>244</v>
      </c>
      <c r="C1296" s="57" t="s">
        <v>245</v>
      </c>
      <c r="D1296" s="58">
        <v>33.659999999999997</v>
      </c>
      <c r="E1296" s="59">
        <v>41081</v>
      </c>
      <c r="F1296" s="58">
        <v>13849</v>
      </c>
      <c r="G1296" s="58">
        <v>2777</v>
      </c>
      <c r="H1296" s="58">
        <v>2696</v>
      </c>
      <c r="I1296" s="58">
        <v>13976</v>
      </c>
      <c r="J1296" s="58">
        <v>0</v>
      </c>
      <c r="K1296" s="1">
        <f t="shared" si="141"/>
        <v>90747.359999999986</v>
      </c>
      <c r="L1296" s="1">
        <f t="shared" si="142"/>
        <v>2696</v>
      </c>
      <c r="M1296" s="1">
        <f>VLOOKUP(B1296,'[1]Срок Годности'!$A$2:$B$4,2,0)</f>
        <v>1500</v>
      </c>
      <c r="N1296" s="60">
        <f t="shared" si="143"/>
        <v>2777</v>
      </c>
      <c r="O1296" s="1" t="str">
        <f t="shared" si="144"/>
        <v>25 2012</v>
      </c>
      <c r="P1296" s="1">
        <f t="shared" si="145"/>
        <v>21</v>
      </c>
      <c r="Q1296" s="1">
        <f t="shared" ca="1" si="146"/>
        <v>4052</v>
      </c>
      <c r="S1296" s="1">
        <f t="shared" si="140"/>
        <v>13976</v>
      </c>
    </row>
    <row r="1297" spans="1:19" x14ac:dyDescent="0.2">
      <c r="A1297" s="57" t="s">
        <v>236</v>
      </c>
      <c r="B1297" s="57" t="s">
        <v>244</v>
      </c>
      <c r="C1297" s="57" t="s">
        <v>245</v>
      </c>
      <c r="D1297" s="58">
        <v>33.659999999999997</v>
      </c>
      <c r="E1297" s="59">
        <v>41082</v>
      </c>
      <c r="F1297" s="58">
        <v>13976</v>
      </c>
      <c r="G1297" s="58">
        <v>4182</v>
      </c>
      <c r="H1297" s="58">
        <v>2257</v>
      </c>
      <c r="I1297" s="58">
        <v>15880</v>
      </c>
      <c r="J1297" s="58">
        <v>0</v>
      </c>
      <c r="K1297" s="1">
        <f t="shared" si="141"/>
        <v>75970.62</v>
      </c>
      <c r="L1297" s="1">
        <f t="shared" si="142"/>
        <v>2257</v>
      </c>
      <c r="M1297" s="1">
        <f>VLOOKUP(B1297,'[1]Срок Годности'!$A$2:$B$4,2,0)</f>
        <v>1500</v>
      </c>
      <c r="N1297" s="60">
        <f t="shared" si="143"/>
        <v>4182</v>
      </c>
      <c r="O1297" s="1" t="str">
        <f t="shared" si="144"/>
        <v>25 2012</v>
      </c>
      <c r="P1297" s="1">
        <f t="shared" si="145"/>
        <v>21</v>
      </c>
      <c r="Q1297" s="1">
        <f t="shared" ca="1" si="146"/>
        <v>4051</v>
      </c>
      <c r="S1297" s="1">
        <f t="shared" si="140"/>
        <v>15880</v>
      </c>
    </row>
    <row r="1298" spans="1:19" x14ac:dyDescent="0.2">
      <c r="A1298" s="57" t="s">
        <v>236</v>
      </c>
      <c r="B1298" s="57" t="s">
        <v>244</v>
      </c>
      <c r="C1298" s="57" t="s">
        <v>245</v>
      </c>
      <c r="D1298" s="58">
        <v>33.659999999999997</v>
      </c>
      <c r="E1298" s="59">
        <v>41083</v>
      </c>
      <c r="F1298" s="58">
        <v>15880</v>
      </c>
      <c r="G1298" s="58">
        <v>3450</v>
      </c>
      <c r="H1298" s="58">
        <v>2191</v>
      </c>
      <c r="I1298" s="58">
        <v>17136</v>
      </c>
      <c r="J1298" s="58">
        <v>0</v>
      </c>
      <c r="K1298" s="1">
        <f t="shared" si="141"/>
        <v>73749.06</v>
      </c>
      <c r="L1298" s="1">
        <f t="shared" si="142"/>
        <v>2191</v>
      </c>
      <c r="M1298" s="1">
        <f>VLOOKUP(B1298,'[1]Срок Годности'!$A$2:$B$4,2,0)</f>
        <v>1500</v>
      </c>
      <c r="N1298" s="60">
        <f t="shared" si="143"/>
        <v>3450</v>
      </c>
      <c r="O1298" s="1" t="str">
        <f t="shared" si="144"/>
        <v>25 2012</v>
      </c>
      <c r="P1298" s="1">
        <f t="shared" si="145"/>
        <v>21</v>
      </c>
      <c r="Q1298" s="1">
        <f t="shared" ca="1" si="146"/>
        <v>4050</v>
      </c>
      <c r="S1298" s="1">
        <f t="shared" si="140"/>
        <v>17136</v>
      </c>
    </row>
    <row r="1299" spans="1:19" x14ac:dyDescent="0.2">
      <c r="A1299" s="57" t="s">
        <v>236</v>
      </c>
      <c r="B1299" s="57" t="s">
        <v>244</v>
      </c>
      <c r="C1299" s="57" t="s">
        <v>245</v>
      </c>
      <c r="D1299" s="58">
        <v>33.659999999999997</v>
      </c>
      <c r="E1299" s="59">
        <v>41084</v>
      </c>
      <c r="F1299" s="58">
        <v>17136</v>
      </c>
      <c r="G1299" s="58">
        <v>2004</v>
      </c>
      <c r="H1299" s="58">
        <v>2533</v>
      </c>
      <c r="I1299" s="58">
        <v>16631</v>
      </c>
      <c r="J1299" s="58">
        <v>0</v>
      </c>
      <c r="K1299" s="1">
        <f t="shared" si="141"/>
        <v>85260.779999999984</v>
      </c>
      <c r="L1299" s="1">
        <f t="shared" si="142"/>
        <v>2533</v>
      </c>
      <c r="M1299" s="1">
        <f>VLOOKUP(B1299,'[1]Срок Годности'!$A$2:$B$4,2,0)</f>
        <v>1500</v>
      </c>
      <c r="N1299" s="60">
        <f t="shared" si="143"/>
        <v>0</v>
      </c>
      <c r="O1299" s="1" t="str">
        <f t="shared" si="144"/>
        <v>26 2012</v>
      </c>
      <c r="P1299" s="1">
        <f t="shared" si="145"/>
        <v>21</v>
      </c>
      <c r="Q1299" s="1">
        <f t="shared" ca="1" si="146"/>
        <v>4049</v>
      </c>
      <c r="S1299" s="1">
        <f t="shared" si="140"/>
        <v>16631</v>
      </c>
    </row>
    <row r="1300" spans="1:19" x14ac:dyDescent="0.2">
      <c r="A1300" s="57" t="s">
        <v>236</v>
      </c>
      <c r="B1300" s="57" t="s">
        <v>244</v>
      </c>
      <c r="C1300" s="57" t="s">
        <v>245</v>
      </c>
      <c r="D1300" s="58">
        <v>33.659999999999997</v>
      </c>
      <c r="E1300" s="59">
        <v>41085</v>
      </c>
      <c r="F1300" s="58">
        <v>16631</v>
      </c>
      <c r="G1300" s="58">
        <v>1612</v>
      </c>
      <c r="H1300" s="58">
        <v>3206</v>
      </c>
      <c r="I1300" s="58">
        <v>15018</v>
      </c>
      <c r="J1300" s="58">
        <v>0</v>
      </c>
      <c r="K1300" s="1">
        <f t="shared" si="141"/>
        <v>107913.95999999999</v>
      </c>
      <c r="L1300" s="1">
        <f t="shared" si="142"/>
        <v>3206</v>
      </c>
      <c r="M1300" s="1">
        <f>VLOOKUP(B1300,'[1]Срок Годности'!$A$2:$B$4,2,0)</f>
        <v>1500</v>
      </c>
      <c r="N1300" s="60">
        <f t="shared" si="143"/>
        <v>1612</v>
      </c>
      <c r="O1300" s="1" t="str">
        <f t="shared" si="144"/>
        <v>26 2012</v>
      </c>
      <c r="P1300" s="1">
        <f t="shared" si="145"/>
        <v>21</v>
      </c>
      <c r="Q1300" s="1">
        <f t="shared" ca="1" si="146"/>
        <v>4048</v>
      </c>
      <c r="S1300" s="1">
        <f t="shared" si="140"/>
        <v>15018</v>
      </c>
    </row>
    <row r="1301" spans="1:19" x14ac:dyDescent="0.2">
      <c r="A1301" s="57" t="s">
        <v>236</v>
      </c>
      <c r="B1301" s="57" t="s">
        <v>244</v>
      </c>
      <c r="C1301" s="57" t="s">
        <v>245</v>
      </c>
      <c r="D1301" s="58">
        <v>33.659999999999997</v>
      </c>
      <c r="E1301" s="59">
        <v>41086</v>
      </c>
      <c r="F1301" s="58">
        <v>15018</v>
      </c>
      <c r="G1301" s="58">
        <v>2166</v>
      </c>
      <c r="H1301" s="58">
        <v>2902</v>
      </c>
      <c r="I1301" s="58">
        <v>14261</v>
      </c>
      <c r="J1301" s="58">
        <v>0</v>
      </c>
      <c r="K1301" s="1">
        <f t="shared" si="141"/>
        <v>97681.319999999992</v>
      </c>
      <c r="L1301" s="1">
        <f t="shared" si="142"/>
        <v>2902</v>
      </c>
      <c r="M1301" s="1">
        <f>VLOOKUP(B1301,'[1]Срок Годности'!$A$2:$B$4,2,0)</f>
        <v>1500</v>
      </c>
      <c r="N1301" s="60">
        <f t="shared" si="143"/>
        <v>2166</v>
      </c>
      <c r="O1301" s="1" t="str">
        <f t="shared" si="144"/>
        <v>26 2012</v>
      </c>
      <c r="P1301" s="1">
        <f t="shared" si="145"/>
        <v>21</v>
      </c>
      <c r="Q1301" s="1">
        <f t="shared" ca="1" si="146"/>
        <v>4047</v>
      </c>
      <c r="S1301" s="1">
        <f t="shared" si="140"/>
        <v>14261</v>
      </c>
    </row>
    <row r="1302" spans="1:19" x14ac:dyDescent="0.2">
      <c r="A1302" s="57" t="s">
        <v>236</v>
      </c>
      <c r="B1302" s="57" t="s">
        <v>244</v>
      </c>
      <c r="C1302" s="57" t="s">
        <v>245</v>
      </c>
      <c r="D1302" s="58">
        <v>33.659999999999997</v>
      </c>
      <c r="E1302" s="59">
        <v>41087</v>
      </c>
      <c r="F1302" s="58">
        <v>14261</v>
      </c>
      <c r="G1302" s="58">
        <v>5389</v>
      </c>
      <c r="H1302" s="58">
        <v>3358</v>
      </c>
      <c r="I1302" s="58">
        <v>16272</v>
      </c>
      <c r="J1302" s="58">
        <v>0</v>
      </c>
      <c r="K1302" s="1">
        <f t="shared" si="141"/>
        <v>113030.27999999998</v>
      </c>
      <c r="L1302" s="1">
        <f t="shared" si="142"/>
        <v>3358</v>
      </c>
      <c r="M1302" s="1">
        <f>VLOOKUP(B1302,'[1]Срок Годности'!$A$2:$B$4,2,0)</f>
        <v>1500</v>
      </c>
      <c r="N1302" s="60">
        <f t="shared" si="143"/>
        <v>5389</v>
      </c>
      <c r="O1302" s="1" t="str">
        <f t="shared" si="144"/>
        <v>26 2012</v>
      </c>
      <c r="P1302" s="1">
        <f t="shared" si="145"/>
        <v>21</v>
      </c>
      <c r="Q1302" s="1">
        <f t="shared" ca="1" si="146"/>
        <v>4046</v>
      </c>
      <c r="S1302" s="1">
        <f t="shared" si="140"/>
        <v>16272</v>
      </c>
    </row>
    <row r="1303" spans="1:19" x14ac:dyDescent="0.2">
      <c r="A1303" s="57" t="s">
        <v>236</v>
      </c>
      <c r="B1303" s="57" t="s">
        <v>244</v>
      </c>
      <c r="C1303" s="57" t="s">
        <v>245</v>
      </c>
      <c r="D1303" s="58">
        <v>33.659999999999997</v>
      </c>
      <c r="E1303" s="59">
        <v>41088</v>
      </c>
      <c r="F1303" s="58">
        <v>16272</v>
      </c>
      <c r="G1303" s="58">
        <v>3492</v>
      </c>
      <c r="H1303" s="58">
        <v>3213</v>
      </c>
      <c r="I1303" s="58">
        <v>16542</v>
      </c>
      <c r="J1303" s="58">
        <v>0</v>
      </c>
      <c r="K1303" s="1">
        <f t="shared" si="141"/>
        <v>108149.57999999999</v>
      </c>
      <c r="L1303" s="1">
        <f t="shared" si="142"/>
        <v>3213</v>
      </c>
      <c r="M1303" s="1">
        <f>VLOOKUP(B1303,'[1]Срок Годности'!$A$2:$B$4,2,0)</f>
        <v>1500</v>
      </c>
      <c r="N1303" s="60">
        <f t="shared" si="143"/>
        <v>3492</v>
      </c>
      <c r="O1303" s="1" t="str">
        <f t="shared" si="144"/>
        <v>26 2012</v>
      </c>
      <c r="P1303" s="1">
        <f t="shared" si="145"/>
        <v>21</v>
      </c>
      <c r="Q1303" s="1">
        <f t="shared" ca="1" si="146"/>
        <v>4045</v>
      </c>
      <c r="S1303" s="1">
        <f t="shared" si="140"/>
        <v>16542</v>
      </c>
    </row>
    <row r="1304" spans="1:19" x14ac:dyDescent="0.2">
      <c r="A1304" s="57" t="s">
        <v>236</v>
      </c>
      <c r="B1304" s="57" t="s">
        <v>244</v>
      </c>
      <c r="C1304" s="57" t="s">
        <v>245</v>
      </c>
      <c r="D1304" s="58">
        <v>33.659999999999997</v>
      </c>
      <c r="E1304" s="59">
        <v>41089</v>
      </c>
      <c r="F1304" s="58">
        <v>16542</v>
      </c>
      <c r="G1304" s="58">
        <v>3754</v>
      </c>
      <c r="H1304" s="58">
        <v>3401</v>
      </c>
      <c r="I1304" s="58">
        <v>16898</v>
      </c>
      <c r="J1304" s="58">
        <v>0</v>
      </c>
      <c r="K1304" s="1">
        <f t="shared" si="141"/>
        <v>114477.65999999999</v>
      </c>
      <c r="L1304" s="1">
        <f t="shared" si="142"/>
        <v>3401</v>
      </c>
      <c r="M1304" s="1">
        <f>VLOOKUP(B1304,'[1]Срок Годности'!$A$2:$B$4,2,0)</f>
        <v>1500</v>
      </c>
      <c r="N1304" s="60">
        <f t="shared" si="143"/>
        <v>3754</v>
      </c>
      <c r="O1304" s="1" t="str">
        <f t="shared" si="144"/>
        <v>26 2012</v>
      </c>
      <c r="P1304" s="1">
        <f t="shared" si="145"/>
        <v>21</v>
      </c>
      <c r="Q1304" s="1">
        <f t="shared" ca="1" si="146"/>
        <v>4044</v>
      </c>
      <c r="S1304" s="1">
        <f t="shared" si="140"/>
        <v>16898</v>
      </c>
    </row>
    <row r="1305" spans="1:19" x14ac:dyDescent="0.2">
      <c r="A1305" s="57" t="s">
        <v>236</v>
      </c>
      <c r="B1305" s="57" t="s">
        <v>244</v>
      </c>
      <c r="C1305" s="57" t="s">
        <v>245</v>
      </c>
      <c r="D1305" s="58">
        <v>33.659999999999997</v>
      </c>
      <c r="E1305" s="59">
        <v>41090</v>
      </c>
      <c r="F1305" s="58">
        <v>16898</v>
      </c>
      <c r="G1305" s="58">
        <v>4596</v>
      </c>
      <c r="H1305" s="58">
        <v>3307</v>
      </c>
      <c r="I1305" s="58">
        <v>18161</v>
      </c>
      <c r="J1305" s="58">
        <v>0</v>
      </c>
      <c r="K1305" s="1">
        <f t="shared" si="141"/>
        <v>111313.62</v>
      </c>
      <c r="L1305" s="1">
        <f t="shared" si="142"/>
        <v>3307</v>
      </c>
      <c r="M1305" s="1">
        <f>VLOOKUP(B1305,'[1]Срок Годности'!$A$2:$B$4,2,0)</f>
        <v>1500</v>
      </c>
      <c r="N1305" s="60">
        <f t="shared" si="143"/>
        <v>4596</v>
      </c>
      <c r="O1305" s="1" t="str">
        <f t="shared" si="144"/>
        <v>26 2012</v>
      </c>
      <c r="P1305" s="1">
        <f t="shared" si="145"/>
        <v>21</v>
      </c>
      <c r="Q1305" s="1">
        <f t="shared" ca="1" si="146"/>
        <v>4043</v>
      </c>
      <c r="S1305" s="1">
        <f t="shared" si="140"/>
        <v>18161</v>
      </c>
    </row>
    <row r="1306" spans="1:19" x14ac:dyDescent="0.2">
      <c r="A1306" s="57" t="s">
        <v>236</v>
      </c>
      <c r="B1306" s="57" t="s">
        <v>244</v>
      </c>
      <c r="C1306" s="57" t="s">
        <v>245</v>
      </c>
      <c r="D1306" s="58">
        <v>33.659999999999997</v>
      </c>
      <c r="E1306" s="59">
        <v>41091</v>
      </c>
      <c r="F1306" s="58">
        <v>18161</v>
      </c>
      <c r="G1306" s="58">
        <v>4295</v>
      </c>
      <c r="H1306" s="58">
        <v>4791</v>
      </c>
      <c r="I1306" s="58">
        <v>17662</v>
      </c>
      <c r="J1306" s="58">
        <v>0</v>
      </c>
      <c r="K1306" s="1">
        <f t="shared" si="141"/>
        <v>161265.06</v>
      </c>
      <c r="L1306" s="1">
        <f t="shared" si="142"/>
        <v>4791</v>
      </c>
      <c r="M1306" s="1">
        <f>VLOOKUP(B1306,'[1]Срок Годности'!$A$2:$B$4,2,0)</f>
        <v>1500</v>
      </c>
      <c r="N1306" s="60">
        <f t="shared" si="143"/>
        <v>0</v>
      </c>
      <c r="O1306" s="1" t="str">
        <f t="shared" si="144"/>
        <v>27 2012</v>
      </c>
      <c r="P1306" s="1">
        <f t="shared" si="145"/>
        <v>21</v>
      </c>
      <c r="Q1306" s="1">
        <f t="shared" ca="1" si="146"/>
        <v>4042</v>
      </c>
      <c r="S1306" s="1">
        <f t="shared" si="140"/>
        <v>17662</v>
      </c>
    </row>
    <row r="1307" spans="1:19" x14ac:dyDescent="0.2">
      <c r="A1307" s="57" t="s">
        <v>236</v>
      </c>
      <c r="B1307" s="57" t="s">
        <v>244</v>
      </c>
      <c r="C1307" s="57" t="s">
        <v>245</v>
      </c>
      <c r="D1307" s="58">
        <v>33.659999999999997</v>
      </c>
      <c r="E1307" s="59">
        <v>41092</v>
      </c>
      <c r="F1307" s="58">
        <v>17662</v>
      </c>
      <c r="G1307" s="58">
        <v>4067</v>
      </c>
      <c r="H1307" s="58">
        <v>5399</v>
      </c>
      <c r="I1307" s="58">
        <v>16348</v>
      </c>
      <c r="J1307" s="58">
        <v>0</v>
      </c>
      <c r="K1307" s="1">
        <f t="shared" si="141"/>
        <v>181730.33999999997</v>
      </c>
      <c r="L1307" s="1">
        <f t="shared" si="142"/>
        <v>5399</v>
      </c>
      <c r="M1307" s="1">
        <f>VLOOKUP(B1307,'[1]Срок Годности'!$A$2:$B$4,2,0)</f>
        <v>1500</v>
      </c>
      <c r="N1307" s="60">
        <f t="shared" si="143"/>
        <v>4067</v>
      </c>
      <c r="O1307" s="1" t="str">
        <f t="shared" si="144"/>
        <v>27 2012</v>
      </c>
      <c r="P1307" s="1">
        <f t="shared" si="145"/>
        <v>21</v>
      </c>
      <c r="Q1307" s="1">
        <f t="shared" ca="1" si="146"/>
        <v>4041</v>
      </c>
      <c r="S1307" s="1">
        <f t="shared" si="140"/>
        <v>16348</v>
      </c>
    </row>
    <row r="1308" spans="1:19" x14ac:dyDescent="0.2">
      <c r="A1308" s="57" t="s">
        <v>236</v>
      </c>
      <c r="B1308" s="57" t="s">
        <v>244</v>
      </c>
      <c r="C1308" s="57" t="s">
        <v>245</v>
      </c>
      <c r="D1308" s="58">
        <v>33.659999999999997</v>
      </c>
      <c r="E1308" s="59">
        <v>41093</v>
      </c>
      <c r="F1308" s="58">
        <v>16348</v>
      </c>
      <c r="G1308" s="58">
        <v>5800</v>
      </c>
      <c r="H1308" s="58">
        <v>4955</v>
      </c>
      <c r="I1308" s="58">
        <v>17190</v>
      </c>
      <c r="J1308" s="58">
        <v>0</v>
      </c>
      <c r="K1308" s="1">
        <f t="shared" si="141"/>
        <v>166785.29999999999</v>
      </c>
      <c r="L1308" s="1">
        <f t="shared" si="142"/>
        <v>4955</v>
      </c>
      <c r="M1308" s="1">
        <f>VLOOKUP(B1308,'[1]Срок Годности'!$A$2:$B$4,2,0)</f>
        <v>1500</v>
      </c>
      <c r="N1308" s="60">
        <f t="shared" si="143"/>
        <v>5800</v>
      </c>
      <c r="O1308" s="1" t="str">
        <f t="shared" si="144"/>
        <v>27 2012</v>
      </c>
      <c r="P1308" s="1">
        <f t="shared" si="145"/>
        <v>21</v>
      </c>
      <c r="Q1308" s="1">
        <f t="shared" ca="1" si="146"/>
        <v>4040</v>
      </c>
      <c r="S1308" s="1">
        <f t="shared" si="140"/>
        <v>17190</v>
      </c>
    </row>
    <row r="1309" spans="1:19" x14ac:dyDescent="0.2">
      <c r="A1309" s="57" t="s">
        <v>236</v>
      </c>
      <c r="B1309" s="57" t="s">
        <v>244</v>
      </c>
      <c r="C1309" s="57" t="s">
        <v>245</v>
      </c>
      <c r="D1309" s="58">
        <v>33.659999999999997</v>
      </c>
      <c r="E1309" s="59">
        <v>41094</v>
      </c>
      <c r="F1309" s="58">
        <v>17190</v>
      </c>
      <c r="G1309" s="58">
        <v>7692</v>
      </c>
      <c r="H1309" s="58">
        <v>4735</v>
      </c>
      <c r="I1309" s="58">
        <v>20121</v>
      </c>
      <c r="J1309" s="58">
        <v>0</v>
      </c>
      <c r="K1309" s="1">
        <f t="shared" si="141"/>
        <v>159380.09999999998</v>
      </c>
      <c r="L1309" s="1">
        <f t="shared" si="142"/>
        <v>4735</v>
      </c>
      <c r="M1309" s="1">
        <f>VLOOKUP(B1309,'[1]Срок Годности'!$A$2:$B$4,2,0)</f>
        <v>1500</v>
      </c>
      <c r="N1309" s="60">
        <f t="shared" si="143"/>
        <v>7692</v>
      </c>
      <c r="O1309" s="1" t="str">
        <f t="shared" si="144"/>
        <v>27 2012</v>
      </c>
      <c r="P1309" s="1">
        <f t="shared" si="145"/>
        <v>21</v>
      </c>
      <c r="Q1309" s="1">
        <f t="shared" ca="1" si="146"/>
        <v>4039</v>
      </c>
      <c r="S1309" s="1">
        <f t="shared" si="140"/>
        <v>20121</v>
      </c>
    </row>
    <row r="1310" spans="1:19" x14ac:dyDescent="0.2">
      <c r="A1310" s="57" t="s">
        <v>236</v>
      </c>
      <c r="B1310" s="57" t="s">
        <v>244</v>
      </c>
      <c r="C1310" s="57" t="s">
        <v>245</v>
      </c>
      <c r="D1310" s="58">
        <v>33.659999999999997</v>
      </c>
      <c r="E1310" s="59">
        <v>41095</v>
      </c>
      <c r="F1310" s="58">
        <v>20121</v>
      </c>
      <c r="G1310" s="58">
        <v>9080</v>
      </c>
      <c r="H1310" s="58">
        <v>4923</v>
      </c>
      <c r="I1310" s="58">
        <v>24207</v>
      </c>
      <c r="J1310" s="58">
        <v>0</v>
      </c>
      <c r="K1310" s="1">
        <f t="shared" si="141"/>
        <v>165708.18</v>
      </c>
      <c r="L1310" s="1">
        <f t="shared" si="142"/>
        <v>4923</v>
      </c>
      <c r="M1310" s="1">
        <f>VLOOKUP(B1310,'[1]Срок Годности'!$A$2:$B$4,2,0)</f>
        <v>1500</v>
      </c>
      <c r="N1310" s="60">
        <f t="shared" si="143"/>
        <v>9080</v>
      </c>
      <c r="O1310" s="1" t="str">
        <f t="shared" si="144"/>
        <v>27 2012</v>
      </c>
      <c r="P1310" s="1">
        <f t="shared" si="145"/>
        <v>21</v>
      </c>
      <c r="Q1310" s="1">
        <f t="shared" ca="1" si="146"/>
        <v>4038</v>
      </c>
      <c r="S1310" s="1">
        <f t="shared" si="140"/>
        <v>24207</v>
      </c>
    </row>
    <row r="1311" spans="1:19" x14ac:dyDescent="0.2">
      <c r="A1311" s="57" t="s">
        <v>236</v>
      </c>
      <c r="B1311" s="57" t="s">
        <v>244</v>
      </c>
      <c r="C1311" s="57" t="s">
        <v>245</v>
      </c>
      <c r="D1311" s="58">
        <v>33.659999999999997</v>
      </c>
      <c r="E1311" s="59">
        <v>41096</v>
      </c>
      <c r="F1311" s="58">
        <v>24207</v>
      </c>
      <c r="G1311" s="58">
        <v>4061</v>
      </c>
      <c r="H1311" s="58">
        <v>5154</v>
      </c>
      <c r="I1311" s="58">
        <v>23154</v>
      </c>
      <c r="J1311" s="58">
        <v>0</v>
      </c>
      <c r="K1311" s="1">
        <f t="shared" si="141"/>
        <v>173483.63999999998</v>
      </c>
      <c r="L1311" s="1">
        <f t="shared" si="142"/>
        <v>5154</v>
      </c>
      <c r="M1311" s="1">
        <f>VLOOKUP(B1311,'[1]Срок Годности'!$A$2:$B$4,2,0)</f>
        <v>1500</v>
      </c>
      <c r="N1311" s="60">
        <f t="shared" si="143"/>
        <v>4061</v>
      </c>
      <c r="O1311" s="1" t="str">
        <f t="shared" si="144"/>
        <v>27 2012</v>
      </c>
      <c r="P1311" s="1">
        <f t="shared" si="145"/>
        <v>21</v>
      </c>
      <c r="Q1311" s="1">
        <f t="shared" ca="1" si="146"/>
        <v>4037</v>
      </c>
      <c r="S1311" s="1">
        <f t="shared" si="140"/>
        <v>23154</v>
      </c>
    </row>
    <row r="1312" spans="1:19" x14ac:dyDescent="0.2">
      <c r="A1312" s="57" t="s">
        <v>236</v>
      </c>
      <c r="B1312" s="57" t="s">
        <v>244</v>
      </c>
      <c r="C1312" s="57" t="s">
        <v>245</v>
      </c>
      <c r="D1312" s="58">
        <v>33.659999999999997</v>
      </c>
      <c r="E1312" s="59">
        <v>41097</v>
      </c>
      <c r="F1312" s="58">
        <v>23154</v>
      </c>
      <c r="G1312" s="58">
        <v>2268</v>
      </c>
      <c r="H1312" s="58">
        <v>4575</v>
      </c>
      <c r="I1312" s="58">
        <v>20838</v>
      </c>
      <c r="J1312" s="58">
        <v>0</v>
      </c>
      <c r="K1312" s="1">
        <f t="shared" si="141"/>
        <v>153994.49999999997</v>
      </c>
      <c r="L1312" s="1">
        <f t="shared" si="142"/>
        <v>4575</v>
      </c>
      <c r="M1312" s="1">
        <f>VLOOKUP(B1312,'[1]Срок Годности'!$A$2:$B$4,2,0)</f>
        <v>1500</v>
      </c>
      <c r="N1312" s="60">
        <f t="shared" si="143"/>
        <v>2268</v>
      </c>
      <c r="O1312" s="1" t="str">
        <f t="shared" si="144"/>
        <v>27 2012</v>
      </c>
      <c r="P1312" s="1">
        <f t="shared" si="145"/>
        <v>21</v>
      </c>
      <c r="Q1312" s="1">
        <f t="shared" ca="1" si="146"/>
        <v>4036</v>
      </c>
      <c r="S1312" s="1">
        <f t="shared" si="140"/>
        <v>20838</v>
      </c>
    </row>
    <row r="1313" spans="1:19" x14ac:dyDescent="0.2">
      <c r="A1313" s="57" t="s">
        <v>236</v>
      </c>
      <c r="B1313" s="57" t="s">
        <v>244</v>
      </c>
      <c r="C1313" s="57" t="s">
        <v>245</v>
      </c>
      <c r="D1313" s="58">
        <v>33.659999999999997</v>
      </c>
      <c r="E1313" s="59">
        <v>41098</v>
      </c>
      <c r="F1313" s="58">
        <v>20838</v>
      </c>
      <c r="G1313" s="58">
        <v>6</v>
      </c>
      <c r="H1313" s="58">
        <v>4936</v>
      </c>
      <c r="I1313" s="58">
        <v>15925</v>
      </c>
      <c r="J1313" s="58">
        <v>0</v>
      </c>
      <c r="K1313" s="1">
        <f t="shared" si="141"/>
        <v>166145.75999999998</v>
      </c>
      <c r="L1313" s="1">
        <f t="shared" si="142"/>
        <v>4936</v>
      </c>
      <c r="M1313" s="1">
        <f>VLOOKUP(B1313,'[1]Срок Годности'!$A$2:$B$4,2,0)</f>
        <v>1500</v>
      </c>
      <c r="N1313" s="60">
        <f t="shared" si="143"/>
        <v>0</v>
      </c>
      <c r="O1313" s="1" t="str">
        <f t="shared" si="144"/>
        <v>28 2012</v>
      </c>
      <c r="P1313" s="1">
        <f t="shared" si="145"/>
        <v>21</v>
      </c>
      <c r="Q1313" s="1">
        <f t="shared" ca="1" si="146"/>
        <v>4035</v>
      </c>
      <c r="S1313" s="1">
        <f t="shared" si="140"/>
        <v>15925</v>
      </c>
    </row>
    <row r="1314" spans="1:19" x14ac:dyDescent="0.2">
      <c r="A1314" s="57" t="s">
        <v>236</v>
      </c>
      <c r="B1314" s="57" t="s">
        <v>244</v>
      </c>
      <c r="C1314" s="57" t="s">
        <v>245</v>
      </c>
      <c r="D1314" s="58">
        <v>33.659999999999997</v>
      </c>
      <c r="E1314" s="59">
        <v>41099</v>
      </c>
      <c r="F1314" s="58">
        <v>15925</v>
      </c>
      <c r="G1314" s="58">
        <v>174</v>
      </c>
      <c r="H1314" s="58">
        <v>4690</v>
      </c>
      <c r="I1314" s="58">
        <v>11433</v>
      </c>
      <c r="J1314" s="58">
        <v>0</v>
      </c>
      <c r="K1314" s="1">
        <f t="shared" si="141"/>
        <v>157865.4</v>
      </c>
      <c r="L1314" s="1">
        <f t="shared" si="142"/>
        <v>4690</v>
      </c>
      <c r="M1314" s="1">
        <f>VLOOKUP(B1314,'[1]Срок Годности'!$A$2:$B$4,2,0)</f>
        <v>1500</v>
      </c>
      <c r="N1314" s="60">
        <f t="shared" si="143"/>
        <v>174</v>
      </c>
      <c r="O1314" s="1" t="str">
        <f t="shared" si="144"/>
        <v>28 2012</v>
      </c>
      <c r="P1314" s="1">
        <f t="shared" si="145"/>
        <v>21</v>
      </c>
      <c r="Q1314" s="1">
        <f t="shared" ca="1" si="146"/>
        <v>4034</v>
      </c>
      <c r="S1314" s="1">
        <f t="shared" si="140"/>
        <v>11433</v>
      </c>
    </row>
    <row r="1315" spans="1:19" x14ac:dyDescent="0.2">
      <c r="A1315" s="57" t="s">
        <v>236</v>
      </c>
      <c r="B1315" s="57" t="s">
        <v>244</v>
      </c>
      <c r="C1315" s="57" t="s">
        <v>245</v>
      </c>
      <c r="D1315" s="58">
        <v>33.659999999999997</v>
      </c>
      <c r="E1315" s="59">
        <v>41100</v>
      </c>
      <c r="F1315" s="58">
        <v>11433</v>
      </c>
      <c r="G1315" s="58">
        <v>12772</v>
      </c>
      <c r="H1315" s="58">
        <v>3558</v>
      </c>
      <c r="I1315" s="58">
        <v>20688</v>
      </c>
      <c r="J1315" s="58">
        <v>0</v>
      </c>
      <c r="K1315" s="1">
        <f t="shared" si="141"/>
        <v>119762.27999999998</v>
      </c>
      <c r="L1315" s="1">
        <f t="shared" si="142"/>
        <v>3558</v>
      </c>
      <c r="M1315" s="1">
        <f>VLOOKUP(B1315,'[1]Срок Годности'!$A$2:$B$4,2,0)</f>
        <v>1500</v>
      </c>
      <c r="N1315" s="60">
        <f t="shared" si="143"/>
        <v>12772</v>
      </c>
      <c r="O1315" s="1" t="str">
        <f t="shared" si="144"/>
        <v>28 2012</v>
      </c>
      <c r="P1315" s="1">
        <f t="shared" si="145"/>
        <v>21</v>
      </c>
      <c r="Q1315" s="1">
        <f t="shared" ca="1" si="146"/>
        <v>4033</v>
      </c>
      <c r="S1315" s="1">
        <f t="shared" si="140"/>
        <v>20688</v>
      </c>
    </row>
    <row r="1316" spans="1:19" x14ac:dyDescent="0.2">
      <c r="A1316" s="57" t="s">
        <v>236</v>
      </c>
      <c r="B1316" s="57" t="s">
        <v>244</v>
      </c>
      <c r="C1316" s="57" t="s">
        <v>245</v>
      </c>
      <c r="D1316" s="58">
        <v>33.659999999999997</v>
      </c>
      <c r="E1316" s="59">
        <v>41101</v>
      </c>
      <c r="F1316" s="58">
        <v>20688</v>
      </c>
      <c r="G1316" s="58">
        <v>7008</v>
      </c>
      <c r="H1316" s="58">
        <v>3233</v>
      </c>
      <c r="I1316" s="58">
        <v>24409</v>
      </c>
      <c r="J1316" s="58">
        <v>0</v>
      </c>
      <c r="K1316" s="1">
        <f t="shared" si="141"/>
        <v>108822.77999999998</v>
      </c>
      <c r="L1316" s="1">
        <f t="shared" si="142"/>
        <v>3233</v>
      </c>
      <c r="M1316" s="1">
        <f>VLOOKUP(B1316,'[1]Срок Годности'!$A$2:$B$4,2,0)</f>
        <v>1500</v>
      </c>
      <c r="N1316" s="60">
        <f t="shared" si="143"/>
        <v>7008</v>
      </c>
      <c r="O1316" s="1" t="str">
        <f t="shared" si="144"/>
        <v>28 2012</v>
      </c>
      <c r="P1316" s="1">
        <f t="shared" si="145"/>
        <v>21</v>
      </c>
      <c r="Q1316" s="1">
        <f t="shared" ca="1" si="146"/>
        <v>4032</v>
      </c>
      <c r="S1316" s="1">
        <f t="shared" si="140"/>
        <v>24409</v>
      </c>
    </row>
    <row r="1317" spans="1:19" x14ac:dyDescent="0.2">
      <c r="A1317" s="57" t="s">
        <v>236</v>
      </c>
      <c r="B1317" s="57" t="s">
        <v>244</v>
      </c>
      <c r="C1317" s="57" t="s">
        <v>245</v>
      </c>
      <c r="D1317" s="58">
        <v>33.659999999999997</v>
      </c>
      <c r="E1317" s="59">
        <v>41102</v>
      </c>
      <c r="F1317" s="58">
        <v>24409</v>
      </c>
      <c r="G1317" s="58">
        <v>181</v>
      </c>
      <c r="H1317" s="58">
        <v>3376</v>
      </c>
      <c r="I1317" s="58">
        <v>21246</v>
      </c>
      <c r="J1317" s="58">
        <v>0</v>
      </c>
      <c r="K1317" s="1">
        <f t="shared" si="141"/>
        <v>113636.15999999999</v>
      </c>
      <c r="L1317" s="1">
        <f t="shared" si="142"/>
        <v>3376</v>
      </c>
      <c r="M1317" s="1">
        <f>VLOOKUP(B1317,'[1]Срок Годности'!$A$2:$B$4,2,0)</f>
        <v>1500</v>
      </c>
      <c r="N1317" s="60">
        <f t="shared" si="143"/>
        <v>181</v>
      </c>
      <c r="O1317" s="1" t="str">
        <f t="shared" si="144"/>
        <v>28 2012</v>
      </c>
      <c r="P1317" s="1">
        <f t="shared" si="145"/>
        <v>21</v>
      </c>
      <c r="Q1317" s="1">
        <f t="shared" ca="1" si="146"/>
        <v>4031</v>
      </c>
      <c r="S1317" s="1">
        <f t="shared" si="140"/>
        <v>21246</v>
      </c>
    </row>
    <row r="1318" spans="1:19" x14ac:dyDescent="0.2">
      <c r="A1318" s="57" t="s">
        <v>236</v>
      </c>
      <c r="B1318" s="57" t="s">
        <v>244</v>
      </c>
      <c r="C1318" s="57" t="s">
        <v>245</v>
      </c>
      <c r="D1318" s="58">
        <v>33.659999999999997</v>
      </c>
      <c r="E1318" s="59">
        <v>41103</v>
      </c>
      <c r="F1318" s="58">
        <v>21246</v>
      </c>
      <c r="G1318" s="58">
        <v>1614</v>
      </c>
      <c r="H1318" s="58">
        <v>3648</v>
      </c>
      <c r="I1318" s="58">
        <v>19216</v>
      </c>
      <c r="J1318" s="58">
        <v>0</v>
      </c>
      <c r="K1318" s="1">
        <f t="shared" si="141"/>
        <v>122791.67999999999</v>
      </c>
      <c r="L1318" s="1">
        <f t="shared" si="142"/>
        <v>3648</v>
      </c>
      <c r="M1318" s="1">
        <f>VLOOKUP(B1318,'[1]Срок Годности'!$A$2:$B$4,2,0)</f>
        <v>1500</v>
      </c>
      <c r="N1318" s="60">
        <f t="shared" si="143"/>
        <v>1614</v>
      </c>
      <c r="O1318" s="1" t="str">
        <f t="shared" si="144"/>
        <v>28 2012</v>
      </c>
      <c r="P1318" s="1">
        <f t="shared" si="145"/>
        <v>21</v>
      </c>
      <c r="Q1318" s="1">
        <f t="shared" ca="1" si="146"/>
        <v>4030</v>
      </c>
      <c r="S1318" s="1">
        <f t="shared" si="140"/>
        <v>19216</v>
      </c>
    </row>
    <row r="1319" spans="1:19" x14ac:dyDescent="0.2">
      <c r="A1319" s="57" t="s">
        <v>236</v>
      </c>
      <c r="B1319" s="57" t="s">
        <v>244</v>
      </c>
      <c r="C1319" s="57" t="s">
        <v>245</v>
      </c>
      <c r="D1319" s="58">
        <v>33.659999999999997</v>
      </c>
      <c r="E1319" s="59">
        <v>41104</v>
      </c>
      <c r="F1319" s="58">
        <v>19216</v>
      </c>
      <c r="G1319" s="58">
        <v>5016</v>
      </c>
      <c r="H1319" s="58">
        <v>3106</v>
      </c>
      <c r="I1319" s="58">
        <v>21231</v>
      </c>
      <c r="J1319" s="58">
        <v>6</v>
      </c>
      <c r="K1319" s="1">
        <f t="shared" si="141"/>
        <v>104547.95999999999</v>
      </c>
      <c r="L1319" s="1">
        <f t="shared" si="142"/>
        <v>3106</v>
      </c>
      <c r="M1319" s="1">
        <f>VLOOKUP(B1319,'[1]Срок Годности'!$A$2:$B$4,2,0)</f>
        <v>1500</v>
      </c>
      <c r="N1319" s="60">
        <f t="shared" si="143"/>
        <v>5016</v>
      </c>
      <c r="O1319" s="1" t="str">
        <f t="shared" si="144"/>
        <v>28 2012</v>
      </c>
      <c r="P1319" s="1">
        <f t="shared" si="145"/>
        <v>21</v>
      </c>
      <c r="Q1319" s="1">
        <f t="shared" ca="1" si="146"/>
        <v>4029</v>
      </c>
      <c r="S1319" s="1">
        <f t="shared" si="140"/>
        <v>21225</v>
      </c>
    </row>
    <row r="1320" spans="1:19" x14ac:dyDescent="0.2">
      <c r="A1320" s="57" t="s">
        <v>236</v>
      </c>
      <c r="B1320" s="57" t="s">
        <v>244</v>
      </c>
      <c r="C1320" s="57" t="s">
        <v>245</v>
      </c>
      <c r="D1320" s="58">
        <v>33.659999999999997</v>
      </c>
      <c r="E1320" s="59">
        <v>41105</v>
      </c>
      <c r="F1320" s="58">
        <v>21231</v>
      </c>
      <c r="G1320" s="58">
        <v>14822</v>
      </c>
      <c r="H1320" s="58">
        <v>3979</v>
      </c>
      <c r="I1320" s="58">
        <v>32112</v>
      </c>
      <c r="J1320" s="58">
        <v>2</v>
      </c>
      <c r="K1320" s="1">
        <f t="shared" si="141"/>
        <v>133933.13999999998</v>
      </c>
      <c r="L1320" s="1">
        <f t="shared" si="142"/>
        <v>3979</v>
      </c>
      <c r="M1320" s="1">
        <f>VLOOKUP(B1320,'[1]Срок Годности'!$A$2:$B$4,2,0)</f>
        <v>1500</v>
      </c>
      <c r="N1320" s="60">
        <f t="shared" si="143"/>
        <v>0</v>
      </c>
      <c r="O1320" s="1" t="str">
        <f t="shared" si="144"/>
        <v>29 2012</v>
      </c>
      <c r="P1320" s="1">
        <f t="shared" si="145"/>
        <v>21</v>
      </c>
      <c r="Q1320" s="1">
        <f t="shared" ca="1" si="146"/>
        <v>4028</v>
      </c>
      <c r="S1320" s="1">
        <f t="shared" si="140"/>
        <v>32110</v>
      </c>
    </row>
    <row r="1321" spans="1:19" x14ac:dyDescent="0.2">
      <c r="A1321" s="57" t="s">
        <v>236</v>
      </c>
      <c r="B1321" s="57" t="s">
        <v>244</v>
      </c>
      <c r="C1321" s="57" t="s">
        <v>245</v>
      </c>
      <c r="D1321" s="58">
        <v>33.659999999999997</v>
      </c>
      <c r="E1321" s="59">
        <v>41106</v>
      </c>
      <c r="F1321" s="58">
        <v>32112</v>
      </c>
      <c r="G1321" s="58">
        <v>445</v>
      </c>
      <c r="H1321" s="58">
        <v>5496</v>
      </c>
      <c r="I1321" s="58">
        <v>27055</v>
      </c>
      <c r="J1321" s="58">
        <v>0</v>
      </c>
      <c r="K1321" s="1">
        <f t="shared" si="141"/>
        <v>184995.36</v>
      </c>
      <c r="L1321" s="1">
        <f t="shared" si="142"/>
        <v>5496</v>
      </c>
      <c r="M1321" s="1">
        <f>VLOOKUP(B1321,'[1]Срок Годности'!$A$2:$B$4,2,0)</f>
        <v>1500</v>
      </c>
      <c r="N1321" s="60">
        <f t="shared" si="143"/>
        <v>445</v>
      </c>
      <c r="O1321" s="1" t="str">
        <f t="shared" si="144"/>
        <v>29 2012</v>
      </c>
      <c r="P1321" s="1">
        <f t="shared" si="145"/>
        <v>21</v>
      </c>
      <c r="Q1321" s="1">
        <f t="shared" ca="1" si="146"/>
        <v>4027</v>
      </c>
      <c r="S1321" s="1">
        <f t="shared" si="140"/>
        <v>27055</v>
      </c>
    </row>
    <row r="1322" spans="1:19" x14ac:dyDescent="0.2">
      <c r="A1322" s="57" t="s">
        <v>236</v>
      </c>
      <c r="B1322" s="57" t="s">
        <v>244</v>
      </c>
      <c r="C1322" s="57" t="s">
        <v>245</v>
      </c>
      <c r="D1322" s="58">
        <v>33.659999999999997</v>
      </c>
      <c r="E1322" s="59">
        <v>41107</v>
      </c>
      <c r="F1322" s="58">
        <v>27055</v>
      </c>
      <c r="G1322" s="58">
        <v>2816</v>
      </c>
      <c r="H1322" s="58">
        <v>4275</v>
      </c>
      <c r="I1322" s="58">
        <v>26169</v>
      </c>
      <c r="J1322" s="58">
        <v>0</v>
      </c>
      <c r="K1322" s="1">
        <f t="shared" si="141"/>
        <v>143896.49999999997</v>
      </c>
      <c r="L1322" s="1">
        <f t="shared" si="142"/>
        <v>4275</v>
      </c>
      <c r="M1322" s="1">
        <f>VLOOKUP(B1322,'[1]Срок Годности'!$A$2:$B$4,2,0)</f>
        <v>1500</v>
      </c>
      <c r="N1322" s="60">
        <f t="shared" si="143"/>
        <v>2816</v>
      </c>
      <c r="O1322" s="1" t="str">
        <f t="shared" si="144"/>
        <v>29 2012</v>
      </c>
      <c r="P1322" s="1">
        <f t="shared" si="145"/>
        <v>21</v>
      </c>
      <c r="Q1322" s="1">
        <f t="shared" ca="1" si="146"/>
        <v>4026</v>
      </c>
      <c r="S1322" s="1">
        <f t="shared" si="140"/>
        <v>26169</v>
      </c>
    </row>
    <row r="1323" spans="1:19" x14ac:dyDescent="0.2">
      <c r="A1323" s="57" t="s">
        <v>236</v>
      </c>
      <c r="B1323" s="57" t="s">
        <v>237</v>
      </c>
      <c r="C1323" s="57" t="s">
        <v>238</v>
      </c>
      <c r="D1323" s="58">
        <v>165.05</v>
      </c>
      <c r="E1323" s="59">
        <v>41061</v>
      </c>
      <c r="F1323" s="58">
        <v>1089</v>
      </c>
      <c r="G1323" s="58">
        <v>253</v>
      </c>
      <c r="H1323" s="58">
        <v>244</v>
      </c>
      <c r="I1323" s="58">
        <v>1084</v>
      </c>
      <c r="J1323" s="58">
        <v>0</v>
      </c>
      <c r="K1323" s="1">
        <f t="shared" si="141"/>
        <v>40272.200000000004</v>
      </c>
      <c r="L1323" s="1" t="str">
        <f t="shared" si="142"/>
        <v/>
      </c>
      <c r="M1323" s="1">
        <f>VLOOKUP(B1323,'[1]Срок Годности'!$A$2:$B$4,2,0)</f>
        <v>1000</v>
      </c>
      <c r="N1323" s="60">
        <f t="shared" si="143"/>
        <v>253</v>
      </c>
      <c r="O1323" s="1" t="str">
        <f t="shared" si="144"/>
        <v>22 2012</v>
      </c>
      <c r="P1323" s="1">
        <f t="shared" si="145"/>
        <v>22</v>
      </c>
      <c r="Q1323" s="1">
        <f t="shared" ca="1" si="146"/>
        <v>4072</v>
      </c>
      <c r="S1323" s="1">
        <f t="shared" si="140"/>
        <v>1084</v>
      </c>
    </row>
    <row r="1324" spans="1:19" x14ac:dyDescent="0.2">
      <c r="A1324" s="57" t="s">
        <v>236</v>
      </c>
      <c r="B1324" s="57" t="s">
        <v>237</v>
      </c>
      <c r="C1324" s="57" t="s">
        <v>238</v>
      </c>
      <c r="D1324" s="58">
        <v>165.05</v>
      </c>
      <c r="E1324" s="59">
        <v>41062</v>
      </c>
      <c r="F1324" s="58">
        <v>1084</v>
      </c>
      <c r="G1324" s="58">
        <v>229</v>
      </c>
      <c r="H1324" s="58">
        <v>139</v>
      </c>
      <c r="I1324" s="58">
        <v>1172</v>
      </c>
      <c r="J1324" s="58">
        <v>0</v>
      </c>
      <c r="K1324" s="1">
        <f t="shared" si="141"/>
        <v>22941.95</v>
      </c>
      <c r="L1324" s="1" t="str">
        <f t="shared" si="142"/>
        <v/>
      </c>
      <c r="M1324" s="1">
        <f>VLOOKUP(B1324,'[1]Срок Годности'!$A$2:$B$4,2,0)</f>
        <v>1000</v>
      </c>
      <c r="N1324" s="60">
        <f t="shared" si="143"/>
        <v>229</v>
      </c>
      <c r="O1324" s="1" t="str">
        <f t="shared" si="144"/>
        <v>22 2012</v>
      </c>
      <c r="P1324" s="1">
        <f t="shared" si="145"/>
        <v>22</v>
      </c>
      <c r="Q1324" s="1">
        <f t="shared" ca="1" si="146"/>
        <v>4071</v>
      </c>
      <c r="S1324" s="1">
        <f t="shared" si="140"/>
        <v>1172</v>
      </c>
    </row>
    <row r="1325" spans="1:19" x14ac:dyDescent="0.2">
      <c r="A1325" s="57" t="s">
        <v>236</v>
      </c>
      <c r="B1325" s="57" t="s">
        <v>237</v>
      </c>
      <c r="C1325" s="57" t="s">
        <v>238</v>
      </c>
      <c r="D1325" s="58">
        <v>165.05</v>
      </c>
      <c r="E1325" s="59">
        <v>41063</v>
      </c>
      <c r="F1325" s="58">
        <v>1172</v>
      </c>
      <c r="G1325" s="58">
        <v>293</v>
      </c>
      <c r="H1325" s="58">
        <v>131</v>
      </c>
      <c r="I1325" s="58">
        <v>1331</v>
      </c>
      <c r="J1325" s="58">
        <v>0</v>
      </c>
      <c r="K1325" s="1">
        <f t="shared" si="141"/>
        <v>21621.550000000003</v>
      </c>
      <c r="L1325" s="1" t="str">
        <f t="shared" si="142"/>
        <v/>
      </c>
      <c r="M1325" s="1">
        <f>VLOOKUP(B1325,'[1]Срок Годности'!$A$2:$B$4,2,0)</f>
        <v>1000</v>
      </c>
      <c r="N1325" s="60">
        <f t="shared" si="143"/>
        <v>0</v>
      </c>
      <c r="O1325" s="1" t="str">
        <f t="shared" si="144"/>
        <v>23 2012</v>
      </c>
      <c r="P1325" s="1">
        <f t="shared" si="145"/>
        <v>22</v>
      </c>
      <c r="Q1325" s="1">
        <f t="shared" ca="1" si="146"/>
        <v>4070</v>
      </c>
      <c r="S1325" s="1">
        <f t="shared" si="140"/>
        <v>1331</v>
      </c>
    </row>
    <row r="1326" spans="1:19" x14ac:dyDescent="0.2">
      <c r="A1326" s="57" t="s">
        <v>236</v>
      </c>
      <c r="B1326" s="57" t="s">
        <v>237</v>
      </c>
      <c r="C1326" s="57" t="s">
        <v>238</v>
      </c>
      <c r="D1326" s="58">
        <v>165.05</v>
      </c>
      <c r="E1326" s="59">
        <v>41064</v>
      </c>
      <c r="F1326" s="58">
        <v>1331</v>
      </c>
      <c r="G1326" s="58">
        <v>154</v>
      </c>
      <c r="H1326" s="58">
        <v>141</v>
      </c>
      <c r="I1326" s="58">
        <v>1311</v>
      </c>
      <c r="J1326" s="58">
        <v>0</v>
      </c>
      <c r="K1326" s="1">
        <f t="shared" si="141"/>
        <v>23272.050000000003</v>
      </c>
      <c r="L1326" s="1" t="str">
        <f t="shared" si="142"/>
        <v/>
      </c>
      <c r="M1326" s="1">
        <f>VLOOKUP(B1326,'[1]Срок Годности'!$A$2:$B$4,2,0)</f>
        <v>1000</v>
      </c>
      <c r="N1326" s="60">
        <f t="shared" si="143"/>
        <v>154</v>
      </c>
      <c r="O1326" s="1" t="str">
        <f t="shared" si="144"/>
        <v>23 2012</v>
      </c>
      <c r="P1326" s="1">
        <f t="shared" si="145"/>
        <v>22</v>
      </c>
      <c r="Q1326" s="1">
        <f t="shared" ca="1" si="146"/>
        <v>4069</v>
      </c>
      <c r="S1326" s="1">
        <f t="shared" si="140"/>
        <v>1311</v>
      </c>
    </row>
    <row r="1327" spans="1:19" x14ac:dyDescent="0.2">
      <c r="A1327" s="57" t="s">
        <v>236</v>
      </c>
      <c r="B1327" s="57" t="s">
        <v>237</v>
      </c>
      <c r="C1327" s="57" t="s">
        <v>238</v>
      </c>
      <c r="D1327" s="58">
        <v>165.05</v>
      </c>
      <c r="E1327" s="59">
        <v>41065</v>
      </c>
      <c r="F1327" s="58">
        <v>1311</v>
      </c>
      <c r="G1327" s="58">
        <v>92</v>
      </c>
      <c r="H1327" s="58">
        <v>184</v>
      </c>
      <c r="I1327" s="58">
        <v>1200</v>
      </c>
      <c r="J1327" s="58">
        <v>0</v>
      </c>
      <c r="K1327" s="1">
        <f t="shared" si="141"/>
        <v>30369.200000000001</v>
      </c>
      <c r="L1327" s="1" t="str">
        <f t="shared" si="142"/>
        <v/>
      </c>
      <c r="M1327" s="1">
        <f>VLOOKUP(B1327,'[1]Срок Годности'!$A$2:$B$4,2,0)</f>
        <v>1000</v>
      </c>
      <c r="N1327" s="60">
        <f t="shared" si="143"/>
        <v>92</v>
      </c>
      <c r="O1327" s="1" t="str">
        <f t="shared" si="144"/>
        <v>23 2012</v>
      </c>
      <c r="P1327" s="1">
        <f t="shared" si="145"/>
        <v>22</v>
      </c>
      <c r="Q1327" s="1">
        <f t="shared" ca="1" si="146"/>
        <v>4068</v>
      </c>
      <c r="S1327" s="1">
        <f t="shared" si="140"/>
        <v>1200</v>
      </c>
    </row>
    <row r="1328" spans="1:19" x14ac:dyDescent="0.2">
      <c r="A1328" s="57" t="s">
        <v>236</v>
      </c>
      <c r="B1328" s="57" t="s">
        <v>237</v>
      </c>
      <c r="C1328" s="57" t="s">
        <v>238</v>
      </c>
      <c r="D1328" s="58">
        <v>165.05</v>
      </c>
      <c r="E1328" s="59">
        <v>41066</v>
      </c>
      <c r="F1328" s="58">
        <v>1200</v>
      </c>
      <c r="G1328" s="58">
        <v>79</v>
      </c>
      <c r="H1328" s="58">
        <v>192</v>
      </c>
      <c r="I1328" s="58">
        <v>1078</v>
      </c>
      <c r="J1328" s="58">
        <v>0</v>
      </c>
      <c r="K1328" s="1">
        <f t="shared" si="141"/>
        <v>31689.600000000002</v>
      </c>
      <c r="L1328" s="1" t="str">
        <f t="shared" si="142"/>
        <v/>
      </c>
      <c r="M1328" s="1">
        <f>VLOOKUP(B1328,'[1]Срок Годности'!$A$2:$B$4,2,0)</f>
        <v>1000</v>
      </c>
      <c r="N1328" s="60">
        <f t="shared" si="143"/>
        <v>79</v>
      </c>
      <c r="O1328" s="1" t="str">
        <f t="shared" si="144"/>
        <v>23 2012</v>
      </c>
      <c r="P1328" s="1">
        <f t="shared" si="145"/>
        <v>22</v>
      </c>
      <c r="Q1328" s="1">
        <f t="shared" ca="1" si="146"/>
        <v>4067</v>
      </c>
      <c r="S1328" s="1">
        <f t="shared" si="140"/>
        <v>1078</v>
      </c>
    </row>
    <row r="1329" spans="1:19" x14ac:dyDescent="0.2">
      <c r="A1329" s="57" t="s">
        <v>236</v>
      </c>
      <c r="B1329" s="57" t="s">
        <v>237</v>
      </c>
      <c r="C1329" s="57" t="s">
        <v>238</v>
      </c>
      <c r="D1329" s="58">
        <v>165.05</v>
      </c>
      <c r="E1329" s="59">
        <v>41067</v>
      </c>
      <c r="F1329" s="58">
        <v>1078</v>
      </c>
      <c r="G1329" s="58">
        <v>17</v>
      </c>
      <c r="H1329" s="58">
        <v>177</v>
      </c>
      <c r="I1329" s="58">
        <v>914</v>
      </c>
      <c r="J1329" s="58">
        <v>0</v>
      </c>
      <c r="K1329" s="1">
        <f t="shared" si="141"/>
        <v>29213.850000000002</v>
      </c>
      <c r="L1329" s="1" t="str">
        <f t="shared" si="142"/>
        <v/>
      </c>
      <c r="M1329" s="1">
        <f>VLOOKUP(B1329,'[1]Срок Годности'!$A$2:$B$4,2,0)</f>
        <v>1000</v>
      </c>
      <c r="N1329" s="60">
        <f t="shared" si="143"/>
        <v>17</v>
      </c>
      <c r="O1329" s="1" t="str">
        <f t="shared" si="144"/>
        <v>23 2012</v>
      </c>
      <c r="P1329" s="1">
        <f t="shared" si="145"/>
        <v>22</v>
      </c>
      <c r="Q1329" s="1">
        <f t="shared" ca="1" si="146"/>
        <v>4066</v>
      </c>
      <c r="S1329" s="1">
        <f t="shared" si="140"/>
        <v>914</v>
      </c>
    </row>
    <row r="1330" spans="1:19" x14ac:dyDescent="0.2">
      <c r="A1330" s="57" t="s">
        <v>236</v>
      </c>
      <c r="B1330" s="57" t="s">
        <v>237</v>
      </c>
      <c r="C1330" s="57" t="s">
        <v>238</v>
      </c>
      <c r="D1330" s="58">
        <v>165.05</v>
      </c>
      <c r="E1330" s="59">
        <v>41068</v>
      </c>
      <c r="F1330" s="58">
        <v>914</v>
      </c>
      <c r="G1330" s="58">
        <v>188</v>
      </c>
      <c r="H1330" s="58">
        <v>148</v>
      </c>
      <c r="I1330" s="58">
        <v>944</v>
      </c>
      <c r="J1330" s="58">
        <v>0</v>
      </c>
      <c r="K1330" s="1">
        <f t="shared" si="141"/>
        <v>24427.4</v>
      </c>
      <c r="L1330" s="1" t="str">
        <f t="shared" si="142"/>
        <v/>
      </c>
      <c r="M1330" s="1">
        <f>VLOOKUP(B1330,'[1]Срок Годности'!$A$2:$B$4,2,0)</f>
        <v>1000</v>
      </c>
      <c r="N1330" s="60">
        <f t="shared" si="143"/>
        <v>188</v>
      </c>
      <c r="O1330" s="1" t="str">
        <f t="shared" si="144"/>
        <v>23 2012</v>
      </c>
      <c r="P1330" s="1">
        <f t="shared" si="145"/>
        <v>22</v>
      </c>
      <c r="Q1330" s="1">
        <f t="shared" ca="1" si="146"/>
        <v>4065</v>
      </c>
      <c r="S1330" s="1">
        <f t="shared" si="140"/>
        <v>944</v>
      </c>
    </row>
    <row r="1331" spans="1:19" x14ac:dyDescent="0.2">
      <c r="A1331" s="57" t="s">
        <v>236</v>
      </c>
      <c r="B1331" s="57" t="s">
        <v>237</v>
      </c>
      <c r="C1331" s="57" t="s">
        <v>238</v>
      </c>
      <c r="D1331" s="58">
        <v>165.05</v>
      </c>
      <c r="E1331" s="59">
        <v>41069</v>
      </c>
      <c r="F1331" s="58">
        <v>944</v>
      </c>
      <c r="G1331" s="58">
        <v>265</v>
      </c>
      <c r="H1331" s="58">
        <v>108</v>
      </c>
      <c r="I1331" s="58">
        <v>1079</v>
      </c>
      <c r="J1331" s="58">
        <v>0</v>
      </c>
      <c r="K1331" s="1">
        <f t="shared" si="141"/>
        <v>17825.400000000001</v>
      </c>
      <c r="L1331" s="1" t="str">
        <f t="shared" si="142"/>
        <v/>
      </c>
      <c r="M1331" s="1">
        <f>VLOOKUP(B1331,'[1]Срок Годности'!$A$2:$B$4,2,0)</f>
        <v>1000</v>
      </c>
      <c r="N1331" s="60">
        <f t="shared" si="143"/>
        <v>265</v>
      </c>
      <c r="O1331" s="1" t="str">
        <f t="shared" si="144"/>
        <v>23 2012</v>
      </c>
      <c r="P1331" s="1">
        <f t="shared" si="145"/>
        <v>22</v>
      </c>
      <c r="Q1331" s="1">
        <f t="shared" ca="1" si="146"/>
        <v>4064</v>
      </c>
      <c r="S1331" s="1">
        <f t="shared" si="140"/>
        <v>1079</v>
      </c>
    </row>
    <row r="1332" spans="1:19" x14ac:dyDescent="0.2">
      <c r="A1332" s="57" t="s">
        <v>236</v>
      </c>
      <c r="B1332" s="57" t="s">
        <v>237</v>
      </c>
      <c r="C1332" s="57" t="s">
        <v>238</v>
      </c>
      <c r="D1332" s="58">
        <v>165.05</v>
      </c>
      <c r="E1332" s="59">
        <v>41070</v>
      </c>
      <c r="F1332" s="58">
        <v>1079</v>
      </c>
      <c r="G1332" s="58">
        <v>181</v>
      </c>
      <c r="H1332" s="58">
        <v>96</v>
      </c>
      <c r="I1332" s="58">
        <v>1156</v>
      </c>
      <c r="J1332" s="58">
        <v>0</v>
      </c>
      <c r="K1332" s="1">
        <f t="shared" si="141"/>
        <v>15844.800000000001</v>
      </c>
      <c r="L1332" s="1" t="str">
        <f t="shared" si="142"/>
        <v/>
      </c>
      <c r="M1332" s="1">
        <f>VLOOKUP(B1332,'[1]Срок Годности'!$A$2:$B$4,2,0)</f>
        <v>1000</v>
      </c>
      <c r="N1332" s="60">
        <f t="shared" si="143"/>
        <v>0</v>
      </c>
      <c r="O1332" s="1" t="str">
        <f t="shared" si="144"/>
        <v>24 2012</v>
      </c>
      <c r="P1332" s="1">
        <f t="shared" si="145"/>
        <v>22</v>
      </c>
      <c r="Q1332" s="1">
        <f t="shared" ca="1" si="146"/>
        <v>4063</v>
      </c>
      <c r="S1332" s="1">
        <f t="shared" si="140"/>
        <v>1156</v>
      </c>
    </row>
    <row r="1333" spans="1:19" x14ac:dyDescent="0.2">
      <c r="A1333" s="57" t="s">
        <v>236</v>
      </c>
      <c r="B1333" s="57" t="s">
        <v>237</v>
      </c>
      <c r="C1333" s="57" t="s">
        <v>238</v>
      </c>
      <c r="D1333" s="58">
        <v>165.05</v>
      </c>
      <c r="E1333" s="59">
        <v>41071</v>
      </c>
      <c r="F1333" s="58">
        <v>1156</v>
      </c>
      <c r="G1333" s="58">
        <v>191</v>
      </c>
      <c r="H1333" s="58">
        <v>140</v>
      </c>
      <c r="I1333" s="58">
        <v>1199</v>
      </c>
      <c r="J1333" s="58">
        <v>0</v>
      </c>
      <c r="K1333" s="1">
        <f t="shared" si="141"/>
        <v>23107</v>
      </c>
      <c r="L1333" s="1" t="str">
        <f t="shared" si="142"/>
        <v/>
      </c>
      <c r="M1333" s="1">
        <f>VLOOKUP(B1333,'[1]Срок Годности'!$A$2:$B$4,2,0)</f>
        <v>1000</v>
      </c>
      <c r="N1333" s="60">
        <f t="shared" si="143"/>
        <v>191</v>
      </c>
      <c r="O1333" s="1" t="str">
        <f t="shared" si="144"/>
        <v>24 2012</v>
      </c>
      <c r="P1333" s="1">
        <f t="shared" si="145"/>
        <v>22</v>
      </c>
      <c r="Q1333" s="1">
        <f t="shared" ca="1" si="146"/>
        <v>4062</v>
      </c>
      <c r="S1333" s="1">
        <f t="shared" si="140"/>
        <v>1199</v>
      </c>
    </row>
    <row r="1334" spans="1:19" x14ac:dyDescent="0.2">
      <c r="A1334" s="57" t="s">
        <v>236</v>
      </c>
      <c r="B1334" s="57" t="s">
        <v>237</v>
      </c>
      <c r="C1334" s="57" t="s">
        <v>238</v>
      </c>
      <c r="D1334" s="58">
        <v>165.05</v>
      </c>
      <c r="E1334" s="59">
        <v>41072</v>
      </c>
      <c r="F1334" s="58">
        <v>1199</v>
      </c>
      <c r="G1334" s="58">
        <v>94</v>
      </c>
      <c r="H1334" s="58">
        <v>113</v>
      </c>
      <c r="I1334" s="58">
        <v>1163</v>
      </c>
      <c r="J1334" s="58">
        <v>0</v>
      </c>
      <c r="K1334" s="1">
        <f t="shared" si="141"/>
        <v>18650.650000000001</v>
      </c>
      <c r="L1334" s="1" t="str">
        <f t="shared" si="142"/>
        <v/>
      </c>
      <c r="M1334" s="1">
        <f>VLOOKUP(B1334,'[1]Срок Годности'!$A$2:$B$4,2,0)</f>
        <v>1000</v>
      </c>
      <c r="N1334" s="60">
        <f t="shared" si="143"/>
        <v>94</v>
      </c>
      <c r="O1334" s="1" t="str">
        <f t="shared" si="144"/>
        <v>24 2012</v>
      </c>
      <c r="P1334" s="1">
        <f t="shared" si="145"/>
        <v>22</v>
      </c>
      <c r="Q1334" s="1">
        <f t="shared" ca="1" si="146"/>
        <v>4061</v>
      </c>
      <c r="S1334" s="1">
        <f t="shared" si="140"/>
        <v>1163</v>
      </c>
    </row>
    <row r="1335" spans="1:19" x14ac:dyDescent="0.2">
      <c r="A1335" s="57" t="s">
        <v>236</v>
      </c>
      <c r="B1335" s="57" t="s">
        <v>237</v>
      </c>
      <c r="C1335" s="57" t="s">
        <v>238</v>
      </c>
      <c r="D1335" s="58">
        <v>165.05</v>
      </c>
      <c r="E1335" s="59">
        <v>41073</v>
      </c>
      <c r="F1335" s="58">
        <v>1163</v>
      </c>
      <c r="G1335" s="58">
        <v>123</v>
      </c>
      <c r="H1335" s="58">
        <v>142</v>
      </c>
      <c r="I1335" s="58">
        <v>1105</v>
      </c>
      <c r="J1335" s="58">
        <v>0</v>
      </c>
      <c r="K1335" s="1">
        <f t="shared" si="141"/>
        <v>23437.100000000002</v>
      </c>
      <c r="L1335" s="1" t="str">
        <f t="shared" si="142"/>
        <v/>
      </c>
      <c r="M1335" s="1">
        <f>VLOOKUP(B1335,'[1]Срок Годности'!$A$2:$B$4,2,0)</f>
        <v>1000</v>
      </c>
      <c r="N1335" s="60">
        <f t="shared" si="143"/>
        <v>123</v>
      </c>
      <c r="O1335" s="1" t="str">
        <f t="shared" si="144"/>
        <v>24 2012</v>
      </c>
      <c r="P1335" s="1">
        <f t="shared" si="145"/>
        <v>22</v>
      </c>
      <c r="Q1335" s="1">
        <f t="shared" ca="1" si="146"/>
        <v>4060</v>
      </c>
      <c r="S1335" s="1">
        <f t="shared" si="140"/>
        <v>1105</v>
      </c>
    </row>
    <row r="1336" spans="1:19" x14ac:dyDescent="0.2">
      <c r="A1336" s="57" t="s">
        <v>236</v>
      </c>
      <c r="B1336" s="57" t="s">
        <v>237</v>
      </c>
      <c r="C1336" s="57" t="s">
        <v>238</v>
      </c>
      <c r="D1336" s="58">
        <v>165.05</v>
      </c>
      <c r="E1336" s="59">
        <v>41074</v>
      </c>
      <c r="F1336" s="58">
        <v>1105</v>
      </c>
      <c r="G1336" s="58">
        <v>168</v>
      </c>
      <c r="H1336" s="58">
        <v>162</v>
      </c>
      <c r="I1336" s="58">
        <v>1103</v>
      </c>
      <c r="J1336" s="58">
        <v>0</v>
      </c>
      <c r="K1336" s="1">
        <f t="shared" si="141"/>
        <v>26738.100000000002</v>
      </c>
      <c r="L1336" s="1" t="str">
        <f t="shared" si="142"/>
        <v/>
      </c>
      <c r="M1336" s="1">
        <f>VLOOKUP(B1336,'[1]Срок Годности'!$A$2:$B$4,2,0)</f>
        <v>1000</v>
      </c>
      <c r="N1336" s="60">
        <f t="shared" si="143"/>
        <v>168</v>
      </c>
      <c r="O1336" s="1" t="str">
        <f t="shared" si="144"/>
        <v>24 2012</v>
      </c>
      <c r="P1336" s="1">
        <f t="shared" si="145"/>
        <v>22</v>
      </c>
      <c r="Q1336" s="1">
        <f t="shared" ca="1" si="146"/>
        <v>4059</v>
      </c>
      <c r="S1336" s="1">
        <f t="shared" si="140"/>
        <v>1103</v>
      </c>
    </row>
    <row r="1337" spans="1:19" x14ac:dyDescent="0.2">
      <c r="A1337" s="57" t="s">
        <v>236</v>
      </c>
      <c r="B1337" s="57" t="s">
        <v>237</v>
      </c>
      <c r="C1337" s="57" t="s">
        <v>238</v>
      </c>
      <c r="D1337" s="58">
        <v>165.05</v>
      </c>
      <c r="E1337" s="59">
        <v>41075</v>
      </c>
      <c r="F1337" s="58">
        <v>1103</v>
      </c>
      <c r="G1337" s="58">
        <v>191</v>
      </c>
      <c r="H1337" s="58">
        <v>181</v>
      </c>
      <c r="I1337" s="58">
        <v>1113</v>
      </c>
      <c r="J1337" s="58">
        <v>0</v>
      </c>
      <c r="K1337" s="1">
        <f t="shared" si="141"/>
        <v>29874.050000000003</v>
      </c>
      <c r="L1337" s="1" t="str">
        <f t="shared" si="142"/>
        <v/>
      </c>
      <c r="M1337" s="1">
        <f>VLOOKUP(B1337,'[1]Срок Годности'!$A$2:$B$4,2,0)</f>
        <v>1000</v>
      </c>
      <c r="N1337" s="60">
        <f t="shared" si="143"/>
        <v>191</v>
      </c>
      <c r="O1337" s="1" t="str">
        <f t="shared" si="144"/>
        <v>24 2012</v>
      </c>
      <c r="P1337" s="1">
        <f t="shared" si="145"/>
        <v>22</v>
      </c>
      <c r="Q1337" s="1">
        <f t="shared" ca="1" si="146"/>
        <v>4058</v>
      </c>
      <c r="S1337" s="1">
        <f t="shared" si="140"/>
        <v>1113</v>
      </c>
    </row>
    <row r="1338" spans="1:19" x14ac:dyDescent="0.2">
      <c r="A1338" s="57" t="s">
        <v>236</v>
      </c>
      <c r="B1338" s="57" t="s">
        <v>237</v>
      </c>
      <c r="C1338" s="57" t="s">
        <v>238</v>
      </c>
      <c r="D1338" s="58">
        <v>165.05</v>
      </c>
      <c r="E1338" s="59">
        <v>41076</v>
      </c>
      <c r="F1338" s="58">
        <v>1113</v>
      </c>
      <c r="G1338" s="58">
        <v>150</v>
      </c>
      <c r="H1338" s="58">
        <v>176</v>
      </c>
      <c r="I1338" s="58">
        <v>1079</v>
      </c>
      <c r="J1338" s="58">
        <v>0</v>
      </c>
      <c r="K1338" s="1">
        <f t="shared" si="141"/>
        <v>29048.800000000003</v>
      </c>
      <c r="L1338" s="1" t="str">
        <f t="shared" si="142"/>
        <v/>
      </c>
      <c r="M1338" s="1">
        <f>VLOOKUP(B1338,'[1]Срок Годности'!$A$2:$B$4,2,0)</f>
        <v>1000</v>
      </c>
      <c r="N1338" s="60">
        <f t="shared" si="143"/>
        <v>150</v>
      </c>
      <c r="O1338" s="1" t="str">
        <f t="shared" si="144"/>
        <v>24 2012</v>
      </c>
      <c r="P1338" s="1">
        <f t="shared" si="145"/>
        <v>22</v>
      </c>
      <c r="Q1338" s="1">
        <f t="shared" ca="1" si="146"/>
        <v>4057</v>
      </c>
      <c r="S1338" s="1">
        <f t="shared" si="140"/>
        <v>1079</v>
      </c>
    </row>
    <row r="1339" spans="1:19" x14ac:dyDescent="0.2">
      <c r="A1339" s="57" t="s">
        <v>236</v>
      </c>
      <c r="B1339" s="57" t="s">
        <v>237</v>
      </c>
      <c r="C1339" s="57" t="s">
        <v>238</v>
      </c>
      <c r="D1339" s="58">
        <v>165.05</v>
      </c>
      <c r="E1339" s="59">
        <v>41077</v>
      </c>
      <c r="F1339" s="58">
        <v>1079</v>
      </c>
      <c r="G1339" s="58">
        <v>148</v>
      </c>
      <c r="H1339" s="58">
        <v>172</v>
      </c>
      <c r="I1339" s="58">
        <v>1053</v>
      </c>
      <c r="J1339" s="58">
        <v>0</v>
      </c>
      <c r="K1339" s="1">
        <f t="shared" si="141"/>
        <v>28388.600000000002</v>
      </c>
      <c r="L1339" s="1" t="str">
        <f t="shared" si="142"/>
        <v/>
      </c>
      <c r="M1339" s="1">
        <f>VLOOKUP(B1339,'[1]Срок Годности'!$A$2:$B$4,2,0)</f>
        <v>1000</v>
      </c>
      <c r="N1339" s="60">
        <f t="shared" si="143"/>
        <v>0</v>
      </c>
      <c r="O1339" s="1" t="str">
        <f t="shared" si="144"/>
        <v>25 2012</v>
      </c>
      <c r="P1339" s="1">
        <f t="shared" si="145"/>
        <v>22</v>
      </c>
      <c r="Q1339" s="1">
        <f t="shared" ca="1" si="146"/>
        <v>4056</v>
      </c>
      <c r="S1339" s="1">
        <f t="shared" si="140"/>
        <v>1053</v>
      </c>
    </row>
    <row r="1340" spans="1:19" x14ac:dyDescent="0.2">
      <c r="A1340" s="57" t="s">
        <v>236</v>
      </c>
      <c r="B1340" s="57" t="s">
        <v>237</v>
      </c>
      <c r="C1340" s="57" t="s">
        <v>238</v>
      </c>
      <c r="D1340" s="58">
        <v>165.05</v>
      </c>
      <c r="E1340" s="59">
        <v>41078</v>
      </c>
      <c r="F1340" s="58">
        <v>1053</v>
      </c>
      <c r="G1340" s="58">
        <v>201</v>
      </c>
      <c r="H1340" s="58">
        <v>235</v>
      </c>
      <c r="I1340" s="58">
        <v>1019</v>
      </c>
      <c r="J1340" s="58">
        <v>0</v>
      </c>
      <c r="K1340" s="1">
        <f t="shared" si="141"/>
        <v>38786.75</v>
      </c>
      <c r="L1340" s="1" t="str">
        <f t="shared" si="142"/>
        <v/>
      </c>
      <c r="M1340" s="1">
        <f>VLOOKUP(B1340,'[1]Срок Годности'!$A$2:$B$4,2,0)</f>
        <v>1000</v>
      </c>
      <c r="N1340" s="60">
        <f t="shared" si="143"/>
        <v>201</v>
      </c>
      <c r="O1340" s="1" t="str">
        <f t="shared" si="144"/>
        <v>25 2012</v>
      </c>
      <c r="P1340" s="1">
        <f t="shared" si="145"/>
        <v>22</v>
      </c>
      <c r="Q1340" s="1">
        <f t="shared" ca="1" si="146"/>
        <v>4055</v>
      </c>
      <c r="S1340" s="1">
        <f t="shared" si="140"/>
        <v>1019</v>
      </c>
    </row>
    <row r="1341" spans="1:19" x14ac:dyDescent="0.2">
      <c r="A1341" s="57" t="s">
        <v>236</v>
      </c>
      <c r="B1341" s="57" t="s">
        <v>237</v>
      </c>
      <c r="C1341" s="57" t="s">
        <v>238</v>
      </c>
      <c r="D1341" s="58">
        <v>165.05</v>
      </c>
      <c r="E1341" s="59">
        <v>41079</v>
      </c>
      <c r="F1341" s="58">
        <v>1019</v>
      </c>
      <c r="G1341" s="58">
        <v>176</v>
      </c>
      <c r="H1341" s="58">
        <v>177</v>
      </c>
      <c r="I1341" s="58">
        <v>1018</v>
      </c>
      <c r="J1341" s="58">
        <v>0</v>
      </c>
      <c r="K1341" s="1">
        <f t="shared" si="141"/>
        <v>29213.850000000002</v>
      </c>
      <c r="L1341" s="1" t="str">
        <f t="shared" si="142"/>
        <v/>
      </c>
      <c r="M1341" s="1">
        <f>VLOOKUP(B1341,'[1]Срок Годности'!$A$2:$B$4,2,0)</f>
        <v>1000</v>
      </c>
      <c r="N1341" s="60">
        <f t="shared" si="143"/>
        <v>176</v>
      </c>
      <c r="O1341" s="1" t="str">
        <f t="shared" si="144"/>
        <v>25 2012</v>
      </c>
      <c r="P1341" s="1">
        <f t="shared" si="145"/>
        <v>22</v>
      </c>
      <c r="Q1341" s="1">
        <f t="shared" ca="1" si="146"/>
        <v>4054</v>
      </c>
      <c r="S1341" s="1">
        <f t="shared" si="140"/>
        <v>1018</v>
      </c>
    </row>
    <row r="1342" spans="1:19" x14ac:dyDescent="0.2">
      <c r="A1342" s="57" t="s">
        <v>236</v>
      </c>
      <c r="B1342" s="57" t="s">
        <v>237</v>
      </c>
      <c r="C1342" s="57" t="s">
        <v>238</v>
      </c>
      <c r="D1342" s="58">
        <v>165.05</v>
      </c>
      <c r="E1342" s="59">
        <v>41080</v>
      </c>
      <c r="F1342" s="58">
        <v>1018</v>
      </c>
      <c r="G1342" s="58">
        <v>367</v>
      </c>
      <c r="H1342" s="58">
        <v>290</v>
      </c>
      <c r="I1342" s="58">
        <v>1060</v>
      </c>
      <c r="J1342" s="58">
        <v>0</v>
      </c>
      <c r="K1342" s="1">
        <f t="shared" si="141"/>
        <v>47864.5</v>
      </c>
      <c r="L1342" s="1" t="str">
        <f t="shared" si="142"/>
        <v/>
      </c>
      <c r="M1342" s="1">
        <f>VLOOKUP(B1342,'[1]Срок Годности'!$A$2:$B$4,2,0)</f>
        <v>1000</v>
      </c>
      <c r="N1342" s="60">
        <f t="shared" si="143"/>
        <v>367</v>
      </c>
      <c r="O1342" s="1" t="str">
        <f t="shared" si="144"/>
        <v>25 2012</v>
      </c>
      <c r="P1342" s="1">
        <f t="shared" si="145"/>
        <v>22</v>
      </c>
      <c r="Q1342" s="1">
        <f t="shared" ca="1" si="146"/>
        <v>4053</v>
      </c>
      <c r="S1342" s="1">
        <f t="shared" si="140"/>
        <v>1060</v>
      </c>
    </row>
    <row r="1343" spans="1:19" x14ac:dyDescent="0.2">
      <c r="A1343" s="57" t="s">
        <v>236</v>
      </c>
      <c r="B1343" s="57" t="s">
        <v>237</v>
      </c>
      <c r="C1343" s="57" t="s">
        <v>238</v>
      </c>
      <c r="D1343" s="58">
        <v>165.05</v>
      </c>
      <c r="E1343" s="59">
        <v>41081</v>
      </c>
      <c r="F1343" s="58">
        <v>1060</v>
      </c>
      <c r="G1343" s="58">
        <v>142</v>
      </c>
      <c r="H1343" s="58">
        <v>203</v>
      </c>
      <c r="I1343" s="58">
        <v>995</v>
      </c>
      <c r="J1343" s="58">
        <v>0</v>
      </c>
      <c r="K1343" s="1">
        <f t="shared" si="141"/>
        <v>33505.15</v>
      </c>
      <c r="L1343" s="1" t="str">
        <f t="shared" si="142"/>
        <v/>
      </c>
      <c r="M1343" s="1">
        <f>VLOOKUP(B1343,'[1]Срок Годности'!$A$2:$B$4,2,0)</f>
        <v>1000</v>
      </c>
      <c r="N1343" s="60">
        <f t="shared" si="143"/>
        <v>142</v>
      </c>
      <c r="O1343" s="1" t="str">
        <f t="shared" si="144"/>
        <v>25 2012</v>
      </c>
      <c r="P1343" s="1">
        <f t="shared" si="145"/>
        <v>22</v>
      </c>
      <c r="Q1343" s="1">
        <f t="shared" ca="1" si="146"/>
        <v>4052</v>
      </c>
      <c r="S1343" s="1">
        <f t="shared" si="140"/>
        <v>995</v>
      </c>
    </row>
    <row r="1344" spans="1:19" x14ac:dyDescent="0.2">
      <c r="A1344" s="57" t="s">
        <v>236</v>
      </c>
      <c r="B1344" s="57" t="s">
        <v>237</v>
      </c>
      <c r="C1344" s="57" t="s">
        <v>238</v>
      </c>
      <c r="D1344" s="58">
        <v>165.05</v>
      </c>
      <c r="E1344" s="59">
        <v>41082</v>
      </c>
      <c r="F1344" s="58">
        <v>995</v>
      </c>
      <c r="G1344" s="58">
        <v>445</v>
      </c>
      <c r="H1344" s="58">
        <v>285</v>
      </c>
      <c r="I1344" s="58">
        <v>1133</v>
      </c>
      <c r="J1344" s="58">
        <v>0</v>
      </c>
      <c r="K1344" s="1">
        <f t="shared" si="141"/>
        <v>47039.25</v>
      </c>
      <c r="L1344" s="1" t="str">
        <f t="shared" si="142"/>
        <v/>
      </c>
      <c r="M1344" s="1">
        <f>VLOOKUP(B1344,'[1]Срок Годности'!$A$2:$B$4,2,0)</f>
        <v>1000</v>
      </c>
      <c r="N1344" s="60">
        <f t="shared" si="143"/>
        <v>445</v>
      </c>
      <c r="O1344" s="1" t="str">
        <f t="shared" si="144"/>
        <v>25 2012</v>
      </c>
      <c r="P1344" s="1">
        <f t="shared" si="145"/>
        <v>22</v>
      </c>
      <c r="Q1344" s="1">
        <f t="shared" ca="1" si="146"/>
        <v>4051</v>
      </c>
      <c r="S1344" s="1">
        <f t="shared" si="140"/>
        <v>1133</v>
      </c>
    </row>
    <row r="1345" spans="1:19" x14ac:dyDescent="0.2">
      <c r="A1345" s="57" t="s">
        <v>236</v>
      </c>
      <c r="B1345" s="57" t="s">
        <v>237</v>
      </c>
      <c r="C1345" s="57" t="s">
        <v>238</v>
      </c>
      <c r="D1345" s="58">
        <v>165.05</v>
      </c>
      <c r="E1345" s="59">
        <v>41083</v>
      </c>
      <c r="F1345" s="58">
        <v>1133</v>
      </c>
      <c r="G1345" s="58">
        <v>134</v>
      </c>
      <c r="H1345" s="58">
        <v>264</v>
      </c>
      <c r="I1345" s="58">
        <v>988</v>
      </c>
      <c r="J1345" s="58">
        <v>0</v>
      </c>
      <c r="K1345" s="1">
        <f t="shared" si="141"/>
        <v>43573.200000000004</v>
      </c>
      <c r="L1345" s="1" t="str">
        <f t="shared" si="142"/>
        <v/>
      </c>
      <c r="M1345" s="1">
        <f>VLOOKUP(B1345,'[1]Срок Годности'!$A$2:$B$4,2,0)</f>
        <v>1000</v>
      </c>
      <c r="N1345" s="60">
        <f t="shared" si="143"/>
        <v>134</v>
      </c>
      <c r="O1345" s="1" t="str">
        <f t="shared" si="144"/>
        <v>25 2012</v>
      </c>
      <c r="P1345" s="1">
        <f t="shared" si="145"/>
        <v>22</v>
      </c>
      <c r="Q1345" s="1">
        <f t="shared" ca="1" si="146"/>
        <v>4050</v>
      </c>
      <c r="S1345" s="1">
        <f t="shared" si="140"/>
        <v>988</v>
      </c>
    </row>
    <row r="1346" spans="1:19" x14ac:dyDescent="0.2">
      <c r="A1346" s="57" t="s">
        <v>236</v>
      </c>
      <c r="B1346" s="57" t="s">
        <v>237</v>
      </c>
      <c r="C1346" s="57" t="s">
        <v>238</v>
      </c>
      <c r="D1346" s="58">
        <v>165.05</v>
      </c>
      <c r="E1346" s="59">
        <v>41084</v>
      </c>
      <c r="F1346" s="58">
        <v>988</v>
      </c>
      <c r="G1346" s="58">
        <v>393</v>
      </c>
      <c r="H1346" s="58">
        <v>271</v>
      </c>
      <c r="I1346" s="58">
        <v>1102</v>
      </c>
      <c r="J1346" s="58">
        <v>0</v>
      </c>
      <c r="K1346" s="1">
        <f t="shared" si="141"/>
        <v>44728.55</v>
      </c>
      <c r="L1346" s="1" t="str">
        <f t="shared" si="142"/>
        <v/>
      </c>
      <c r="M1346" s="1">
        <f>VLOOKUP(B1346,'[1]Срок Годности'!$A$2:$B$4,2,0)</f>
        <v>1000</v>
      </c>
      <c r="N1346" s="60">
        <f t="shared" si="143"/>
        <v>0</v>
      </c>
      <c r="O1346" s="1" t="str">
        <f t="shared" si="144"/>
        <v>26 2012</v>
      </c>
      <c r="P1346" s="1">
        <f t="shared" si="145"/>
        <v>22</v>
      </c>
      <c r="Q1346" s="1">
        <f t="shared" ca="1" si="146"/>
        <v>4049</v>
      </c>
      <c r="S1346" s="1">
        <f t="shared" si="140"/>
        <v>1102</v>
      </c>
    </row>
    <row r="1347" spans="1:19" x14ac:dyDescent="0.2">
      <c r="A1347" s="57" t="s">
        <v>236</v>
      </c>
      <c r="B1347" s="57" t="s">
        <v>237</v>
      </c>
      <c r="C1347" s="57" t="s">
        <v>238</v>
      </c>
      <c r="D1347" s="58">
        <v>165.05</v>
      </c>
      <c r="E1347" s="59">
        <v>41085</v>
      </c>
      <c r="F1347" s="58">
        <v>1102</v>
      </c>
      <c r="G1347" s="58">
        <v>333</v>
      </c>
      <c r="H1347" s="58">
        <v>324</v>
      </c>
      <c r="I1347" s="58">
        <v>1104</v>
      </c>
      <c r="J1347" s="58">
        <v>0</v>
      </c>
      <c r="K1347" s="1">
        <f t="shared" si="141"/>
        <v>53476.200000000004</v>
      </c>
      <c r="L1347" s="1" t="str">
        <f t="shared" si="142"/>
        <v/>
      </c>
      <c r="M1347" s="1">
        <f>VLOOKUP(B1347,'[1]Срок Годности'!$A$2:$B$4,2,0)</f>
        <v>1000</v>
      </c>
      <c r="N1347" s="60">
        <f t="shared" si="143"/>
        <v>333</v>
      </c>
      <c r="O1347" s="1" t="str">
        <f t="shared" si="144"/>
        <v>26 2012</v>
      </c>
      <c r="P1347" s="1">
        <f t="shared" si="145"/>
        <v>22</v>
      </c>
      <c r="Q1347" s="1">
        <f t="shared" ca="1" si="146"/>
        <v>4048</v>
      </c>
      <c r="S1347" s="1">
        <f t="shared" si="140"/>
        <v>1104</v>
      </c>
    </row>
    <row r="1348" spans="1:19" x14ac:dyDescent="0.2">
      <c r="A1348" s="57" t="s">
        <v>236</v>
      </c>
      <c r="B1348" s="57" t="s">
        <v>237</v>
      </c>
      <c r="C1348" s="57" t="s">
        <v>238</v>
      </c>
      <c r="D1348" s="58">
        <v>165.05</v>
      </c>
      <c r="E1348" s="59">
        <v>41086</v>
      </c>
      <c r="F1348" s="58">
        <v>1104</v>
      </c>
      <c r="G1348" s="58">
        <v>357</v>
      </c>
      <c r="H1348" s="58">
        <v>249</v>
      </c>
      <c r="I1348" s="58">
        <v>1202</v>
      </c>
      <c r="J1348" s="58">
        <v>0</v>
      </c>
      <c r="K1348" s="1">
        <f t="shared" si="141"/>
        <v>41097.450000000004</v>
      </c>
      <c r="L1348" s="1" t="str">
        <f t="shared" si="142"/>
        <v/>
      </c>
      <c r="M1348" s="1">
        <f>VLOOKUP(B1348,'[1]Срок Годности'!$A$2:$B$4,2,0)</f>
        <v>1000</v>
      </c>
      <c r="N1348" s="60">
        <f t="shared" si="143"/>
        <v>357</v>
      </c>
      <c r="O1348" s="1" t="str">
        <f t="shared" si="144"/>
        <v>26 2012</v>
      </c>
      <c r="P1348" s="1">
        <f t="shared" si="145"/>
        <v>22</v>
      </c>
      <c r="Q1348" s="1">
        <f t="shared" ca="1" si="146"/>
        <v>4047</v>
      </c>
      <c r="S1348" s="1">
        <f t="shared" si="140"/>
        <v>1202</v>
      </c>
    </row>
    <row r="1349" spans="1:19" x14ac:dyDescent="0.2">
      <c r="A1349" s="57" t="s">
        <v>236</v>
      </c>
      <c r="B1349" s="57" t="s">
        <v>237</v>
      </c>
      <c r="C1349" s="57" t="s">
        <v>238</v>
      </c>
      <c r="D1349" s="58">
        <v>165.05</v>
      </c>
      <c r="E1349" s="59">
        <v>41087</v>
      </c>
      <c r="F1349" s="58">
        <v>1202</v>
      </c>
      <c r="G1349" s="58">
        <v>346</v>
      </c>
      <c r="H1349" s="58">
        <v>257</v>
      </c>
      <c r="I1349" s="58">
        <v>1285</v>
      </c>
      <c r="J1349" s="58">
        <v>0</v>
      </c>
      <c r="K1349" s="1">
        <f t="shared" si="141"/>
        <v>42417.850000000006</v>
      </c>
      <c r="L1349" s="1" t="str">
        <f t="shared" si="142"/>
        <v/>
      </c>
      <c r="M1349" s="1">
        <f>VLOOKUP(B1349,'[1]Срок Годности'!$A$2:$B$4,2,0)</f>
        <v>1000</v>
      </c>
      <c r="N1349" s="60">
        <f t="shared" si="143"/>
        <v>346</v>
      </c>
      <c r="O1349" s="1" t="str">
        <f t="shared" si="144"/>
        <v>26 2012</v>
      </c>
      <c r="P1349" s="1">
        <f t="shared" si="145"/>
        <v>22</v>
      </c>
      <c r="Q1349" s="1">
        <f t="shared" ca="1" si="146"/>
        <v>4046</v>
      </c>
      <c r="S1349" s="1">
        <f t="shared" si="140"/>
        <v>1285</v>
      </c>
    </row>
    <row r="1350" spans="1:19" x14ac:dyDescent="0.2">
      <c r="A1350" s="57" t="s">
        <v>236</v>
      </c>
      <c r="B1350" s="57" t="s">
        <v>237</v>
      </c>
      <c r="C1350" s="57" t="s">
        <v>238</v>
      </c>
      <c r="D1350" s="58">
        <v>165.05</v>
      </c>
      <c r="E1350" s="59">
        <v>41088</v>
      </c>
      <c r="F1350" s="58">
        <v>1285</v>
      </c>
      <c r="G1350" s="58">
        <v>536</v>
      </c>
      <c r="H1350" s="58">
        <v>347</v>
      </c>
      <c r="I1350" s="58">
        <v>1456</v>
      </c>
      <c r="J1350" s="58">
        <v>0</v>
      </c>
      <c r="K1350" s="1">
        <f t="shared" si="141"/>
        <v>57272.350000000006</v>
      </c>
      <c r="L1350" s="1" t="str">
        <f t="shared" si="142"/>
        <v/>
      </c>
      <c r="M1350" s="1">
        <f>VLOOKUP(B1350,'[1]Срок Годности'!$A$2:$B$4,2,0)</f>
        <v>1000</v>
      </c>
      <c r="N1350" s="60">
        <f t="shared" si="143"/>
        <v>536</v>
      </c>
      <c r="O1350" s="1" t="str">
        <f t="shared" si="144"/>
        <v>26 2012</v>
      </c>
      <c r="P1350" s="1">
        <f t="shared" si="145"/>
        <v>22</v>
      </c>
      <c r="Q1350" s="1">
        <f t="shared" ca="1" si="146"/>
        <v>4045</v>
      </c>
      <c r="S1350" s="1">
        <f t="shared" si="140"/>
        <v>1456</v>
      </c>
    </row>
    <row r="1351" spans="1:19" x14ac:dyDescent="0.2">
      <c r="A1351" s="57" t="s">
        <v>236</v>
      </c>
      <c r="B1351" s="57" t="s">
        <v>237</v>
      </c>
      <c r="C1351" s="57" t="s">
        <v>238</v>
      </c>
      <c r="D1351" s="58">
        <v>165.05</v>
      </c>
      <c r="E1351" s="59">
        <v>41089</v>
      </c>
      <c r="F1351" s="58">
        <v>1456</v>
      </c>
      <c r="G1351" s="58">
        <v>254</v>
      </c>
      <c r="H1351" s="58">
        <v>364</v>
      </c>
      <c r="I1351" s="58">
        <v>1353</v>
      </c>
      <c r="J1351" s="58">
        <v>0</v>
      </c>
      <c r="K1351" s="1">
        <f t="shared" si="141"/>
        <v>60078.200000000004</v>
      </c>
      <c r="L1351" s="1" t="str">
        <f t="shared" si="142"/>
        <v/>
      </c>
      <c r="M1351" s="1">
        <f>VLOOKUP(B1351,'[1]Срок Годности'!$A$2:$B$4,2,0)</f>
        <v>1000</v>
      </c>
      <c r="N1351" s="60">
        <f t="shared" si="143"/>
        <v>254</v>
      </c>
      <c r="O1351" s="1" t="str">
        <f t="shared" si="144"/>
        <v>26 2012</v>
      </c>
      <c r="P1351" s="1">
        <f t="shared" si="145"/>
        <v>22</v>
      </c>
      <c r="Q1351" s="1">
        <f t="shared" ca="1" si="146"/>
        <v>4044</v>
      </c>
      <c r="S1351" s="1">
        <f t="shared" ref="S1351:S1414" si="147">I1351-J1351</f>
        <v>1353</v>
      </c>
    </row>
    <row r="1352" spans="1:19" x14ac:dyDescent="0.2">
      <c r="A1352" s="57" t="s">
        <v>236</v>
      </c>
      <c r="B1352" s="57" t="s">
        <v>237</v>
      </c>
      <c r="C1352" s="57" t="s">
        <v>238</v>
      </c>
      <c r="D1352" s="58">
        <v>165.05</v>
      </c>
      <c r="E1352" s="59">
        <v>41090</v>
      </c>
      <c r="F1352" s="58">
        <v>1353</v>
      </c>
      <c r="G1352" s="58">
        <v>484</v>
      </c>
      <c r="H1352" s="58">
        <v>460</v>
      </c>
      <c r="I1352" s="58">
        <v>1372</v>
      </c>
      <c r="J1352" s="58">
        <v>0</v>
      </c>
      <c r="K1352" s="1">
        <f t="shared" ref="K1352:K1415" si="148">H1352*D1352</f>
        <v>75923</v>
      </c>
      <c r="L1352" s="1" t="str">
        <f t="shared" ref="L1352:L1415" si="149">IF(H1352&gt;1000,H1352,"")</f>
        <v/>
      </c>
      <c r="M1352" s="1">
        <f>VLOOKUP(B1352,'[1]Срок Годности'!$A$2:$B$4,2,0)</f>
        <v>1000</v>
      </c>
      <c r="N1352" s="60">
        <f t="shared" ref="N1352:N1415" si="150">IF(WEEKDAY(E1352) = 1, 0, G1352)</f>
        <v>484</v>
      </c>
      <c r="O1352" s="1" t="str">
        <f t="shared" ref="O1352:O1415" si="151">WEEKNUM(E1352) &amp; " " &amp; YEAR(E1352)</f>
        <v>26 2012</v>
      </c>
      <c r="P1352" s="1">
        <f t="shared" ref="P1352:P1415" si="152">LEN(C1352)</f>
        <v>22</v>
      </c>
      <c r="Q1352" s="1">
        <f t="shared" ref="Q1352:Q1415" ca="1" si="153">DATEDIF(E1352,NOW(),"D")</f>
        <v>4043</v>
      </c>
      <c r="S1352" s="1">
        <f t="shared" si="147"/>
        <v>1372</v>
      </c>
    </row>
    <row r="1353" spans="1:19" x14ac:dyDescent="0.2">
      <c r="A1353" s="57" t="s">
        <v>236</v>
      </c>
      <c r="B1353" s="57" t="s">
        <v>237</v>
      </c>
      <c r="C1353" s="57" t="s">
        <v>238</v>
      </c>
      <c r="D1353" s="58">
        <v>165.05</v>
      </c>
      <c r="E1353" s="59">
        <v>41091</v>
      </c>
      <c r="F1353" s="58">
        <v>1372</v>
      </c>
      <c r="G1353" s="58">
        <v>296</v>
      </c>
      <c r="H1353" s="58">
        <v>444</v>
      </c>
      <c r="I1353" s="58">
        <v>1221</v>
      </c>
      <c r="J1353" s="58">
        <v>0</v>
      </c>
      <c r="K1353" s="1">
        <f t="shared" si="148"/>
        <v>73282.200000000012</v>
      </c>
      <c r="L1353" s="1" t="str">
        <f t="shared" si="149"/>
        <v/>
      </c>
      <c r="M1353" s="1">
        <f>VLOOKUP(B1353,'[1]Срок Годности'!$A$2:$B$4,2,0)</f>
        <v>1000</v>
      </c>
      <c r="N1353" s="60">
        <f t="shared" si="150"/>
        <v>0</v>
      </c>
      <c r="O1353" s="1" t="str">
        <f t="shared" si="151"/>
        <v>27 2012</v>
      </c>
      <c r="P1353" s="1">
        <f t="shared" si="152"/>
        <v>22</v>
      </c>
      <c r="Q1353" s="1">
        <f t="shared" ca="1" si="153"/>
        <v>4042</v>
      </c>
      <c r="S1353" s="1">
        <f t="shared" si="147"/>
        <v>1221</v>
      </c>
    </row>
    <row r="1354" spans="1:19" x14ac:dyDescent="0.2">
      <c r="A1354" s="57" t="s">
        <v>236</v>
      </c>
      <c r="B1354" s="57" t="s">
        <v>237</v>
      </c>
      <c r="C1354" s="57" t="s">
        <v>238</v>
      </c>
      <c r="D1354" s="58">
        <v>165.05</v>
      </c>
      <c r="E1354" s="59">
        <v>41092</v>
      </c>
      <c r="F1354" s="58">
        <v>1221</v>
      </c>
      <c r="G1354" s="58">
        <v>386</v>
      </c>
      <c r="H1354" s="58">
        <v>588</v>
      </c>
      <c r="I1354" s="58">
        <v>1017</v>
      </c>
      <c r="J1354" s="58">
        <v>0</v>
      </c>
      <c r="K1354" s="1">
        <f t="shared" si="148"/>
        <v>97049.400000000009</v>
      </c>
      <c r="L1354" s="1" t="str">
        <f t="shared" si="149"/>
        <v/>
      </c>
      <c r="M1354" s="1">
        <f>VLOOKUP(B1354,'[1]Срок Годности'!$A$2:$B$4,2,0)</f>
        <v>1000</v>
      </c>
      <c r="N1354" s="60">
        <f t="shared" si="150"/>
        <v>386</v>
      </c>
      <c r="O1354" s="1" t="str">
        <f t="shared" si="151"/>
        <v>27 2012</v>
      </c>
      <c r="P1354" s="1">
        <f t="shared" si="152"/>
        <v>22</v>
      </c>
      <c r="Q1354" s="1">
        <f t="shared" ca="1" si="153"/>
        <v>4041</v>
      </c>
      <c r="S1354" s="1">
        <f t="shared" si="147"/>
        <v>1017</v>
      </c>
    </row>
    <row r="1355" spans="1:19" x14ac:dyDescent="0.2">
      <c r="A1355" s="57" t="s">
        <v>236</v>
      </c>
      <c r="B1355" s="57" t="s">
        <v>237</v>
      </c>
      <c r="C1355" s="57" t="s">
        <v>238</v>
      </c>
      <c r="D1355" s="58">
        <v>165.05</v>
      </c>
      <c r="E1355" s="59">
        <v>41093</v>
      </c>
      <c r="F1355" s="58">
        <v>1017</v>
      </c>
      <c r="G1355" s="58">
        <v>286</v>
      </c>
      <c r="H1355" s="58">
        <v>406</v>
      </c>
      <c r="I1355" s="58">
        <v>894</v>
      </c>
      <c r="J1355" s="58">
        <v>0</v>
      </c>
      <c r="K1355" s="1">
        <f t="shared" si="148"/>
        <v>67010.3</v>
      </c>
      <c r="L1355" s="1" t="str">
        <f t="shared" si="149"/>
        <v/>
      </c>
      <c r="M1355" s="1">
        <f>VLOOKUP(B1355,'[1]Срок Годности'!$A$2:$B$4,2,0)</f>
        <v>1000</v>
      </c>
      <c r="N1355" s="60">
        <f t="shared" si="150"/>
        <v>286</v>
      </c>
      <c r="O1355" s="1" t="str">
        <f t="shared" si="151"/>
        <v>27 2012</v>
      </c>
      <c r="P1355" s="1">
        <f t="shared" si="152"/>
        <v>22</v>
      </c>
      <c r="Q1355" s="1">
        <f t="shared" ca="1" si="153"/>
        <v>4040</v>
      </c>
      <c r="S1355" s="1">
        <f t="shared" si="147"/>
        <v>894</v>
      </c>
    </row>
    <row r="1356" spans="1:19" x14ac:dyDescent="0.2">
      <c r="A1356" s="57" t="s">
        <v>236</v>
      </c>
      <c r="B1356" s="57" t="s">
        <v>237</v>
      </c>
      <c r="C1356" s="57" t="s">
        <v>238</v>
      </c>
      <c r="D1356" s="58">
        <v>165.05</v>
      </c>
      <c r="E1356" s="59">
        <v>41094</v>
      </c>
      <c r="F1356" s="58">
        <v>894</v>
      </c>
      <c r="G1356" s="58">
        <v>966</v>
      </c>
      <c r="H1356" s="58">
        <v>428</v>
      </c>
      <c r="I1356" s="58">
        <v>1438</v>
      </c>
      <c r="J1356" s="58">
        <v>0</v>
      </c>
      <c r="K1356" s="1">
        <f t="shared" si="148"/>
        <v>70641.400000000009</v>
      </c>
      <c r="L1356" s="1" t="str">
        <f t="shared" si="149"/>
        <v/>
      </c>
      <c r="M1356" s="1">
        <f>VLOOKUP(B1356,'[1]Срок Годности'!$A$2:$B$4,2,0)</f>
        <v>1000</v>
      </c>
      <c r="N1356" s="60">
        <f t="shared" si="150"/>
        <v>966</v>
      </c>
      <c r="O1356" s="1" t="str">
        <f t="shared" si="151"/>
        <v>27 2012</v>
      </c>
      <c r="P1356" s="1">
        <f t="shared" si="152"/>
        <v>22</v>
      </c>
      <c r="Q1356" s="1">
        <f t="shared" ca="1" si="153"/>
        <v>4039</v>
      </c>
      <c r="S1356" s="1">
        <f t="shared" si="147"/>
        <v>1438</v>
      </c>
    </row>
    <row r="1357" spans="1:19" x14ac:dyDescent="0.2">
      <c r="A1357" s="57" t="s">
        <v>236</v>
      </c>
      <c r="B1357" s="57" t="s">
        <v>237</v>
      </c>
      <c r="C1357" s="57" t="s">
        <v>238</v>
      </c>
      <c r="D1357" s="58">
        <v>165.05</v>
      </c>
      <c r="E1357" s="59">
        <v>41095</v>
      </c>
      <c r="F1357" s="58">
        <v>1438</v>
      </c>
      <c r="G1357" s="58">
        <v>549</v>
      </c>
      <c r="H1357" s="58">
        <v>480</v>
      </c>
      <c r="I1357" s="58">
        <v>1508</v>
      </c>
      <c r="J1357" s="58">
        <v>0</v>
      </c>
      <c r="K1357" s="1">
        <f t="shared" si="148"/>
        <v>79224</v>
      </c>
      <c r="L1357" s="1" t="str">
        <f t="shared" si="149"/>
        <v/>
      </c>
      <c r="M1357" s="1">
        <f>VLOOKUP(B1357,'[1]Срок Годности'!$A$2:$B$4,2,0)</f>
        <v>1000</v>
      </c>
      <c r="N1357" s="60">
        <f t="shared" si="150"/>
        <v>549</v>
      </c>
      <c r="O1357" s="1" t="str">
        <f t="shared" si="151"/>
        <v>27 2012</v>
      </c>
      <c r="P1357" s="1">
        <f t="shared" si="152"/>
        <v>22</v>
      </c>
      <c r="Q1357" s="1">
        <f t="shared" ca="1" si="153"/>
        <v>4038</v>
      </c>
      <c r="S1357" s="1">
        <f t="shared" si="147"/>
        <v>1508</v>
      </c>
    </row>
    <row r="1358" spans="1:19" x14ac:dyDescent="0.2">
      <c r="A1358" s="57" t="s">
        <v>236</v>
      </c>
      <c r="B1358" s="57" t="s">
        <v>237</v>
      </c>
      <c r="C1358" s="57" t="s">
        <v>238</v>
      </c>
      <c r="D1358" s="58">
        <v>165.05</v>
      </c>
      <c r="E1358" s="59">
        <v>41096</v>
      </c>
      <c r="F1358" s="58">
        <v>1508</v>
      </c>
      <c r="G1358" s="58">
        <v>988</v>
      </c>
      <c r="H1358" s="58">
        <v>523</v>
      </c>
      <c r="I1358" s="58">
        <v>1957</v>
      </c>
      <c r="J1358" s="58">
        <v>0</v>
      </c>
      <c r="K1358" s="1">
        <f t="shared" si="148"/>
        <v>86321.150000000009</v>
      </c>
      <c r="L1358" s="1" t="str">
        <f t="shared" si="149"/>
        <v/>
      </c>
      <c r="M1358" s="1">
        <f>VLOOKUP(B1358,'[1]Срок Годности'!$A$2:$B$4,2,0)</f>
        <v>1000</v>
      </c>
      <c r="N1358" s="60">
        <f t="shared" si="150"/>
        <v>988</v>
      </c>
      <c r="O1358" s="1" t="str">
        <f t="shared" si="151"/>
        <v>27 2012</v>
      </c>
      <c r="P1358" s="1">
        <f t="shared" si="152"/>
        <v>22</v>
      </c>
      <c r="Q1358" s="1">
        <f t="shared" ca="1" si="153"/>
        <v>4037</v>
      </c>
      <c r="S1358" s="1">
        <f t="shared" si="147"/>
        <v>1957</v>
      </c>
    </row>
    <row r="1359" spans="1:19" x14ac:dyDescent="0.2">
      <c r="A1359" s="57" t="s">
        <v>236</v>
      </c>
      <c r="B1359" s="57" t="s">
        <v>237</v>
      </c>
      <c r="C1359" s="57" t="s">
        <v>238</v>
      </c>
      <c r="D1359" s="58">
        <v>165.05</v>
      </c>
      <c r="E1359" s="59">
        <v>41097</v>
      </c>
      <c r="F1359" s="58">
        <v>1957</v>
      </c>
      <c r="G1359" s="58">
        <v>688</v>
      </c>
      <c r="H1359" s="58">
        <v>603</v>
      </c>
      <c r="I1359" s="58">
        <v>2019</v>
      </c>
      <c r="J1359" s="58">
        <v>0</v>
      </c>
      <c r="K1359" s="1">
        <f t="shared" si="148"/>
        <v>99525.150000000009</v>
      </c>
      <c r="L1359" s="1" t="str">
        <f t="shared" si="149"/>
        <v/>
      </c>
      <c r="M1359" s="1">
        <f>VLOOKUP(B1359,'[1]Срок Годности'!$A$2:$B$4,2,0)</f>
        <v>1000</v>
      </c>
      <c r="N1359" s="60">
        <f t="shared" si="150"/>
        <v>688</v>
      </c>
      <c r="O1359" s="1" t="str">
        <f t="shared" si="151"/>
        <v>27 2012</v>
      </c>
      <c r="P1359" s="1">
        <f t="shared" si="152"/>
        <v>22</v>
      </c>
      <c r="Q1359" s="1">
        <f t="shared" ca="1" si="153"/>
        <v>4036</v>
      </c>
      <c r="S1359" s="1">
        <f t="shared" si="147"/>
        <v>2019</v>
      </c>
    </row>
    <row r="1360" spans="1:19" x14ac:dyDescent="0.2">
      <c r="A1360" s="57" t="s">
        <v>236</v>
      </c>
      <c r="B1360" s="57" t="s">
        <v>237</v>
      </c>
      <c r="C1360" s="57" t="s">
        <v>238</v>
      </c>
      <c r="D1360" s="58">
        <v>165.05</v>
      </c>
      <c r="E1360" s="59">
        <v>41098</v>
      </c>
      <c r="F1360" s="58">
        <v>2019</v>
      </c>
      <c r="G1360" s="58">
        <v>490</v>
      </c>
      <c r="H1360" s="58">
        <v>659</v>
      </c>
      <c r="I1360" s="58">
        <v>1841</v>
      </c>
      <c r="J1360" s="58">
        <v>0</v>
      </c>
      <c r="K1360" s="1">
        <f t="shared" si="148"/>
        <v>108767.95000000001</v>
      </c>
      <c r="L1360" s="1" t="str">
        <f t="shared" si="149"/>
        <v/>
      </c>
      <c r="M1360" s="1">
        <f>VLOOKUP(B1360,'[1]Срок Годности'!$A$2:$B$4,2,0)</f>
        <v>1000</v>
      </c>
      <c r="N1360" s="60">
        <f t="shared" si="150"/>
        <v>0</v>
      </c>
      <c r="O1360" s="1" t="str">
        <f t="shared" si="151"/>
        <v>28 2012</v>
      </c>
      <c r="P1360" s="1">
        <f t="shared" si="152"/>
        <v>22</v>
      </c>
      <c r="Q1360" s="1">
        <f t="shared" ca="1" si="153"/>
        <v>4035</v>
      </c>
      <c r="S1360" s="1">
        <f t="shared" si="147"/>
        <v>1841</v>
      </c>
    </row>
    <row r="1361" spans="1:19" x14ac:dyDescent="0.2">
      <c r="A1361" s="57" t="s">
        <v>236</v>
      </c>
      <c r="B1361" s="57" t="s">
        <v>237</v>
      </c>
      <c r="C1361" s="57" t="s">
        <v>238</v>
      </c>
      <c r="D1361" s="58">
        <v>165.05</v>
      </c>
      <c r="E1361" s="59">
        <v>41099</v>
      </c>
      <c r="F1361" s="58">
        <v>1841</v>
      </c>
      <c r="G1361" s="58">
        <v>311</v>
      </c>
      <c r="H1361" s="58">
        <v>577</v>
      </c>
      <c r="I1361" s="58">
        <v>1567</v>
      </c>
      <c r="J1361" s="58">
        <v>0</v>
      </c>
      <c r="K1361" s="1">
        <f t="shared" si="148"/>
        <v>95233.85</v>
      </c>
      <c r="L1361" s="1" t="str">
        <f t="shared" si="149"/>
        <v/>
      </c>
      <c r="M1361" s="1">
        <f>VLOOKUP(B1361,'[1]Срок Годности'!$A$2:$B$4,2,0)</f>
        <v>1000</v>
      </c>
      <c r="N1361" s="60">
        <f t="shared" si="150"/>
        <v>311</v>
      </c>
      <c r="O1361" s="1" t="str">
        <f t="shared" si="151"/>
        <v>28 2012</v>
      </c>
      <c r="P1361" s="1">
        <f t="shared" si="152"/>
        <v>22</v>
      </c>
      <c r="Q1361" s="1">
        <f t="shared" ca="1" si="153"/>
        <v>4034</v>
      </c>
      <c r="S1361" s="1">
        <f t="shared" si="147"/>
        <v>1567</v>
      </c>
    </row>
    <row r="1362" spans="1:19" x14ac:dyDescent="0.2">
      <c r="A1362" s="57" t="s">
        <v>236</v>
      </c>
      <c r="B1362" s="57" t="s">
        <v>237</v>
      </c>
      <c r="C1362" s="57" t="s">
        <v>238</v>
      </c>
      <c r="D1362" s="58">
        <v>165.05</v>
      </c>
      <c r="E1362" s="59">
        <v>41100</v>
      </c>
      <c r="F1362" s="58">
        <v>1567</v>
      </c>
      <c r="G1362" s="58">
        <v>1476</v>
      </c>
      <c r="H1362" s="58">
        <v>641</v>
      </c>
      <c r="I1362" s="58">
        <v>2394</v>
      </c>
      <c r="J1362" s="58">
        <v>0</v>
      </c>
      <c r="K1362" s="1">
        <f t="shared" si="148"/>
        <v>105797.05</v>
      </c>
      <c r="L1362" s="1" t="str">
        <f t="shared" si="149"/>
        <v/>
      </c>
      <c r="M1362" s="1">
        <f>VLOOKUP(B1362,'[1]Срок Годности'!$A$2:$B$4,2,0)</f>
        <v>1000</v>
      </c>
      <c r="N1362" s="60">
        <f t="shared" si="150"/>
        <v>1476</v>
      </c>
      <c r="O1362" s="1" t="str">
        <f t="shared" si="151"/>
        <v>28 2012</v>
      </c>
      <c r="P1362" s="1">
        <f t="shared" si="152"/>
        <v>22</v>
      </c>
      <c r="Q1362" s="1">
        <f t="shared" ca="1" si="153"/>
        <v>4033</v>
      </c>
      <c r="S1362" s="1">
        <f t="shared" si="147"/>
        <v>2394</v>
      </c>
    </row>
    <row r="1363" spans="1:19" x14ac:dyDescent="0.2">
      <c r="A1363" s="57" t="s">
        <v>236</v>
      </c>
      <c r="B1363" s="57" t="s">
        <v>237</v>
      </c>
      <c r="C1363" s="57" t="s">
        <v>238</v>
      </c>
      <c r="D1363" s="58">
        <v>165.05</v>
      </c>
      <c r="E1363" s="59">
        <v>41101</v>
      </c>
      <c r="F1363" s="58">
        <v>2394</v>
      </c>
      <c r="G1363" s="58">
        <v>399</v>
      </c>
      <c r="H1363" s="58">
        <v>764</v>
      </c>
      <c r="I1363" s="58">
        <v>2015</v>
      </c>
      <c r="J1363" s="58">
        <v>0</v>
      </c>
      <c r="K1363" s="1">
        <f t="shared" si="148"/>
        <v>126098.20000000001</v>
      </c>
      <c r="L1363" s="1" t="str">
        <f t="shared" si="149"/>
        <v/>
      </c>
      <c r="M1363" s="1">
        <f>VLOOKUP(B1363,'[1]Срок Годности'!$A$2:$B$4,2,0)</f>
        <v>1000</v>
      </c>
      <c r="N1363" s="60">
        <f t="shared" si="150"/>
        <v>399</v>
      </c>
      <c r="O1363" s="1" t="str">
        <f t="shared" si="151"/>
        <v>28 2012</v>
      </c>
      <c r="P1363" s="1">
        <f t="shared" si="152"/>
        <v>22</v>
      </c>
      <c r="Q1363" s="1">
        <f t="shared" ca="1" si="153"/>
        <v>4032</v>
      </c>
      <c r="S1363" s="1">
        <f t="shared" si="147"/>
        <v>2015</v>
      </c>
    </row>
    <row r="1364" spans="1:19" x14ac:dyDescent="0.2">
      <c r="A1364" s="57" t="s">
        <v>236</v>
      </c>
      <c r="B1364" s="57" t="s">
        <v>237</v>
      </c>
      <c r="C1364" s="57" t="s">
        <v>238</v>
      </c>
      <c r="D1364" s="58">
        <v>165.05</v>
      </c>
      <c r="E1364" s="59">
        <v>41102</v>
      </c>
      <c r="F1364" s="58">
        <v>2015</v>
      </c>
      <c r="G1364" s="58">
        <v>887</v>
      </c>
      <c r="H1364" s="58">
        <v>607</v>
      </c>
      <c r="I1364" s="58">
        <v>2294</v>
      </c>
      <c r="J1364" s="58">
        <v>0</v>
      </c>
      <c r="K1364" s="1">
        <f t="shared" si="148"/>
        <v>100185.35</v>
      </c>
      <c r="L1364" s="1" t="str">
        <f t="shared" si="149"/>
        <v/>
      </c>
      <c r="M1364" s="1">
        <f>VLOOKUP(B1364,'[1]Срок Годности'!$A$2:$B$4,2,0)</f>
        <v>1000</v>
      </c>
      <c r="N1364" s="60">
        <f t="shared" si="150"/>
        <v>887</v>
      </c>
      <c r="O1364" s="1" t="str">
        <f t="shared" si="151"/>
        <v>28 2012</v>
      </c>
      <c r="P1364" s="1">
        <f t="shared" si="152"/>
        <v>22</v>
      </c>
      <c r="Q1364" s="1">
        <f t="shared" ca="1" si="153"/>
        <v>4031</v>
      </c>
      <c r="S1364" s="1">
        <f t="shared" si="147"/>
        <v>2294</v>
      </c>
    </row>
    <row r="1365" spans="1:19" x14ac:dyDescent="0.2">
      <c r="A1365" s="57" t="s">
        <v>236</v>
      </c>
      <c r="B1365" s="57" t="s">
        <v>237</v>
      </c>
      <c r="C1365" s="57" t="s">
        <v>238</v>
      </c>
      <c r="D1365" s="58">
        <v>165.05</v>
      </c>
      <c r="E1365" s="59">
        <v>41103</v>
      </c>
      <c r="F1365" s="58">
        <v>2294</v>
      </c>
      <c r="G1365" s="58">
        <v>1057</v>
      </c>
      <c r="H1365" s="58">
        <v>571</v>
      </c>
      <c r="I1365" s="58">
        <v>2747</v>
      </c>
      <c r="J1365" s="58">
        <v>0</v>
      </c>
      <c r="K1365" s="1">
        <f t="shared" si="148"/>
        <v>94243.55</v>
      </c>
      <c r="L1365" s="1" t="str">
        <f t="shared" si="149"/>
        <v/>
      </c>
      <c r="M1365" s="1">
        <f>VLOOKUP(B1365,'[1]Срок Годности'!$A$2:$B$4,2,0)</f>
        <v>1000</v>
      </c>
      <c r="N1365" s="60">
        <f t="shared" si="150"/>
        <v>1057</v>
      </c>
      <c r="O1365" s="1" t="str">
        <f t="shared" si="151"/>
        <v>28 2012</v>
      </c>
      <c r="P1365" s="1">
        <f t="shared" si="152"/>
        <v>22</v>
      </c>
      <c r="Q1365" s="1">
        <f t="shared" ca="1" si="153"/>
        <v>4030</v>
      </c>
      <c r="S1365" s="1">
        <f t="shared" si="147"/>
        <v>2747</v>
      </c>
    </row>
    <row r="1366" spans="1:19" x14ac:dyDescent="0.2">
      <c r="A1366" s="57" t="s">
        <v>236</v>
      </c>
      <c r="B1366" s="57" t="s">
        <v>237</v>
      </c>
      <c r="C1366" s="57" t="s">
        <v>238</v>
      </c>
      <c r="D1366" s="58">
        <v>165.05</v>
      </c>
      <c r="E1366" s="59">
        <v>41104</v>
      </c>
      <c r="F1366" s="58">
        <v>2747</v>
      </c>
      <c r="G1366" s="58">
        <v>1178</v>
      </c>
      <c r="H1366" s="58">
        <v>695</v>
      </c>
      <c r="I1366" s="58">
        <v>3226</v>
      </c>
      <c r="J1366" s="58">
        <v>0</v>
      </c>
      <c r="K1366" s="1">
        <f t="shared" si="148"/>
        <v>114709.75000000001</v>
      </c>
      <c r="L1366" s="1" t="str">
        <f t="shared" si="149"/>
        <v/>
      </c>
      <c r="M1366" s="1">
        <f>VLOOKUP(B1366,'[1]Срок Годности'!$A$2:$B$4,2,0)</f>
        <v>1000</v>
      </c>
      <c r="N1366" s="60">
        <f t="shared" si="150"/>
        <v>1178</v>
      </c>
      <c r="O1366" s="1" t="str">
        <f t="shared" si="151"/>
        <v>28 2012</v>
      </c>
      <c r="P1366" s="1">
        <f t="shared" si="152"/>
        <v>22</v>
      </c>
      <c r="Q1366" s="1">
        <f t="shared" ca="1" si="153"/>
        <v>4029</v>
      </c>
      <c r="S1366" s="1">
        <f t="shared" si="147"/>
        <v>3226</v>
      </c>
    </row>
    <row r="1367" spans="1:19" x14ac:dyDescent="0.2">
      <c r="A1367" s="57" t="s">
        <v>236</v>
      </c>
      <c r="B1367" s="57" t="s">
        <v>237</v>
      </c>
      <c r="C1367" s="57" t="s">
        <v>238</v>
      </c>
      <c r="D1367" s="58">
        <v>165.05</v>
      </c>
      <c r="E1367" s="59">
        <v>41105</v>
      </c>
      <c r="F1367" s="58">
        <v>3226</v>
      </c>
      <c r="G1367" s="58">
        <v>201</v>
      </c>
      <c r="H1367" s="58">
        <v>649</v>
      </c>
      <c r="I1367" s="58">
        <v>2776</v>
      </c>
      <c r="J1367" s="58">
        <v>0</v>
      </c>
      <c r="K1367" s="1">
        <f t="shared" si="148"/>
        <v>107117.45000000001</v>
      </c>
      <c r="L1367" s="1" t="str">
        <f t="shared" si="149"/>
        <v/>
      </c>
      <c r="M1367" s="1">
        <f>VLOOKUP(B1367,'[1]Срок Годности'!$A$2:$B$4,2,0)</f>
        <v>1000</v>
      </c>
      <c r="N1367" s="60">
        <f t="shared" si="150"/>
        <v>0</v>
      </c>
      <c r="O1367" s="1" t="str">
        <f t="shared" si="151"/>
        <v>29 2012</v>
      </c>
      <c r="P1367" s="1">
        <f t="shared" si="152"/>
        <v>22</v>
      </c>
      <c r="Q1367" s="1">
        <f t="shared" ca="1" si="153"/>
        <v>4028</v>
      </c>
      <c r="S1367" s="1">
        <f t="shared" si="147"/>
        <v>2776</v>
      </c>
    </row>
    <row r="1368" spans="1:19" x14ac:dyDescent="0.2">
      <c r="A1368" s="57" t="s">
        <v>236</v>
      </c>
      <c r="B1368" s="57" t="s">
        <v>237</v>
      </c>
      <c r="C1368" s="57" t="s">
        <v>238</v>
      </c>
      <c r="D1368" s="58">
        <v>165.05</v>
      </c>
      <c r="E1368" s="59">
        <v>41106</v>
      </c>
      <c r="F1368" s="58">
        <v>2776</v>
      </c>
      <c r="G1368" s="58">
        <v>805</v>
      </c>
      <c r="H1368" s="58">
        <v>752</v>
      </c>
      <c r="I1368" s="58">
        <v>2827</v>
      </c>
      <c r="J1368" s="58">
        <v>0</v>
      </c>
      <c r="K1368" s="1">
        <f t="shared" si="148"/>
        <v>124117.6</v>
      </c>
      <c r="L1368" s="1" t="str">
        <f t="shared" si="149"/>
        <v/>
      </c>
      <c r="M1368" s="1">
        <f>VLOOKUP(B1368,'[1]Срок Годности'!$A$2:$B$4,2,0)</f>
        <v>1000</v>
      </c>
      <c r="N1368" s="60">
        <f t="shared" si="150"/>
        <v>805</v>
      </c>
      <c r="O1368" s="1" t="str">
        <f t="shared" si="151"/>
        <v>29 2012</v>
      </c>
      <c r="P1368" s="1">
        <f t="shared" si="152"/>
        <v>22</v>
      </c>
      <c r="Q1368" s="1">
        <f t="shared" ca="1" si="153"/>
        <v>4027</v>
      </c>
      <c r="S1368" s="1">
        <f t="shared" si="147"/>
        <v>2827</v>
      </c>
    </row>
    <row r="1369" spans="1:19" x14ac:dyDescent="0.2">
      <c r="A1369" s="57" t="s">
        <v>236</v>
      </c>
      <c r="B1369" s="57" t="s">
        <v>237</v>
      </c>
      <c r="C1369" s="57" t="s">
        <v>238</v>
      </c>
      <c r="D1369" s="58">
        <v>165.05</v>
      </c>
      <c r="E1369" s="59">
        <v>41107</v>
      </c>
      <c r="F1369" s="58">
        <v>2827</v>
      </c>
      <c r="G1369" s="58">
        <v>567</v>
      </c>
      <c r="H1369" s="58">
        <v>625</v>
      </c>
      <c r="I1369" s="58">
        <v>2764</v>
      </c>
      <c r="J1369" s="58">
        <v>0</v>
      </c>
      <c r="K1369" s="1">
        <f t="shared" si="148"/>
        <v>103156.25</v>
      </c>
      <c r="L1369" s="1" t="str">
        <f t="shared" si="149"/>
        <v/>
      </c>
      <c r="M1369" s="1">
        <f>VLOOKUP(B1369,'[1]Срок Годности'!$A$2:$B$4,2,0)</f>
        <v>1000</v>
      </c>
      <c r="N1369" s="60">
        <f t="shared" si="150"/>
        <v>567</v>
      </c>
      <c r="O1369" s="1" t="str">
        <f t="shared" si="151"/>
        <v>29 2012</v>
      </c>
      <c r="P1369" s="1">
        <f t="shared" si="152"/>
        <v>22</v>
      </c>
      <c r="Q1369" s="1">
        <f t="shared" ca="1" si="153"/>
        <v>4026</v>
      </c>
      <c r="S1369" s="1">
        <f t="shared" si="147"/>
        <v>2764</v>
      </c>
    </row>
    <row r="1370" spans="1:19" x14ac:dyDescent="0.2">
      <c r="A1370" s="57" t="s">
        <v>227</v>
      </c>
      <c r="B1370" s="57" t="s">
        <v>225</v>
      </c>
      <c r="C1370" s="57" t="s">
        <v>226</v>
      </c>
      <c r="D1370" s="58">
        <v>317.08</v>
      </c>
      <c r="E1370" s="59">
        <v>41061</v>
      </c>
      <c r="F1370" s="58">
        <v>6</v>
      </c>
      <c r="G1370" s="58">
        <v>0</v>
      </c>
      <c r="H1370" s="58">
        <v>0</v>
      </c>
      <c r="I1370" s="58">
        <v>6</v>
      </c>
      <c r="J1370" s="58">
        <v>0</v>
      </c>
      <c r="K1370" s="1">
        <f t="shared" si="148"/>
        <v>0</v>
      </c>
      <c r="L1370" s="1" t="str">
        <f t="shared" si="149"/>
        <v/>
      </c>
      <c r="M1370" s="1">
        <f>VLOOKUP(B1370,'[1]Срок Годности'!$A$2:$B$4,2,0)</f>
        <v>500</v>
      </c>
      <c r="N1370" s="60">
        <f t="shared" si="150"/>
        <v>0</v>
      </c>
      <c r="O1370" s="1" t="str">
        <f t="shared" si="151"/>
        <v>22 2012</v>
      </c>
      <c r="P1370" s="1">
        <f t="shared" si="152"/>
        <v>23</v>
      </c>
      <c r="Q1370" s="1">
        <f t="shared" ca="1" si="153"/>
        <v>4072</v>
      </c>
      <c r="S1370" s="1">
        <f t="shared" si="147"/>
        <v>6</v>
      </c>
    </row>
    <row r="1371" spans="1:19" x14ac:dyDescent="0.2">
      <c r="A1371" s="57" t="s">
        <v>227</v>
      </c>
      <c r="B1371" s="57" t="s">
        <v>225</v>
      </c>
      <c r="C1371" s="57" t="s">
        <v>226</v>
      </c>
      <c r="D1371" s="58">
        <v>317.08</v>
      </c>
      <c r="E1371" s="59">
        <v>41062</v>
      </c>
      <c r="F1371" s="58">
        <v>6</v>
      </c>
      <c r="G1371" s="58">
        <v>0</v>
      </c>
      <c r="H1371" s="58">
        <v>0</v>
      </c>
      <c r="I1371" s="58">
        <v>6</v>
      </c>
      <c r="J1371" s="58">
        <v>0</v>
      </c>
      <c r="K1371" s="1">
        <f t="shared" si="148"/>
        <v>0</v>
      </c>
      <c r="L1371" s="1" t="str">
        <f t="shared" si="149"/>
        <v/>
      </c>
      <c r="M1371" s="1">
        <f>VLOOKUP(B1371,'[1]Срок Годности'!$A$2:$B$4,2,0)</f>
        <v>500</v>
      </c>
      <c r="N1371" s="60">
        <f t="shared" si="150"/>
        <v>0</v>
      </c>
      <c r="O1371" s="1" t="str">
        <f t="shared" si="151"/>
        <v>22 2012</v>
      </c>
      <c r="P1371" s="1">
        <f t="shared" si="152"/>
        <v>23</v>
      </c>
      <c r="Q1371" s="1">
        <f t="shared" ca="1" si="153"/>
        <v>4071</v>
      </c>
      <c r="S1371" s="1">
        <f t="shared" si="147"/>
        <v>6</v>
      </c>
    </row>
    <row r="1372" spans="1:19" x14ac:dyDescent="0.2">
      <c r="A1372" s="57" t="s">
        <v>227</v>
      </c>
      <c r="B1372" s="57" t="s">
        <v>225</v>
      </c>
      <c r="C1372" s="57" t="s">
        <v>226</v>
      </c>
      <c r="D1372" s="58">
        <v>317.08</v>
      </c>
      <c r="E1372" s="59">
        <v>41063</v>
      </c>
      <c r="F1372" s="58">
        <v>6</v>
      </c>
      <c r="G1372" s="58">
        <v>2780</v>
      </c>
      <c r="H1372" s="58">
        <v>136</v>
      </c>
      <c r="I1372" s="58">
        <v>2642</v>
      </c>
      <c r="J1372" s="58">
        <v>0</v>
      </c>
      <c r="K1372" s="1">
        <f t="shared" si="148"/>
        <v>43122.879999999997</v>
      </c>
      <c r="L1372" s="1" t="str">
        <f t="shared" si="149"/>
        <v/>
      </c>
      <c r="M1372" s="1">
        <f>VLOOKUP(B1372,'[1]Срок Годности'!$A$2:$B$4,2,0)</f>
        <v>500</v>
      </c>
      <c r="N1372" s="60">
        <f t="shared" si="150"/>
        <v>0</v>
      </c>
      <c r="O1372" s="1" t="str">
        <f t="shared" si="151"/>
        <v>23 2012</v>
      </c>
      <c r="P1372" s="1">
        <f t="shared" si="152"/>
        <v>23</v>
      </c>
      <c r="Q1372" s="1">
        <f t="shared" ca="1" si="153"/>
        <v>4070</v>
      </c>
      <c r="S1372" s="1">
        <f t="shared" si="147"/>
        <v>2642</v>
      </c>
    </row>
    <row r="1373" spans="1:19" x14ac:dyDescent="0.2">
      <c r="A1373" s="57" t="s">
        <v>227</v>
      </c>
      <c r="B1373" s="57" t="s">
        <v>225</v>
      </c>
      <c r="C1373" s="57" t="s">
        <v>226</v>
      </c>
      <c r="D1373" s="58">
        <v>317.08</v>
      </c>
      <c r="E1373" s="59">
        <v>41064</v>
      </c>
      <c r="F1373" s="58">
        <v>2642</v>
      </c>
      <c r="G1373" s="58">
        <v>1175</v>
      </c>
      <c r="H1373" s="58">
        <v>527</v>
      </c>
      <c r="I1373" s="58">
        <v>3277</v>
      </c>
      <c r="J1373" s="58">
        <v>0</v>
      </c>
      <c r="K1373" s="1">
        <f t="shared" si="148"/>
        <v>167101.16</v>
      </c>
      <c r="L1373" s="1" t="str">
        <f t="shared" si="149"/>
        <v/>
      </c>
      <c r="M1373" s="1">
        <f>VLOOKUP(B1373,'[1]Срок Годности'!$A$2:$B$4,2,0)</f>
        <v>500</v>
      </c>
      <c r="N1373" s="60">
        <f t="shared" si="150"/>
        <v>1175</v>
      </c>
      <c r="O1373" s="1" t="str">
        <f t="shared" si="151"/>
        <v>23 2012</v>
      </c>
      <c r="P1373" s="1">
        <f t="shared" si="152"/>
        <v>23</v>
      </c>
      <c r="Q1373" s="1">
        <f t="shared" ca="1" si="153"/>
        <v>4069</v>
      </c>
      <c r="S1373" s="1">
        <f t="shared" si="147"/>
        <v>3277</v>
      </c>
    </row>
    <row r="1374" spans="1:19" x14ac:dyDescent="0.2">
      <c r="A1374" s="57" t="s">
        <v>227</v>
      </c>
      <c r="B1374" s="57" t="s">
        <v>225</v>
      </c>
      <c r="C1374" s="57" t="s">
        <v>226</v>
      </c>
      <c r="D1374" s="58">
        <v>317.08</v>
      </c>
      <c r="E1374" s="59">
        <v>41065</v>
      </c>
      <c r="F1374" s="58">
        <v>3277</v>
      </c>
      <c r="G1374" s="58">
        <v>307</v>
      </c>
      <c r="H1374" s="58">
        <v>669</v>
      </c>
      <c r="I1374" s="58">
        <v>2897</v>
      </c>
      <c r="J1374" s="58">
        <v>0</v>
      </c>
      <c r="K1374" s="1">
        <f t="shared" si="148"/>
        <v>212126.52</v>
      </c>
      <c r="L1374" s="1" t="str">
        <f t="shared" si="149"/>
        <v/>
      </c>
      <c r="M1374" s="1">
        <f>VLOOKUP(B1374,'[1]Срок Годности'!$A$2:$B$4,2,0)</f>
        <v>500</v>
      </c>
      <c r="N1374" s="60">
        <f t="shared" si="150"/>
        <v>307</v>
      </c>
      <c r="O1374" s="1" t="str">
        <f t="shared" si="151"/>
        <v>23 2012</v>
      </c>
      <c r="P1374" s="1">
        <f t="shared" si="152"/>
        <v>23</v>
      </c>
      <c r="Q1374" s="1">
        <f t="shared" ca="1" si="153"/>
        <v>4068</v>
      </c>
      <c r="S1374" s="1">
        <f t="shared" si="147"/>
        <v>2897</v>
      </c>
    </row>
    <row r="1375" spans="1:19" x14ac:dyDescent="0.2">
      <c r="A1375" s="57" t="s">
        <v>227</v>
      </c>
      <c r="B1375" s="57" t="s">
        <v>225</v>
      </c>
      <c r="C1375" s="57" t="s">
        <v>226</v>
      </c>
      <c r="D1375" s="58">
        <v>317.08</v>
      </c>
      <c r="E1375" s="59">
        <v>41066</v>
      </c>
      <c r="F1375" s="58">
        <v>2897</v>
      </c>
      <c r="G1375" s="58">
        <v>590</v>
      </c>
      <c r="H1375" s="58">
        <v>713</v>
      </c>
      <c r="I1375" s="58">
        <v>2763</v>
      </c>
      <c r="J1375" s="58">
        <v>0</v>
      </c>
      <c r="K1375" s="1">
        <f t="shared" si="148"/>
        <v>226078.03999999998</v>
      </c>
      <c r="L1375" s="1" t="str">
        <f t="shared" si="149"/>
        <v/>
      </c>
      <c r="M1375" s="1">
        <f>VLOOKUP(B1375,'[1]Срок Годности'!$A$2:$B$4,2,0)</f>
        <v>500</v>
      </c>
      <c r="N1375" s="60">
        <f t="shared" si="150"/>
        <v>590</v>
      </c>
      <c r="O1375" s="1" t="str">
        <f t="shared" si="151"/>
        <v>23 2012</v>
      </c>
      <c r="P1375" s="1">
        <f t="shared" si="152"/>
        <v>23</v>
      </c>
      <c r="Q1375" s="1">
        <f t="shared" ca="1" si="153"/>
        <v>4067</v>
      </c>
      <c r="S1375" s="1">
        <f t="shared" si="147"/>
        <v>2763</v>
      </c>
    </row>
    <row r="1376" spans="1:19" x14ac:dyDescent="0.2">
      <c r="A1376" s="57" t="s">
        <v>227</v>
      </c>
      <c r="B1376" s="57" t="s">
        <v>225</v>
      </c>
      <c r="C1376" s="57" t="s">
        <v>226</v>
      </c>
      <c r="D1376" s="58">
        <v>317.08</v>
      </c>
      <c r="E1376" s="59">
        <v>41067</v>
      </c>
      <c r="F1376" s="58">
        <v>2763</v>
      </c>
      <c r="G1376" s="58">
        <v>887</v>
      </c>
      <c r="H1376" s="58">
        <v>744</v>
      </c>
      <c r="I1376" s="58">
        <v>2897</v>
      </c>
      <c r="J1376" s="58">
        <v>0</v>
      </c>
      <c r="K1376" s="1">
        <f t="shared" si="148"/>
        <v>235907.52</v>
      </c>
      <c r="L1376" s="1" t="str">
        <f t="shared" si="149"/>
        <v/>
      </c>
      <c r="M1376" s="1">
        <f>VLOOKUP(B1376,'[1]Срок Годности'!$A$2:$B$4,2,0)</f>
        <v>500</v>
      </c>
      <c r="N1376" s="60">
        <f t="shared" si="150"/>
        <v>887</v>
      </c>
      <c r="O1376" s="1" t="str">
        <f t="shared" si="151"/>
        <v>23 2012</v>
      </c>
      <c r="P1376" s="1">
        <f t="shared" si="152"/>
        <v>23</v>
      </c>
      <c r="Q1376" s="1">
        <f t="shared" ca="1" si="153"/>
        <v>4066</v>
      </c>
      <c r="S1376" s="1">
        <f t="shared" si="147"/>
        <v>2897</v>
      </c>
    </row>
    <row r="1377" spans="1:19" x14ac:dyDescent="0.2">
      <c r="A1377" s="57" t="s">
        <v>227</v>
      </c>
      <c r="B1377" s="57" t="s">
        <v>225</v>
      </c>
      <c r="C1377" s="57" t="s">
        <v>226</v>
      </c>
      <c r="D1377" s="58">
        <v>317.08</v>
      </c>
      <c r="E1377" s="59">
        <v>41068</v>
      </c>
      <c r="F1377" s="58">
        <v>2897</v>
      </c>
      <c r="G1377" s="58">
        <v>1039</v>
      </c>
      <c r="H1377" s="58">
        <v>1014</v>
      </c>
      <c r="I1377" s="58">
        <v>2901</v>
      </c>
      <c r="J1377" s="58">
        <v>0</v>
      </c>
      <c r="K1377" s="1">
        <f t="shared" si="148"/>
        <v>321519.12</v>
      </c>
      <c r="L1377" s="1">
        <f t="shared" si="149"/>
        <v>1014</v>
      </c>
      <c r="M1377" s="1">
        <f>VLOOKUP(B1377,'[1]Срок Годности'!$A$2:$B$4,2,0)</f>
        <v>500</v>
      </c>
      <c r="N1377" s="60">
        <f t="shared" si="150"/>
        <v>1039</v>
      </c>
      <c r="O1377" s="1" t="str">
        <f t="shared" si="151"/>
        <v>23 2012</v>
      </c>
      <c r="P1377" s="1">
        <f t="shared" si="152"/>
        <v>23</v>
      </c>
      <c r="Q1377" s="1">
        <f t="shared" ca="1" si="153"/>
        <v>4065</v>
      </c>
      <c r="S1377" s="1">
        <f t="shared" si="147"/>
        <v>2901</v>
      </c>
    </row>
    <row r="1378" spans="1:19" x14ac:dyDescent="0.2">
      <c r="A1378" s="57" t="s">
        <v>227</v>
      </c>
      <c r="B1378" s="57" t="s">
        <v>225</v>
      </c>
      <c r="C1378" s="57" t="s">
        <v>226</v>
      </c>
      <c r="D1378" s="58">
        <v>317.08</v>
      </c>
      <c r="E1378" s="59">
        <v>41069</v>
      </c>
      <c r="F1378" s="58">
        <v>2901</v>
      </c>
      <c r="G1378" s="58">
        <v>861</v>
      </c>
      <c r="H1378" s="58">
        <v>1146</v>
      </c>
      <c r="I1378" s="58">
        <v>2602</v>
      </c>
      <c r="J1378" s="58">
        <v>0</v>
      </c>
      <c r="K1378" s="1">
        <f t="shared" si="148"/>
        <v>363373.68</v>
      </c>
      <c r="L1378" s="1">
        <f t="shared" si="149"/>
        <v>1146</v>
      </c>
      <c r="M1378" s="1">
        <f>VLOOKUP(B1378,'[1]Срок Годности'!$A$2:$B$4,2,0)</f>
        <v>500</v>
      </c>
      <c r="N1378" s="60">
        <f t="shared" si="150"/>
        <v>861</v>
      </c>
      <c r="O1378" s="1" t="str">
        <f t="shared" si="151"/>
        <v>23 2012</v>
      </c>
      <c r="P1378" s="1">
        <f t="shared" si="152"/>
        <v>23</v>
      </c>
      <c r="Q1378" s="1">
        <f t="shared" ca="1" si="153"/>
        <v>4064</v>
      </c>
      <c r="S1378" s="1">
        <f t="shared" si="147"/>
        <v>2602</v>
      </c>
    </row>
    <row r="1379" spans="1:19" x14ac:dyDescent="0.2">
      <c r="A1379" s="57" t="s">
        <v>227</v>
      </c>
      <c r="B1379" s="57" t="s">
        <v>225</v>
      </c>
      <c r="C1379" s="57" t="s">
        <v>226</v>
      </c>
      <c r="D1379" s="58">
        <v>317.08</v>
      </c>
      <c r="E1379" s="59">
        <v>41070</v>
      </c>
      <c r="F1379" s="58">
        <v>2602</v>
      </c>
      <c r="G1379" s="58">
        <v>730</v>
      </c>
      <c r="H1379" s="58">
        <v>930</v>
      </c>
      <c r="I1379" s="58">
        <v>2392</v>
      </c>
      <c r="J1379" s="58">
        <v>0</v>
      </c>
      <c r="K1379" s="1">
        <f t="shared" si="148"/>
        <v>294884.39999999997</v>
      </c>
      <c r="L1379" s="1" t="str">
        <f t="shared" si="149"/>
        <v/>
      </c>
      <c r="M1379" s="1">
        <f>VLOOKUP(B1379,'[1]Срок Годности'!$A$2:$B$4,2,0)</f>
        <v>500</v>
      </c>
      <c r="N1379" s="60">
        <f t="shared" si="150"/>
        <v>0</v>
      </c>
      <c r="O1379" s="1" t="str">
        <f t="shared" si="151"/>
        <v>24 2012</v>
      </c>
      <c r="P1379" s="1">
        <f t="shared" si="152"/>
        <v>23</v>
      </c>
      <c r="Q1379" s="1">
        <f t="shared" ca="1" si="153"/>
        <v>4063</v>
      </c>
      <c r="S1379" s="1">
        <f t="shared" si="147"/>
        <v>2392</v>
      </c>
    </row>
    <row r="1380" spans="1:19" x14ac:dyDescent="0.2">
      <c r="A1380" s="57" t="s">
        <v>227</v>
      </c>
      <c r="B1380" s="57" t="s">
        <v>225</v>
      </c>
      <c r="C1380" s="57" t="s">
        <v>226</v>
      </c>
      <c r="D1380" s="58">
        <v>317.08</v>
      </c>
      <c r="E1380" s="59">
        <v>41071</v>
      </c>
      <c r="F1380" s="58">
        <v>2392</v>
      </c>
      <c r="G1380" s="58">
        <v>871</v>
      </c>
      <c r="H1380" s="58">
        <v>1051</v>
      </c>
      <c r="I1380" s="58">
        <v>2195</v>
      </c>
      <c r="J1380" s="58">
        <v>0</v>
      </c>
      <c r="K1380" s="1">
        <f t="shared" si="148"/>
        <v>333251.07999999996</v>
      </c>
      <c r="L1380" s="1">
        <f t="shared" si="149"/>
        <v>1051</v>
      </c>
      <c r="M1380" s="1">
        <f>VLOOKUP(B1380,'[1]Срок Годности'!$A$2:$B$4,2,0)</f>
        <v>500</v>
      </c>
      <c r="N1380" s="60">
        <f t="shared" si="150"/>
        <v>871</v>
      </c>
      <c r="O1380" s="1" t="str">
        <f t="shared" si="151"/>
        <v>24 2012</v>
      </c>
      <c r="P1380" s="1">
        <f t="shared" si="152"/>
        <v>23</v>
      </c>
      <c r="Q1380" s="1">
        <f t="shared" ca="1" si="153"/>
        <v>4062</v>
      </c>
      <c r="S1380" s="1">
        <f t="shared" si="147"/>
        <v>2195</v>
      </c>
    </row>
    <row r="1381" spans="1:19" x14ac:dyDescent="0.2">
      <c r="A1381" s="57" t="s">
        <v>227</v>
      </c>
      <c r="B1381" s="57" t="s">
        <v>225</v>
      </c>
      <c r="C1381" s="57" t="s">
        <v>226</v>
      </c>
      <c r="D1381" s="58">
        <v>317.08</v>
      </c>
      <c r="E1381" s="59">
        <v>41072</v>
      </c>
      <c r="F1381" s="58">
        <v>2195</v>
      </c>
      <c r="G1381" s="58">
        <v>902</v>
      </c>
      <c r="H1381" s="58">
        <v>992</v>
      </c>
      <c r="I1381" s="58">
        <v>2101</v>
      </c>
      <c r="J1381" s="58">
        <v>0</v>
      </c>
      <c r="K1381" s="1">
        <f t="shared" si="148"/>
        <v>314543.35999999999</v>
      </c>
      <c r="L1381" s="1" t="str">
        <f t="shared" si="149"/>
        <v/>
      </c>
      <c r="M1381" s="1">
        <f>VLOOKUP(B1381,'[1]Срок Годности'!$A$2:$B$4,2,0)</f>
        <v>500</v>
      </c>
      <c r="N1381" s="60">
        <f t="shared" si="150"/>
        <v>902</v>
      </c>
      <c r="O1381" s="1" t="str">
        <f t="shared" si="151"/>
        <v>24 2012</v>
      </c>
      <c r="P1381" s="1">
        <f t="shared" si="152"/>
        <v>23</v>
      </c>
      <c r="Q1381" s="1">
        <f t="shared" ca="1" si="153"/>
        <v>4061</v>
      </c>
      <c r="S1381" s="1">
        <f t="shared" si="147"/>
        <v>2101</v>
      </c>
    </row>
    <row r="1382" spans="1:19" x14ac:dyDescent="0.2">
      <c r="A1382" s="57" t="s">
        <v>227</v>
      </c>
      <c r="B1382" s="57" t="s">
        <v>225</v>
      </c>
      <c r="C1382" s="57" t="s">
        <v>226</v>
      </c>
      <c r="D1382" s="58">
        <v>317.08</v>
      </c>
      <c r="E1382" s="59">
        <v>41073</v>
      </c>
      <c r="F1382" s="58">
        <v>2101</v>
      </c>
      <c r="G1382" s="58">
        <v>986</v>
      </c>
      <c r="H1382" s="58">
        <v>882</v>
      </c>
      <c r="I1382" s="58">
        <v>2193</v>
      </c>
      <c r="J1382" s="58">
        <v>0</v>
      </c>
      <c r="K1382" s="1">
        <f t="shared" si="148"/>
        <v>279664.56</v>
      </c>
      <c r="L1382" s="1" t="str">
        <f t="shared" si="149"/>
        <v/>
      </c>
      <c r="M1382" s="1">
        <f>VLOOKUP(B1382,'[1]Срок Годности'!$A$2:$B$4,2,0)</f>
        <v>500</v>
      </c>
      <c r="N1382" s="60">
        <f t="shared" si="150"/>
        <v>986</v>
      </c>
      <c r="O1382" s="1" t="str">
        <f t="shared" si="151"/>
        <v>24 2012</v>
      </c>
      <c r="P1382" s="1">
        <f t="shared" si="152"/>
        <v>23</v>
      </c>
      <c r="Q1382" s="1">
        <f t="shared" ca="1" si="153"/>
        <v>4060</v>
      </c>
      <c r="S1382" s="1">
        <f t="shared" si="147"/>
        <v>2193</v>
      </c>
    </row>
    <row r="1383" spans="1:19" x14ac:dyDescent="0.2">
      <c r="A1383" s="57" t="s">
        <v>227</v>
      </c>
      <c r="B1383" s="57" t="s">
        <v>225</v>
      </c>
      <c r="C1383" s="57" t="s">
        <v>226</v>
      </c>
      <c r="D1383" s="58">
        <v>317.08</v>
      </c>
      <c r="E1383" s="59">
        <v>41074</v>
      </c>
      <c r="F1383" s="58">
        <v>2193</v>
      </c>
      <c r="G1383" s="58">
        <v>951</v>
      </c>
      <c r="H1383" s="58">
        <v>996</v>
      </c>
      <c r="I1383" s="58">
        <v>2143</v>
      </c>
      <c r="J1383" s="58">
        <v>0</v>
      </c>
      <c r="K1383" s="1">
        <f t="shared" si="148"/>
        <v>315811.68</v>
      </c>
      <c r="L1383" s="1" t="str">
        <f t="shared" si="149"/>
        <v/>
      </c>
      <c r="M1383" s="1">
        <f>VLOOKUP(B1383,'[1]Срок Годности'!$A$2:$B$4,2,0)</f>
        <v>500</v>
      </c>
      <c r="N1383" s="60">
        <f t="shared" si="150"/>
        <v>951</v>
      </c>
      <c r="O1383" s="1" t="str">
        <f t="shared" si="151"/>
        <v>24 2012</v>
      </c>
      <c r="P1383" s="1">
        <f t="shared" si="152"/>
        <v>23</v>
      </c>
      <c r="Q1383" s="1">
        <f t="shared" ca="1" si="153"/>
        <v>4059</v>
      </c>
      <c r="S1383" s="1">
        <f t="shared" si="147"/>
        <v>2143</v>
      </c>
    </row>
    <row r="1384" spans="1:19" x14ac:dyDescent="0.2">
      <c r="A1384" s="57" t="s">
        <v>227</v>
      </c>
      <c r="B1384" s="57" t="s">
        <v>225</v>
      </c>
      <c r="C1384" s="57" t="s">
        <v>226</v>
      </c>
      <c r="D1384" s="58">
        <v>317.08</v>
      </c>
      <c r="E1384" s="59">
        <v>41075</v>
      </c>
      <c r="F1384" s="58">
        <v>2143</v>
      </c>
      <c r="G1384" s="58">
        <v>873</v>
      </c>
      <c r="H1384" s="58">
        <v>969</v>
      </c>
      <c r="I1384" s="58">
        <v>2039</v>
      </c>
      <c r="J1384" s="58">
        <v>0</v>
      </c>
      <c r="K1384" s="1">
        <f t="shared" si="148"/>
        <v>307250.51999999996</v>
      </c>
      <c r="L1384" s="1" t="str">
        <f t="shared" si="149"/>
        <v/>
      </c>
      <c r="M1384" s="1">
        <f>VLOOKUP(B1384,'[1]Срок Годности'!$A$2:$B$4,2,0)</f>
        <v>500</v>
      </c>
      <c r="N1384" s="60">
        <f t="shared" si="150"/>
        <v>873</v>
      </c>
      <c r="O1384" s="1" t="str">
        <f t="shared" si="151"/>
        <v>24 2012</v>
      </c>
      <c r="P1384" s="1">
        <f t="shared" si="152"/>
        <v>23</v>
      </c>
      <c r="Q1384" s="1">
        <f t="shared" ca="1" si="153"/>
        <v>4058</v>
      </c>
      <c r="S1384" s="1">
        <f t="shared" si="147"/>
        <v>2039</v>
      </c>
    </row>
    <row r="1385" spans="1:19" x14ac:dyDescent="0.2">
      <c r="A1385" s="57" t="s">
        <v>227</v>
      </c>
      <c r="B1385" s="57" t="s">
        <v>225</v>
      </c>
      <c r="C1385" s="57" t="s">
        <v>226</v>
      </c>
      <c r="D1385" s="58">
        <v>317.08</v>
      </c>
      <c r="E1385" s="59">
        <v>41076</v>
      </c>
      <c r="F1385" s="58">
        <v>2039</v>
      </c>
      <c r="G1385" s="58">
        <v>931</v>
      </c>
      <c r="H1385" s="58">
        <v>1064</v>
      </c>
      <c r="I1385" s="58">
        <v>1894</v>
      </c>
      <c r="J1385" s="58">
        <v>0</v>
      </c>
      <c r="K1385" s="1">
        <f t="shared" si="148"/>
        <v>337373.12</v>
      </c>
      <c r="L1385" s="1">
        <f t="shared" si="149"/>
        <v>1064</v>
      </c>
      <c r="M1385" s="1">
        <f>VLOOKUP(B1385,'[1]Срок Годности'!$A$2:$B$4,2,0)</f>
        <v>500</v>
      </c>
      <c r="N1385" s="60">
        <f t="shared" si="150"/>
        <v>931</v>
      </c>
      <c r="O1385" s="1" t="str">
        <f t="shared" si="151"/>
        <v>24 2012</v>
      </c>
      <c r="P1385" s="1">
        <f t="shared" si="152"/>
        <v>23</v>
      </c>
      <c r="Q1385" s="1">
        <f t="shared" ca="1" si="153"/>
        <v>4057</v>
      </c>
      <c r="S1385" s="1">
        <f t="shared" si="147"/>
        <v>1894</v>
      </c>
    </row>
    <row r="1386" spans="1:19" x14ac:dyDescent="0.2">
      <c r="A1386" s="57" t="s">
        <v>227</v>
      </c>
      <c r="B1386" s="57" t="s">
        <v>225</v>
      </c>
      <c r="C1386" s="57" t="s">
        <v>226</v>
      </c>
      <c r="D1386" s="58">
        <v>317.08</v>
      </c>
      <c r="E1386" s="59">
        <v>41077</v>
      </c>
      <c r="F1386" s="58">
        <v>1894</v>
      </c>
      <c r="G1386" s="58">
        <v>1007</v>
      </c>
      <c r="H1386" s="58">
        <v>1157</v>
      </c>
      <c r="I1386" s="58">
        <v>1738</v>
      </c>
      <c r="J1386" s="58">
        <v>0</v>
      </c>
      <c r="K1386" s="1">
        <f t="shared" si="148"/>
        <v>366861.56</v>
      </c>
      <c r="L1386" s="1">
        <f t="shared" si="149"/>
        <v>1157</v>
      </c>
      <c r="M1386" s="1">
        <f>VLOOKUP(B1386,'[1]Срок Годности'!$A$2:$B$4,2,0)</f>
        <v>500</v>
      </c>
      <c r="N1386" s="60">
        <f t="shared" si="150"/>
        <v>0</v>
      </c>
      <c r="O1386" s="1" t="str">
        <f t="shared" si="151"/>
        <v>25 2012</v>
      </c>
      <c r="P1386" s="1">
        <f t="shared" si="152"/>
        <v>23</v>
      </c>
      <c r="Q1386" s="1">
        <f t="shared" ca="1" si="153"/>
        <v>4056</v>
      </c>
      <c r="S1386" s="1">
        <f t="shared" si="147"/>
        <v>1738</v>
      </c>
    </row>
    <row r="1387" spans="1:19" x14ac:dyDescent="0.2">
      <c r="A1387" s="57" t="s">
        <v>227</v>
      </c>
      <c r="B1387" s="57" t="s">
        <v>225</v>
      </c>
      <c r="C1387" s="57" t="s">
        <v>226</v>
      </c>
      <c r="D1387" s="58">
        <v>317.08</v>
      </c>
      <c r="E1387" s="59">
        <v>41078</v>
      </c>
      <c r="F1387" s="58">
        <v>1738</v>
      </c>
      <c r="G1387" s="58">
        <v>1112</v>
      </c>
      <c r="H1387" s="58">
        <v>860</v>
      </c>
      <c r="I1387" s="58">
        <v>1965</v>
      </c>
      <c r="J1387" s="58">
        <v>0</v>
      </c>
      <c r="K1387" s="1">
        <f t="shared" si="148"/>
        <v>272688.8</v>
      </c>
      <c r="L1387" s="1" t="str">
        <f t="shared" si="149"/>
        <v/>
      </c>
      <c r="M1387" s="1">
        <f>VLOOKUP(B1387,'[1]Срок Годности'!$A$2:$B$4,2,0)</f>
        <v>500</v>
      </c>
      <c r="N1387" s="60">
        <f t="shared" si="150"/>
        <v>1112</v>
      </c>
      <c r="O1387" s="1" t="str">
        <f t="shared" si="151"/>
        <v>25 2012</v>
      </c>
      <c r="P1387" s="1">
        <f t="shared" si="152"/>
        <v>23</v>
      </c>
      <c r="Q1387" s="1">
        <f t="shared" ca="1" si="153"/>
        <v>4055</v>
      </c>
      <c r="S1387" s="1">
        <f t="shared" si="147"/>
        <v>1965</v>
      </c>
    </row>
    <row r="1388" spans="1:19" x14ac:dyDescent="0.2">
      <c r="A1388" s="57" t="s">
        <v>227</v>
      </c>
      <c r="B1388" s="57" t="s">
        <v>225</v>
      </c>
      <c r="C1388" s="57" t="s">
        <v>226</v>
      </c>
      <c r="D1388" s="58">
        <v>317.08</v>
      </c>
      <c r="E1388" s="59">
        <v>41079</v>
      </c>
      <c r="F1388" s="58">
        <v>1965</v>
      </c>
      <c r="G1388" s="58">
        <v>2266</v>
      </c>
      <c r="H1388" s="58">
        <v>926</v>
      </c>
      <c r="I1388" s="58">
        <v>3284</v>
      </c>
      <c r="J1388" s="58">
        <v>0</v>
      </c>
      <c r="K1388" s="1">
        <f t="shared" si="148"/>
        <v>293616.07999999996</v>
      </c>
      <c r="L1388" s="1" t="str">
        <f t="shared" si="149"/>
        <v/>
      </c>
      <c r="M1388" s="1">
        <f>VLOOKUP(B1388,'[1]Срок Годности'!$A$2:$B$4,2,0)</f>
        <v>500</v>
      </c>
      <c r="N1388" s="60">
        <f t="shared" si="150"/>
        <v>2266</v>
      </c>
      <c r="O1388" s="1" t="str">
        <f t="shared" si="151"/>
        <v>25 2012</v>
      </c>
      <c r="P1388" s="1">
        <f t="shared" si="152"/>
        <v>23</v>
      </c>
      <c r="Q1388" s="1">
        <f t="shared" ca="1" si="153"/>
        <v>4054</v>
      </c>
      <c r="S1388" s="1">
        <f t="shared" si="147"/>
        <v>3284</v>
      </c>
    </row>
    <row r="1389" spans="1:19" x14ac:dyDescent="0.2">
      <c r="A1389" s="57" t="s">
        <v>227</v>
      </c>
      <c r="B1389" s="57" t="s">
        <v>225</v>
      </c>
      <c r="C1389" s="57" t="s">
        <v>226</v>
      </c>
      <c r="D1389" s="58">
        <v>317.08</v>
      </c>
      <c r="E1389" s="59">
        <v>41080</v>
      </c>
      <c r="F1389" s="58">
        <v>3284</v>
      </c>
      <c r="G1389" s="58">
        <v>1490</v>
      </c>
      <c r="H1389" s="58">
        <v>1070</v>
      </c>
      <c r="I1389" s="58">
        <v>3694</v>
      </c>
      <c r="J1389" s="58">
        <v>0</v>
      </c>
      <c r="K1389" s="1">
        <f t="shared" si="148"/>
        <v>339275.6</v>
      </c>
      <c r="L1389" s="1">
        <f t="shared" si="149"/>
        <v>1070</v>
      </c>
      <c r="M1389" s="1">
        <f>VLOOKUP(B1389,'[1]Срок Годности'!$A$2:$B$4,2,0)</f>
        <v>500</v>
      </c>
      <c r="N1389" s="60">
        <f t="shared" si="150"/>
        <v>1490</v>
      </c>
      <c r="O1389" s="1" t="str">
        <f t="shared" si="151"/>
        <v>25 2012</v>
      </c>
      <c r="P1389" s="1">
        <f t="shared" si="152"/>
        <v>23</v>
      </c>
      <c r="Q1389" s="1">
        <f t="shared" ca="1" si="153"/>
        <v>4053</v>
      </c>
      <c r="S1389" s="1">
        <f t="shared" si="147"/>
        <v>3694</v>
      </c>
    </row>
    <row r="1390" spans="1:19" x14ac:dyDescent="0.2">
      <c r="A1390" s="57" t="s">
        <v>227</v>
      </c>
      <c r="B1390" s="57" t="s">
        <v>225</v>
      </c>
      <c r="C1390" s="57" t="s">
        <v>226</v>
      </c>
      <c r="D1390" s="58">
        <v>317.08</v>
      </c>
      <c r="E1390" s="59">
        <v>41081</v>
      </c>
      <c r="F1390" s="58">
        <v>3694</v>
      </c>
      <c r="G1390" s="58">
        <v>1314</v>
      </c>
      <c r="H1390" s="58">
        <v>1174</v>
      </c>
      <c r="I1390" s="58">
        <v>3816</v>
      </c>
      <c r="J1390" s="58">
        <v>0</v>
      </c>
      <c r="K1390" s="1">
        <f t="shared" si="148"/>
        <v>372251.92</v>
      </c>
      <c r="L1390" s="1">
        <f t="shared" si="149"/>
        <v>1174</v>
      </c>
      <c r="M1390" s="1">
        <f>VLOOKUP(B1390,'[1]Срок Годности'!$A$2:$B$4,2,0)</f>
        <v>500</v>
      </c>
      <c r="N1390" s="60">
        <f t="shared" si="150"/>
        <v>1314</v>
      </c>
      <c r="O1390" s="1" t="str">
        <f t="shared" si="151"/>
        <v>25 2012</v>
      </c>
      <c r="P1390" s="1">
        <f t="shared" si="152"/>
        <v>23</v>
      </c>
      <c r="Q1390" s="1">
        <f t="shared" ca="1" si="153"/>
        <v>4052</v>
      </c>
      <c r="S1390" s="1">
        <f t="shared" si="147"/>
        <v>3816</v>
      </c>
    </row>
    <row r="1391" spans="1:19" x14ac:dyDescent="0.2">
      <c r="A1391" s="57" t="s">
        <v>227</v>
      </c>
      <c r="B1391" s="57" t="s">
        <v>225</v>
      </c>
      <c r="C1391" s="57" t="s">
        <v>226</v>
      </c>
      <c r="D1391" s="58">
        <v>317.08</v>
      </c>
      <c r="E1391" s="59">
        <v>41082</v>
      </c>
      <c r="F1391" s="58">
        <v>3816</v>
      </c>
      <c r="G1391" s="58">
        <v>1502</v>
      </c>
      <c r="H1391" s="58">
        <v>1389</v>
      </c>
      <c r="I1391" s="58">
        <v>3927</v>
      </c>
      <c r="J1391" s="58">
        <v>0</v>
      </c>
      <c r="K1391" s="1">
        <f t="shared" si="148"/>
        <v>440424.12</v>
      </c>
      <c r="L1391" s="1">
        <f t="shared" si="149"/>
        <v>1389</v>
      </c>
      <c r="M1391" s="1">
        <f>VLOOKUP(B1391,'[1]Срок Годности'!$A$2:$B$4,2,0)</f>
        <v>500</v>
      </c>
      <c r="N1391" s="60">
        <f t="shared" si="150"/>
        <v>1502</v>
      </c>
      <c r="O1391" s="1" t="str">
        <f t="shared" si="151"/>
        <v>25 2012</v>
      </c>
      <c r="P1391" s="1">
        <f t="shared" si="152"/>
        <v>23</v>
      </c>
      <c r="Q1391" s="1">
        <f t="shared" ca="1" si="153"/>
        <v>4051</v>
      </c>
      <c r="S1391" s="1">
        <f t="shared" si="147"/>
        <v>3927</v>
      </c>
    </row>
    <row r="1392" spans="1:19" x14ac:dyDescent="0.2">
      <c r="A1392" s="57" t="s">
        <v>227</v>
      </c>
      <c r="B1392" s="57" t="s">
        <v>225</v>
      </c>
      <c r="C1392" s="57" t="s">
        <v>226</v>
      </c>
      <c r="D1392" s="58">
        <v>317.08</v>
      </c>
      <c r="E1392" s="59">
        <v>41083</v>
      </c>
      <c r="F1392" s="58">
        <v>3927</v>
      </c>
      <c r="G1392" s="58">
        <v>1628</v>
      </c>
      <c r="H1392" s="58">
        <v>1574</v>
      </c>
      <c r="I1392" s="58">
        <v>3974</v>
      </c>
      <c r="J1392" s="58">
        <v>0</v>
      </c>
      <c r="K1392" s="1">
        <f t="shared" si="148"/>
        <v>499083.92</v>
      </c>
      <c r="L1392" s="1">
        <f t="shared" si="149"/>
        <v>1574</v>
      </c>
      <c r="M1392" s="1">
        <f>VLOOKUP(B1392,'[1]Срок Годности'!$A$2:$B$4,2,0)</f>
        <v>500</v>
      </c>
      <c r="N1392" s="60">
        <f t="shared" si="150"/>
        <v>1628</v>
      </c>
      <c r="O1392" s="1" t="str">
        <f t="shared" si="151"/>
        <v>25 2012</v>
      </c>
      <c r="P1392" s="1">
        <f t="shared" si="152"/>
        <v>23</v>
      </c>
      <c r="Q1392" s="1">
        <f t="shared" ca="1" si="153"/>
        <v>4050</v>
      </c>
      <c r="S1392" s="1">
        <f t="shared" si="147"/>
        <v>3974</v>
      </c>
    </row>
    <row r="1393" spans="1:19" x14ac:dyDescent="0.2">
      <c r="A1393" s="57" t="s">
        <v>227</v>
      </c>
      <c r="B1393" s="57" t="s">
        <v>225</v>
      </c>
      <c r="C1393" s="57" t="s">
        <v>226</v>
      </c>
      <c r="D1393" s="58">
        <v>317.08</v>
      </c>
      <c r="E1393" s="59">
        <v>41084</v>
      </c>
      <c r="F1393" s="58">
        <v>3974</v>
      </c>
      <c r="G1393" s="58">
        <v>1904</v>
      </c>
      <c r="H1393" s="58">
        <v>1774</v>
      </c>
      <c r="I1393" s="58">
        <v>4103</v>
      </c>
      <c r="J1393" s="58">
        <v>0</v>
      </c>
      <c r="K1393" s="1">
        <f t="shared" si="148"/>
        <v>562499.91999999993</v>
      </c>
      <c r="L1393" s="1">
        <f t="shared" si="149"/>
        <v>1774</v>
      </c>
      <c r="M1393" s="1">
        <f>VLOOKUP(B1393,'[1]Срок Годности'!$A$2:$B$4,2,0)</f>
        <v>500</v>
      </c>
      <c r="N1393" s="60">
        <f t="shared" si="150"/>
        <v>0</v>
      </c>
      <c r="O1393" s="1" t="str">
        <f t="shared" si="151"/>
        <v>26 2012</v>
      </c>
      <c r="P1393" s="1">
        <f t="shared" si="152"/>
        <v>23</v>
      </c>
      <c r="Q1393" s="1">
        <f t="shared" ca="1" si="153"/>
        <v>4049</v>
      </c>
      <c r="S1393" s="1">
        <f t="shared" si="147"/>
        <v>4103</v>
      </c>
    </row>
    <row r="1394" spans="1:19" x14ac:dyDescent="0.2">
      <c r="A1394" s="57" t="s">
        <v>227</v>
      </c>
      <c r="B1394" s="57" t="s">
        <v>225</v>
      </c>
      <c r="C1394" s="57" t="s">
        <v>226</v>
      </c>
      <c r="D1394" s="58">
        <v>317.08</v>
      </c>
      <c r="E1394" s="59">
        <v>41085</v>
      </c>
      <c r="F1394" s="58">
        <v>4103</v>
      </c>
      <c r="G1394" s="58">
        <v>2059</v>
      </c>
      <c r="H1394" s="58">
        <v>1572</v>
      </c>
      <c r="I1394" s="58">
        <v>4584</v>
      </c>
      <c r="J1394" s="58">
        <v>0</v>
      </c>
      <c r="K1394" s="1">
        <f t="shared" si="148"/>
        <v>498449.75999999995</v>
      </c>
      <c r="L1394" s="1">
        <f t="shared" si="149"/>
        <v>1572</v>
      </c>
      <c r="M1394" s="1">
        <f>VLOOKUP(B1394,'[1]Срок Годности'!$A$2:$B$4,2,0)</f>
        <v>500</v>
      </c>
      <c r="N1394" s="60">
        <f t="shared" si="150"/>
        <v>2059</v>
      </c>
      <c r="O1394" s="1" t="str">
        <f t="shared" si="151"/>
        <v>26 2012</v>
      </c>
      <c r="P1394" s="1">
        <f t="shared" si="152"/>
        <v>23</v>
      </c>
      <c r="Q1394" s="1">
        <f t="shared" ca="1" si="153"/>
        <v>4048</v>
      </c>
      <c r="S1394" s="1">
        <f t="shared" si="147"/>
        <v>4584</v>
      </c>
    </row>
    <row r="1395" spans="1:19" x14ac:dyDescent="0.2">
      <c r="A1395" s="57" t="s">
        <v>227</v>
      </c>
      <c r="B1395" s="57" t="s">
        <v>225</v>
      </c>
      <c r="C1395" s="57" t="s">
        <v>226</v>
      </c>
      <c r="D1395" s="58">
        <v>317.08</v>
      </c>
      <c r="E1395" s="59">
        <v>41086</v>
      </c>
      <c r="F1395" s="58">
        <v>4584</v>
      </c>
      <c r="G1395" s="58">
        <v>1985</v>
      </c>
      <c r="H1395" s="58">
        <v>1511</v>
      </c>
      <c r="I1395" s="58">
        <v>5044</v>
      </c>
      <c r="J1395" s="58">
        <v>0</v>
      </c>
      <c r="K1395" s="1">
        <f t="shared" si="148"/>
        <v>479107.88</v>
      </c>
      <c r="L1395" s="1">
        <f t="shared" si="149"/>
        <v>1511</v>
      </c>
      <c r="M1395" s="1">
        <f>VLOOKUP(B1395,'[1]Срок Годности'!$A$2:$B$4,2,0)</f>
        <v>500</v>
      </c>
      <c r="N1395" s="60">
        <f t="shared" si="150"/>
        <v>1985</v>
      </c>
      <c r="O1395" s="1" t="str">
        <f t="shared" si="151"/>
        <v>26 2012</v>
      </c>
      <c r="P1395" s="1">
        <f t="shared" si="152"/>
        <v>23</v>
      </c>
      <c r="Q1395" s="1">
        <f t="shared" ca="1" si="153"/>
        <v>4047</v>
      </c>
      <c r="S1395" s="1">
        <f t="shared" si="147"/>
        <v>5044</v>
      </c>
    </row>
    <row r="1396" spans="1:19" x14ac:dyDescent="0.2">
      <c r="A1396" s="57" t="s">
        <v>227</v>
      </c>
      <c r="B1396" s="57" t="s">
        <v>225</v>
      </c>
      <c r="C1396" s="57" t="s">
        <v>226</v>
      </c>
      <c r="D1396" s="58">
        <v>317.08</v>
      </c>
      <c r="E1396" s="59">
        <v>41087</v>
      </c>
      <c r="F1396" s="58">
        <v>5044</v>
      </c>
      <c r="G1396" s="58">
        <v>2684</v>
      </c>
      <c r="H1396" s="58">
        <v>1600</v>
      </c>
      <c r="I1396" s="58">
        <v>6106</v>
      </c>
      <c r="J1396" s="58">
        <v>0</v>
      </c>
      <c r="K1396" s="1">
        <f t="shared" si="148"/>
        <v>507328</v>
      </c>
      <c r="L1396" s="1">
        <f t="shared" si="149"/>
        <v>1600</v>
      </c>
      <c r="M1396" s="1">
        <f>VLOOKUP(B1396,'[1]Срок Годности'!$A$2:$B$4,2,0)</f>
        <v>500</v>
      </c>
      <c r="N1396" s="60">
        <f t="shared" si="150"/>
        <v>2684</v>
      </c>
      <c r="O1396" s="1" t="str">
        <f t="shared" si="151"/>
        <v>26 2012</v>
      </c>
      <c r="P1396" s="1">
        <f t="shared" si="152"/>
        <v>23</v>
      </c>
      <c r="Q1396" s="1">
        <f t="shared" ca="1" si="153"/>
        <v>4046</v>
      </c>
      <c r="S1396" s="1">
        <f t="shared" si="147"/>
        <v>6106</v>
      </c>
    </row>
    <row r="1397" spans="1:19" x14ac:dyDescent="0.2">
      <c r="A1397" s="57" t="s">
        <v>227</v>
      </c>
      <c r="B1397" s="57" t="s">
        <v>225</v>
      </c>
      <c r="C1397" s="57" t="s">
        <v>226</v>
      </c>
      <c r="D1397" s="58">
        <v>317.08</v>
      </c>
      <c r="E1397" s="59">
        <v>41088</v>
      </c>
      <c r="F1397" s="58">
        <v>6106</v>
      </c>
      <c r="G1397" s="58">
        <v>2140</v>
      </c>
      <c r="H1397" s="58">
        <v>1755</v>
      </c>
      <c r="I1397" s="58">
        <v>6472</v>
      </c>
      <c r="J1397" s="58">
        <v>0</v>
      </c>
      <c r="K1397" s="1">
        <f t="shared" si="148"/>
        <v>556475.4</v>
      </c>
      <c r="L1397" s="1">
        <f t="shared" si="149"/>
        <v>1755</v>
      </c>
      <c r="M1397" s="1">
        <f>VLOOKUP(B1397,'[1]Срок Годности'!$A$2:$B$4,2,0)</f>
        <v>500</v>
      </c>
      <c r="N1397" s="60">
        <f t="shared" si="150"/>
        <v>2140</v>
      </c>
      <c r="O1397" s="1" t="str">
        <f t="shared" si="151"/>
        <v>26 2012</v>
      </c>
      <c r="P1397" s="1">
        <f t="shared" si="152"/>
        <v>23</v>
      </c>
      <c r="Q1397" s="1">
        <f t="shared" ca="1" si="153"/>
        <v>4045</v>
      </c>
      <c r="S1397" s="1">
        <f t="shared" si="147"/>
        <v>6472</v>
      </c>
    </row>
    <row r="1398" spans="1:19" x14ac:dyDescent="0.2">
      <c r="A1398" s="57" t="s">
        <v>227</v>
      </c>
      <c r="B1398" s="57" t="s">
        <v>225</v>
      </c>
      <c r="C1398" s="57" t="s">
        <v>226</v>
      </c>
      <c r="D1398" s="58">
        <v>317.08</v>
      </c>
      <c r="E1398" s="59">
        <v>41089</v>
      </c>
      <c r="F1398" s="58">
        <v>6472</v>
      </c>
      <c r="G1398" s="58">
        <v>2080</v>
      </c>
      <c r="H1398" s="58">
        <v>1962</v>
      </c>
      <c r="I1398" s="58">
        <v>6572</v>
      </c>
      <c r="J1398" s="58">
        <v>1</v>
      </c>
      <c r="K1398" s="1">
        <f t="shared" si="148"/>
        <v>622110.96</v>
      </c>
      <c r="L1398" s="1">
        <f t="shared" si="149"/>
        <v>1962</v>
      </c>
      <c r="M1398" s="1">
        <f>VLOOKUP(B1398,'[1]Срок Годности'!$A$2:$B$4,2,0)</f>
        <v>500</v>
      </c>
      <c r="N1398" s="60">
        <f t="shared" si="150"/>
        <v>2080</v>
      </c>
      <c r="O1398" s="1" t="str">
        <f t="shared" si="151"/>
        <v>26 2012</v>
      </c>
      <c r="P1398" s="1">
        <f t="shared" si="152"/>
        <v>23</v>
      </c>
      <c r="Q1398" s="1">
        <f t="shared" ca="1" si="153"/>
        <v>4044</v>
      </c>
      <c r="S1398" s="1">
        <f t="shared" si="147"/>
        <v>6571</v>
      </c>
    </row>
    <row r="1399" spans="1:19" x14ac:dyDescent="0.2">
      <c r="A1399" s="57" t="s">
        <v>227</v>
      </c>
      <c r="B1399" s="57" t="s">
        <v>225</v>
      </c>
      <c r="C1399" s="57" t="s">
        <v>226</v>
      </c>
      <c r="D1399" s="58">
        <v>317.08</v>
      </c>
      <c r="E1399" s="59">
        <v>41090</v>
      </c>
      <c r="F1399" s="58">
        <v>6572</v>
      </c>
      <c r="G1399" s="58">
        <v>1865</v>
      </c>
      <c r="H1399" s="58">
        <v>2784</v>
      </c>
      <c r="I1399" s="58">
        <v>5641</v>
      </c>
      <c r="J1399" s="58">
        <v>0</v>
      </c>
      <c r="K1399" s="1">
        <f t="shared" si="148"/>
        <v>882750.72</v>
      </c>
      <c r="L1399" s="1">
        <f t="shared" si="149"/>
        <v>2784</v>
      </c>
      <c r="M1399" s="1">
        <f>VLOOKUP(B1399,'[1]Срок Годности'!$A$2:$B$4,2,0)</f>
        <v>500</v>
      </c>
      <c r="N1399" s="60">
        <f t="shared" si="150"/>
        <v>1865</v>
      </c>
      <c r="O1399" s="1" t="str">
        <f t="shared" si="151"/>
        <v>26 2012</v>
      </c>
      <c r="P1399" s="1">
        <f t="shared" si="152"/>
        <v>23</v>
      </c>
      <c r="Q1399" s="1">
        <f t="shared" ca="1" si="153"/>
        <v>4043</v>
      </c>
      <c r="S1399" s="1">
        <f t="shared" si="147"/>
        <v>5641</v>
      </c>
    </row>
    <row r="1400" spans="1:19" x14ac:dyDescent="0.2">
      <c r="A1400" s="57" t="s">
        <v>227</v>
      </c>
      <c r="B1400" s="57" t="s">
        <v>225</v>
      </c>
      <c r="C1400" s="57" t="s">
        <v>226</v>
      </c>
      <c r="D1400" s="58">
        <v>317.08</v>
      </c>
      <c r="E1400" s="59">
        <v>41091</v>
      </c>
      <c r="F1400" s="58">
        <v>5641</v>
      </c>
      <c r="G1400" s="58">
        <v>1624</v>
      </c>
      <c r="H1400" s="58">
        <v>2694</v>
      </c>
      <c r="I1400" s="58">
        <v>4551</v>
      </c>
      <c r="J1400" s="58">
        <v>0</v>
      </c>
      <c r="K1400" s="1">
        <f t="shared" si="148"/>
        <v>854213.5199999999</v>
      </c>
      <c r="L1400" s="1">
        <f t="shared" si="149"/>
        <v>2694</v>
      </c>
      <c r="M1400" s="1">
        <f>VLOOKUP(B1400,'[1]Срок Годности'!$A$2:$B$4,2,0)</f>
        <v>500</v>
      </c>
      <c r="N1400" s="60">
        <f t="shared" si="150"/>
        <v>0</v>
      </c>
      <c r="O1400" s="1" t="str">
        <f t="shared" si="151"/>
        <v>27 2012</v>
      </c>
      <c r="P1400" s="1">
        <f t="shared" si="152"/>
        <v>23</v>
      </c>
      <c r="Q1400" s="1">
        <f t="shared" ca="1" si="153"/>
        <v>4042</v>
      </c>
      <c r="S1400" s="1">
        <f t="shared" si="147"/>
        <v>4551</v>
      </c>
    </row>
    <row r="1401" spans="1:19" x14ac:dyDescent="0.2">
      <c r="A1401" s="57" t="s">
        <v>227</v>
      </c>
      <c r="B1401" s="57" t="s">
        <v>225</v>
      </c>
      <c r="C1401" s="57" t="s">
        <v>226</v>
      </c>
      <c r="D1401" s="58">
        <v>317.08</v>
      </c>
      <c r="E1401" s="59">
        <v>41092</v>
      </c>
      <c r="F1401" s="58">
        <v>4551</v>
      </c>
      <c r="G1401" s="58">
        <v>0</v>
      </c>
      <c r="H1401" s="58">
        <v>1899</v>
      </c>
      <c r="I1401" s="58">
        <v>2633</v>
      </c>
      <c r="J1401" s="58">
        <v>1</v>
      </c>
      <c r="K1401" s="1">
        <f t="shared" si="148"/>
        <v>602134.91999999993</v>
      </c>
      <c r="L1401" s="1">
        <f t="shared" si="149"/>
        <v>1899</v>
      </c>
      <c r="M1401" s="1">
        <f>VLOOKUP(B1401,'[1]Срок Годности'!$A$2:$B$4,2,0)</f>
        <v>500</v>
      </c>
      <c r="N1401" s="60">
        <f t="shared" si="150"/>
        <v>0</v>
      </c>
      <c r="O1401" s="1" t="str">
        <f t="shared" si="151"/>
        <v>27 2012</v>
      </c>
      <c r="P1401" s="1">
        <f t="shared" si="152"/>
        <v>23</v>
      </c>
      <c r="Q1401" s="1">
        <f t="shared" ca="1" si="153"/>
        <v>4041</v>
      </c>
      <c r="S1401" s="1">
        <f t="shared" si="147"/>
        <v>2632</v>
      </c>
    </row>
    <row r="1402" spans="1:19" x14ac:dyDescent="0.2">
      <c r="A1402" s="57" t="s">
        <v>227</v>
      </c>
      <c r="B1402" s="57" t="s">
        <v>225</v>
      </c>
      <c r="C1402" s="57" t="s">
        <v>226</v>
      </c>
      <c r="D1402" s="58">
        <v>317.08</v>
      </c>
      <c r="E1402" s="59">
        <v>41093</v>
      </c>
      <c r="F1402" s="58">
        <v>2633</v>
      </c>
      <c r="G1402" s="58">
        <v>0</v>
      </c>
      <c r="H1402" s="58">
        <v>902</v>
      </c>
      <c r="I1402" s="58">
        <v>1722</v>
      </c>
      <c r="J1402" s="58">
        <v>0</v>
      </c>
      <c r="K1402" s="1">
        <f t="shared" si="148"/>
        <v>286006.15999999997</v>
      </c>
      <c r="L1402" s="1" t="str">
        <f t="shared" si="149"/>
        <v/>
      </c>
      <c r="M1402" s="1">
        <f>VLOOKUP(B1402,'[1]Срок Годности'!$A$2:$B$4,2,0)</f>
        <v>500</v>
      </c>
      <c r="N1402" s="60">
        <f t="shared" si="150"/>
        <v>0</v>
      </c>
      <c r="O1402" s="1" t="str">
        <f t="shared" si="151"/>
        <v>27 2012</v>
      </c>
      <c r="P1402" s="1">
        <f t="shared" si="152"/>
        <v>23</v>
      </c>
      <c r="Q1402" s="1">
        <f t="shared" ca="1" si="153"/>
        <v>4040</v>
      </c>
      <c r="S1402" s="1">
        <f t="shared" si="147"/>
        <v>1722</v>
      </c>
    </row>
    <row r="1403" spans="1:19" x14ac:dyDescent="0.2">
      <c r="A1403" s="57" t="s">
        <v>227</v>
      </c>
      <c r="B1403" s="57" t="s">
        <v>225</v>
      </c>
      <c r="C1403" s="57" t="s">
        <v>226</v>
      </c>
      <c r="D1403" s="58">
        <v>317.08</v>
      </c>
      <c r="E1403" s="59">
        <v>41094</v>
      </c>
      <c r="F1403" s="58">
        <v>1722</v>
      </c>
      <c r="G1403" s="58">
        <v>1078</v>
      </c>
      <c r="H1403" s="58">
        <v>665</v>
      </c>
      <c r="I1403" s="58">
        <v>2128</v>
      </c>
      <c r="J1403" s="58">
        <v>0</v>
      </c>
      <c r="K1403" s="1">
        <f t="shared" si="148"/>
        <v>210858.19999999998</v>
      </c>
      <c r="L1403" s="1" t="str">
        <f t="shared" si="149"/>
        <v/>
      </c>
      <c r="M1403" s="1">
        <f>VLOOKUP(B1403,'[1]Срок Годности'!$A$2:$B$4,2,0)</f>
        <v>500</v>
      </c>
      <c r="N1403" s="60">
        <f t="shared" si="150"/>
        <v>1078</v>
      </c>
      <c r="O1403" s="1" t="str">
        <f t="shared" si="151"/>
        <v>27 2012</v>
      </c>
      <c r="P1403" s="1">
        <f t="shared" si="152"/>
        <v>23</v>
      </c>
      <c r="Q1403" s="1">
        <f t="shared" ca="1" si="153"/>
        <v>4039</v>
      </c>
      <c r="S1403" s="1">
        <f t="shared" si="147"/>
        <v>2128</v>
      </c>
    </row>
    <row r="1404" spans="1:19" x14ac:dyDescent="0.2">
      <c r="A1404" s="57" t="s">
        <v>227</v>
      </c>
      <c r="B1404" s="57" t="s">
        <v>225</v>
      </c>
      <c r="C1404" s="57" t="s">
        <v>226</v>
      </c>
      <c r="D1404" s="58">
        <v>317.08</v>
      </c>
      <c r="E1404" s="59">
        <v>41095</v>
      </c>
      <c r="F1404" s="58">
        <v>2128</v>
      </c>
      <c r="G1404" s="58">
        <v>0</v>
      </c>
      <c r="H1404" s="58">
        <v>515</v>
      </c>
      <c r="I1404" s="58">
        <v>1591</v>
      </c>
      <c r="J1404" s="58">
        <v>0</v>
      </c>
      <c r="K1404" s="1">
        <f t="shared" si="148"/>
        <v>163296.19999999998</v>
      </c>
      <c r="L1404" s="1" t="str">
        <f t="shared" si="149"/>
        <v/>
      </c>
      <c r="M1404" s="1">
        <f>VLOOKUP(B1404,'[1]Срок Годности'!$A$2:$B$4,2,0)</f>
        <v>500</v>
      </c>
      <c r="N1404" s="60">
        <f t="shared" si="150"/>
        <v>0</v>
      </c>
      <c r="O1404" s="1" t="str">
        <f t="shared" si="151"/>
        <v>27 2012</v>
      </c>
      <c r="P1404" s="1">
        <f t="shared" si="152"/>
        <v>23</v>
      </c>
      <c r="Q1404" s="1">
        <f t="shared" ca="1" si="153"/>
        <v>4038</v>
      </c>
      <c r="S1404" s="1">
        <f t="shared" si="147"/>
        <v>1591</v>
      </c>
    </row>
    <row r="1405" spans="1:19" x14ac:dyDescent="0.2">
      <c r="A1405" s="57" t="s">
        <v>227</v>
      </c>
      <c r="B1405" s="57" t="s">
        <v>225</v>
      </c>
      <c r="C1405" s="57" t="s">
        <v>226</v>
      </c>
      <c r="D1405" s="58">
        <v>317.08</v>
      </c>
      <c r="E1405" s="59">
        <v>41096</v>
      </c>
      <c r="F1405" s="58">
        <v>1591</v>
      </c>
      <c r="G1405" s="58">
        <v>0</v>
      </c>
      <c r="H1405" s="58">
        <v>341</v>
      </c>
      <c r="I1405" s="58">
        <v>1247</v>
      </c>
      <c r="J1405" s="58">
        <v>0</v>
      </c>
      <c r="K1405" s="1">
        <f t="shared" si="148"/>
        <v>108124.28</v>
      </c>
      <c r="L1405" s="1" t="str">
        <f t="shared" si="149"/>
        <v/>
      </c>
      <c r="M1405" s="1">
        <f>VLOOKUP(B1405,'[1]Срок Годности'!$A$2:$B$4,2,0)</f>
        <v>500</v>
      </c>
      <c r="N1405" s="60">
        <f t="shared" si="150"/>
        <v>0</v>
      </c>
      <c r="O1405" s="1" t="str">
        <f t="shared" si="151"/>
        <v>27 2012</v>
      </c>
      <c r="P1405" s="1">
        <f t="shared" si="152"/>
        <v>23</v>
      </c>
      <c r="Q1405" s="1">
        <f t="shared" ca="1" si="153"/>
        <v>4037</v>
      </c>
      <c r="S1405" s="1">
        <f t="shared" si="147"/>
        <v>1247</v>
      </c>
    </row>
    <row r="1406" spans="1:19" x14ac:dyDescent="0.2">
      <c r="A1406" s="57" t="s">
        <v>227</v>
      </c>
      <c r="B1406" s="57" t="s">
        <v>225</v>
      </c>
      <c r="C1406" s="57" t="s">
        <v>226</v>
      </c>
      <c r="D1406" s="58">
        <v>317.08</v>
      </c>
      <c r="E1406" s="59">
        <v>41097</v>
      </c>
      <c r="F1406" s="58">
        <v>1247</v>
      </c>
      <c r="G1406" s="58">
        <v>0</v>
      </c>
      <c r="H1406" s="58">
        <v>311</v>
      </c>
      <c r="I1406" s="58">
        <v>918</v>
      </c>
      <c r="J1406" s="58">
        <v>0</v>
      </c>
      <c r="K1406" s="1">
        <f t="shared" si="148"/>
        <v>98611.87999999999</v>
      </c>
      <c r="L1406" s="1" t="str">
        <f t="shared" si="149"/>
        <v/>
      </c>
      <c r="M1406" s="1">
        <f>VLOOKUP(B1406,'[1]Срок Годности'!$A$2:$B$4,2,0)</f>
        <v>500</v>
      </c>
      <c r="N1406" s="60">
        <f t="shared" si="150"/>
        <v>0</v>
      </c>
      <c r="O1406" s="1" t="str">
        <f t="shared" si="151"/>
        <v>27 2012</v>
      </c>
      <c r="P1406" s="1">
        <f t="shared" si="152"/>
        <v>23</v>
      </c>
      <c r="Q1406" s="1">
        <f t="shared" ca="1" si="153"/>
        <v>4036</v>
      </c>
      <c r="S1406" s="1">
        <f t="shared" si="147"/>
        <v>918</v>
      </c>
    </row>
    <row r="1407" spans="1:19" x14ac:dyDescent="0.2">
      <c r="A1407" s="57" t="s">
        <v>227</v>
      </c>
      <c r="B1407" s="57" t="s">
        <v>225</v>
      </c>
      <c r="C1407" s="57" t="s">
        <v>226</v>
      </c>
      <c r="D1407" s="58">
        <v>317.08</v>
      </c>
      <c r="E1407" s="59">
        <v>41098</v>
      </c>
      <c r="F1407" s="58">
        <v>918</v>
      </c>
      <c r="G1407" s="58">
        <v>3296</v>
      </c>
      <c r="H1407" s="58">
        <v>665</v>
      </c>
      <c r="I1407" s="58">
        <v>3516</v>
      </c>
      <c r="J1407" s="58">
        <v>0</v>
      </c>
      <c r="K1407" s="1">
        <f t="shared" si="148"/>
        <v>210858.19999999998</v>
      </c>
      <c r="L1407" s="1" t="str">
        <f t="shared" si="149"/>
        <v/>
      </c>
      <c r="M1407" s="1">
        <f>VLOOKUP(B1407,'[1]Срок Годности'!$A$2:$B$4,2,0)</f>
        <v>500</v>
      </c>
      <c r="N1407" s="60">
        <f t="shared" si="150"/>
        <v>0</v>
      </c>
      <c r="O1407" s="1" t="str">
        <f t="shared" si="151"/>
        <v>28 2012</v>
      </c>
      <c r="P1407" s="1">
        <f t="shared" si="152"/>
        <v>23</v>
      </c>
      <c r="Q1407" s="1">
        <f t="shared" ca="1" si="153"/>
        <v>4035</v>
      </c>
      <c r="S1407" s="1">
        <f t="shared" si="147"/>
        <v>3516</v>
      </c>
    </row>
    <row r="1408" spans="1:19" x14ac:dyDescent="0.2">
      <c r="A1408" s="57" t="s">
        <v>227</v>
      </c>
      <c r="B1408" s="57" t="s">
        <v>225</v>
      </c>
      <c r="C1408" s="57" t="s">
        <v>226</v>
      </c>
      <c r="D1408" s="58">
        <v>317.08</v>
      </c>
      <c r="E1408" s="59">
        <v>41099</v>
      </c>
      <c r="F1408" s="58">
        <v>3516</v>
      </c>
      <c r="G1408" s="58">
        <v>3563</v>
      </c>
      <c r="H1408" s="58">
        <v>1393</v>
      </c>
      <c r="I1408" s="58">
        <v>5653</v>
      </c>
      <c r="J1408" s="58">
        <v>0</v>
      </c>
      <c r="K1408" s="1">
        <f t="shared" si="148"/>
        <v>441692.44</v>
      </c>
      <c r="L1408" s="1">
        <f t="shared" si="149"/>
        <v>1393</v>
      </c>
      <c r="M1408" s="1">
        <f>VLOOKUP(B1408,'[1]Срок Годности'!$A$2:$B$4,2,0)</f>
        <v>500</v>
      </c>
      <c r="N1408" s="60">
        <f t="shared" si="150"/>
        <v>3563</v>
      </c>
      <c r="O1408" s="1" t="str">
        <f t="shared" si="151"/>
        <v>28 2012</v>
      </c>
      <c r="P1408" s="1">
        <f t="shared" si="152"/>
        <v>23</v>
      </c>
      <c r="Q1408" s="1">
        <f t="shared" ca="1" si="153"/>
        <v>4034</v>
      </c>
      <c r="S1408" s="1">
        <f t="shared" si="147"/>
        <v>5653</v>
      </c>
    </row>
    <row r="1409" spans="1:19" x14ac:dyDescent="0.2">
      <c r="A1409" s="57" t="s">
        <v>227</v>
      </c>
      <c r="B1409" s="57" t="s">
        <v>225</v>
      </c>
      <c r="C1409" s="57" t="s">
        <v>226</v>
      </c>
      <c r="D1409" s="58">
        <v>317.08</v>
      </c>
      <c r="E1409" s="59">
        <v>41100</v>
      </c>
      <c r="F1409" s="58">
        <v>5653</v>
      </c>
      <c r="G1409" s="58">
        <v>4242</v>
      </c>
      <c r="H1409" s="58">
        <v>1835</v>
      </c>
      <c r="I1409" s="58">
        <v>8000</v>
      </c>
      <c r="J1409" s="58">
        <v>0</v>
      </c>
      <c r="K1409" s="1">
        <f t="shared" si="148"/>
        <v>581841.79999999993</v>
      </c>
      <c r="L1409" s="1">
        <f t="shared" si="149"/>
        <v>1835</v>
      </c>
      <c r="M1409" s="1">
        <f>VLOOKUP(B1409,'[1]Срок Годности'!$A$2:$B$4,2,0)</f>
        <v>500</v>
      </c>
      <c r="N1409" s="60">
        <f t="shared" si="150"/>
        <v>4242</v>
      </c>
      <c r="O1409" s="1" t="str">
        <f t="shared" si="151"/>
        <v>28 2012</v>
      </c>
      <c r="P1409" s="1">
        <f t="shared" si="152"/>
        <v>23</v>
      </c>
      <c r="Q1409" s="1">
        <f t="shared" ca="1" si="153"/>
        <v>4033</v>
      </c>
      <c r="S1409" s="1">
        <f t="shared" si="147"/>
        <v>8000</v>
      </c>
    </row>
    <row r="1410" spans="1:19" x14ac:dyDescent="0.2">
      <c r="A1410" s="57" t="s">
        <v>227</v>
      </c>
      <c r="B1410" s="57" t="s">
        <v>225</v>
      </c>
      <c r="C1410" s="57" t="s">
        <v>226</v>
      </c>
      <c r="D1410" s="58">
        <v>317.08</v>
      </c>
      <c r="E1410" s="59">
        <v>41101</v>
      </c>
      <c r="F1410" s="58">
        <v>8000</v>
      </c>
      <c r="G1410" s="58">
        <v>3264</v>
      </c>
      <c r="H1410" s="58">
        <v>2385</v>
      </c>
      <c r="I1410" s="58">
        <v>8822</v>
      </c>
      <c r="J1410" s="58">
        <v>0</v>
      </c>
      <c r="K1410" s="1">
        <f t="shared" si="148"/>
        <v>756235.79999999993</v>
      </c>
      <c r="L1410" s="1">
        <f t="shared" si="149"/>
        <v>2385</v>
      </c>
      <c r="M1410" s="1">
        <f>VLOOKUP(B1410,'[1]Срок Годности'!$A$2:$B$4,2,0)</f>
        <v>500</v>
      </c>
      <c r="N1410" s="60">
        <f t="shared" si="150"/>
        <v>3264</v>
      </c>
      <c r="O1410" s="1" t="str">
        <f t="shared" si="151"/>
        <v>28 2012</v>
      </c>
      <c r="P1410" s="1">
        <f t="shared" si="152"/>
        <v>23</v>
      </c>
      <c r="Q1410" s="1">
        <f t="shared" ca="1" si="153"/>
        <v>4032</v>
      </c>
      <c r="S1410" s="1">
        <f t="shared" si="147"/>
        <v>8822</v>
      </c>
    </row>
    <row r="1411" spans="1:19" x14ac:dyDescent="0.2">
      <c r="A1411" s="57" t="s">
        <v>227</v>
      </c>
      <c r="B1411" s="57" t="s">
        <v>225</v>
      </c>
      <c r="C1411" s="57" t="s">
        <v>226</v>
      </c>
      <c r="D1411" s="58">
        <v>317.08</v>
      </c>
      <c r="E1411" s="59">
        <v>41102</v>
      </c>
      <c r="F1411" s="58">
        <v>8822</v>
      </c>
      <c r="G1411" s="58">
        <v>1620</v>
      </c>
      <c r="H1411" s="58">
        <v>2048</v>
      </c>
      <c r="I1411" s="58">
        <v>8362</v>
      </c>
      <c r="J1411" s="58">
        <v>0</v>
      </c>
      <c r="K1411" s="1">
        <f t="shared" si="148"/>
        <v>649379.83999999997</v>
      </c>
      <c r="L1411" s="1">
        <f t="shared" si="149"/>
        <v>2048</v>
      </c>
      <c r="M1411" s="1">
        <f>VLOOKUP(B1411,'[1]Срок Годности'!$A$2:$B$4,2,0)</f>
        <v>500</v>
      </c>
      <c r="N1411" s="60">
        <f t="shared" si="150"/>
        <v>1620</v>
      </c>
      <c r="O1411" s="1" t="str">
        <f t="shared" si="151"/>
        <v>28 2012</v>
      </c>
      <c r="P1411" s="1">
        <f t="shared" si="152"/>
        <v>23</v>
      </c>
      <c r="Q1411" s="1">
        <f t="shared" ca="1" si="153"/>
        <v>4031</v>
      </c>
      <c r="S1411" s="1">
        <f t="shared" si="147"/>
        <v>8362</v>
      </c>
    </row>
    <row r="1412" spans="1:19" x14ac:dyDescent="0.2">
      <c r="A1412" s="57" t="s">
        <v>227</v>
      </c>
      <c r="B1412" s="57" t="s">
        <v>225</v>
      </c>
      <c r="C1412" s="57" t="s">
        <v>226</v>
      </c>
      <c r="D1412" s="58">
        <v>317.08</v>
      </c>
      <c r="E1412" s="59">
        <v>41103</v>
      </c>
      <c r="F1412" s="58">
        <v>8362</v>
      </c>
      <c r="G1412" s="58">
        <v>2813</v>
      </c>
      <c r="H1412" s="58">
        <v>1423</v>
      </c>
      <c r="I1412" s="58">
        <v>9703</v>
      </c>
      <c r="J1412" s="58">
        <v>0</v>
      </c>
      <c r="K1412" s="1">
        <f t="shared" si="148"/>
        <v>451204.83999999997</v>
      </c>
      <c r="L1412" s="1">
        <f t="shared" si="149"/>
        <v>1423</v>
      </c>
      <c r="M1412" s="1">
        <f>VLOOKUP(B1412,'[1]Срок Годности'!$A$2:$B$4,2,0)</f>
        <v>500</v>
      </c>
      <c r="N1412" s="60">
        <f t="shared" si="150"/>
        <v>2813</v>
      </c>
      <c r="O1412" s="1" t="str">
        <f t="shared" si="151"/>
        <v>28 2012</v>
      </c>
      <c r="P1412" s="1">
        <f t="shared" si="152"/>
        <v>23</v>
      </c>
      <c r="Q1412" s="1">
        <f t="shared" ca="1" si="153"/>
        <v>4030</v>
      </c>
      <c r="S1412" s="1">
        <f t="shared" si="147"/>
        <v>9703</v>
      </c>
    </row>
    <row r="1413" spans="1:19" x14ac:dyDescent="0.2">
      <c r="A1413" s="57" t="s">
        <v>227</v>
      </c>
      <c r="B1413" s="57" t="s">
        <v>225</v>
      </c>
      <c r="C1413" s="57" t="s">
        <v>226</v>
      </c>
      <c r="D1413" s="58">
        <v>317.08</v>
      </c>
      <c r="E1413" s="59">
        <v>41104</v>
      </c>
      <c r="F1413" s="58">
        <v>9703</v>
      </c>
      <c r="G1413" s="58">
        <v>2197</v>
      </c>
      <c r="H1413" s="58">
        <v>1640</v>
      </c>
      <c r="I1413" s="58">
        <v>10233</v>
      </c>
      <c r="J1413" s="58">
        <v>0</v>
      </c>
      <c r="K1413" s="1">
        <f t="shared" si="148"/>
        <v>520011.19999999995</v>
      </c>
      <c r="L1413" s="1">
        <f t="shared" si="149"/>
        <v>1640</v>
      </c>
      <c r="M1413" s="1">
        <f>VLOOKUP(B1413,'[1]Срок Годности'!$A$2:$B$4,2,0)</f>
        <v>500</v>
      </c>
      <c r="N1413" s="60">
        <f t="shared" si="150"/>
        <v>2197</v>
      </c>
      <c r="O1413" s="1" t="str">
        <f t="shared" si="151"/>
        <v>28 2012</v>
      </c>
      <c r="P1413" s="1">
        <f t="shared" si="152"/>
        <v>23</v>
      </c>
      <c r="Q1413" s="1">
        <f t="shared" ca="1" si="153"/>
        <v>4029</v>
      </c>
      <c r="S1413" s="1">
        <f t="shared" si="147"/>
        <v>10233</v>
      </c>
    </row>
    <row r="1414" spans="1:19" x14ac:dyDescent="0.2">
      <c r="A1414" s="57" t="s">
        <v>227</v>
      </c>
      <c r="B1414" s="57" t="s">
        <v>225</v>
      </c>
      <c r="C1414" s="57" t="s">
        <v>226</v>
      </c>
      <c r="D1414" s="58">
        <v>317.08</v>
      </c>
      <c r="E1414" s="59">
        <v>41105</v>
      </c>
      <c r="F1414" s="58">
        <v>10233</v>
      </c>
      <c r="G1414" s="58">
        <v>1716</v>
      </c>
      <c r="H1414" s="58">
        <v>1838</v>
      </c>
      <c r="I1414" s="58">
        <v>10099</v>
      </c>
      <c r="J1414" s="58">
        <v>0</v>
      </c>
      <c r="K1414" s="1">
        <f t="shared" si="148"/>
        <v>582793.03999999992</v>
      </c>
      <c r="L1414" s="1">
        <f t="shared" si="149"/>
        <v>1838</v>
      </c>
      <c r="M1414" s="1">
        <f>VLOOKUP(B1414,'[1]Срок Годности'!$A$2:$B$4,2,0)</f>
        <v>500</v>
      </c>
      <c r="N1414" s="60">
        <f t="shared" si="150"/>
        <v>0</v>
      </c>
      <c r="O1414" s="1" t="str">
        <f t="shared" si="151"/>
        <v>29 2012</v>
      </c>
      <c r="P1414" s="1">
        <f t="shared" si="152"/>
        <v>23</v>
      </c>
      <c r="Q1414" s="1">
        <f t="shared" ca="1" si="153"/>
        <v>4028</v>
      </c>
      <c r="S1414" s="1">
        <f t="shared" si="147"/>
        <v>10099</v>
      </c>
    </row>
    <row r="1415" spans="1:19" x14ac:dyDescent="0.2">
      <c r="A1415" s="57" t="s">
        <v>227</v>
      </c>
      <c r="B1415" s="57" t="s">
        <v>225</v>
      </c>
      <c r="C1415" s="57" t="s">
        <v>226</v>
      </c>
      <c r="D1415" s="58">
        <v>317.08</v>
      </c>
      <c r="E1415" s="59">
        <v>41106</v>
      </c>
      <c r="F1415" s="58">
        <v>10099</v>
      </c>
      <c r="G1415" s="58">
        <v>1516</v>
      </c>
      <c r="H1415" s="58">
        <v>1544</v>
      </c>
      <c r="I1415" s="58">
        <v>10048</v>
      </c>
      <c r="J1415" s="58">
        <v>0</v>
      </c>
      <c r="K1415" s="1">
        <f t="shared" si="148"/>
        <v>489571.51999999996</v>
      </c>
      <c r="L1415" s="1">
        <f t="shared" si="149"/>
        <v>1544</v>
      </c>
      <c r="M1415" s="1">
        <f>VLOOKUP(B1415,'[1]Срок Годности'!$A$2:$B$4,2,0)</f>
        <v>500</v>
      </c>
      <c r="N1415" s="60">
        <f t="shared" si="150"/>
        <v>1516</v>
      </c>
      <c r="O1415" s="1" t="str">
        <f t="shared" si="151"/>
        <v>29 2012</v>
      </c>
      <c r="P1415" s="1">
        <f t="shared" si="152"/>
        <v>23</v>
      </c>
      <c r="Q1415" s="1">
        <f t="shared" ca="1" si="153"/>
        <v>4027</v>
      </c>
      <c r="S1415" s="1">
        <f t="shared" ref="S1415:S1478" si="154">I1415-J1415</f>
        <v>10048</v>
      </c>
    </row>
    <row r="1416" spans="1:19" x14ac:dyDescent="0.2">
      <c r="A1416" s="57" t="s">
        <v>227</v>
      </c>
      <c r="B1416" s="57" t="s">
        <v>225</v>
      </c>
      <c r="C1416" s="57" t="s">
        <v>226</v>
      </c>
      <c r="D1416" s="58">
        <v>317.08</v>
      </c>
      <c r="E1416" s="59">
        <v>41107</v>
      </c>
      <c r="F1416" s="58">
        <v>10048</v>
      </c>
      <c r="G1416" s="58">
        <v>1652</v>
      </c>
      <c r="H1416" s="58">
        <v>1397</v>
      </c>
      <c r="I1416" s="58">
        <v>10288</v>
      </c>
      <c r="J1416" s="58">
        <v>0</v>
      </c>
      <c r="K1416" s="1">
        <f t="shared" ref="K1416:K1479" si="155">H1416*D1416</f>
        <v>442960.75999999995</v>
      </c>
      <c r="L1416" s="1">
        <f t="shared" ref="L1416:L1479" si="156">IF(H1416&gt;1000,H1416,"")</f>
        <v>1397</v>
      </c>
      <c r="M1416" s="1">
        <f>VLOOKUP(B1416,'[1]Срок Годности'!$A$2:$B$4,2,0)</f>
        <v>500</v>
      </c>
      <c r="N1416" s="60">
        <f t="shared" ref="N1416:N1479" si="157">IF(WEEKDAY(E1416) = 1, 0, G1416)</f>
        <v>1652</v>
      </c>
      <c r="O1416" s="1" t="str">
        <f t="shared" ref="O1416:O1479" si="158">WEEKNUM(E1416) &amp; " " &amp; YEAR(E1416)</f>
        <v>29 2012</v>
      </c>
      <c r="P1416" s="1">
        <f t="shared" ref="P1416:P1479" si="159">LEN(C1416)</f>
        <v>23</v>
      </c>
      <c r="Q1416" s="1">
        <f t="shared" ref="Q1416:Q1479" ca="1" si="160">DATEDIF(E1416,NOW(),"D")</f>
        <v>4026</v>
      </c>
      <c r="S1416" s="1">
        <f t="shared" si="154"/>
        <v>10288</v>
      </c>
    </row>
    <row r="1417" spans="1:19" x14ac:dyDescent="0.2">
      <c r="A1417" s="57" t="s">
        <v>227</v>
      </c>
      <c r="B1417" s="57" t="s">
        <v>244</v>
      </c>
      <c r="C1417" s="57" t="s">
        <v>245</v>
      </c>
      <c r="D1417" s="58">
        <v>33.659999999999997</v>
      </c>
      <c r="E1417" s="59">
        <v>41061</v>
      </c>
      <c r="F1417" s="58">
        <v>75429</v>
      </c>
      <c r="G1417" s="58">
        <v>16121</v>
      </c>
      <c r="H1417" s="58">
        <v>16218</v>
      </c>
      <c r="I1417" s="58">
        <v>75251</v>
      </c>
      <c r="J1417" s="58">
        <v>0</v>
      </c>
      <c r="K1417" s="1">
        <f t="shared" si="155"/>
        <v>545897.87999999989</v>
      </c>
      <c r="L1417" s="1">
        <f t="shared" si="156"/>
        <v>16218</v>
      </c>
      <c r="M1417" s="1">
        <f>VLOOKUP(B1417,'[1]Срок Годности'!$A$2:$B$4,2,0)</f>
        <v>1500</v>
      </c>
      <c r="N1417" s="60">
        <f t="shared" si="157"/>
        <v>16121</v>
      </c>
      <c r="O1417" s="1" t="str">
        <f t="shared" si="158"/>
        <v>22 2012</v>
      </c>
      <c r="P1417" s="1">
        <f t="shared" si="159"/>
        <v>21</v>
      </c>
      <c r="Q1417" s="1">
        <f t="shared" ca="1" si="160"/>
        <v>4072</v>
      </c>
      <c r="S1417" s="1">
        <f t="shared" si="154"/>
        <v>75251</v>
      </c>
    </row>
    <row r="1418" spans="1:19" x14ac:dyDescent="0.2">
      <c r="A1418" s="57" t="s">
        <v>227</v>
      </c>
      <c r="B1418" s="57" t="s">
        <v>244</v>
      </c>
      <c r="C1418" s="57" t="s">
        <v>245</v>
      </c>
      <c r="D1418" s="58">
        <v>33.659999999999997</v>
      </c>
      <c r="E1418" s="59">
        <v>41062</v>
      </c>
      <c r="F1418" s="58">
        <v>75251</v>
      </c>
      <c r="G1418" s="58">
        <v>17668</v>
      </c>
      <c r="H1418" s="58">
        <v>15738</v>
      </c>
      <c r="I1418" s="58">
        <v>77146</v>
      </c>
      <c r="J1418" s="58">
        <v>0</v>
      </c>
      <c r="K1418" s="1">
        <f t="shared" si="155"/>
        <v>529741.07999999996</v>
      </c>
      <c r="L1418" s="1">
        <f t="shared" si="156"/>
        <v>15738</v>
      </c>
      <c r="M1418" s="1">
        <f>VLOOKUP(B1418,'[1]Срок Годности'!$A$2:$B$4,2,0)</f>
        <v>1500</v>
      </c>
      <c r="N1418" s="60">
        <f t="shared" si="157"/>
        <v>17668</v>
      </c>
      <c r="O1418" s="1" t="str">
        <f t="shared" si="158"/>
        <v>22 2012</v>
      </c>
      <c r="P1418" s="1">
        <f t="shared" si="159"/>
        <v>21</v>
      </c>
      <c r="Q1418" s="1">
        <f t="shared" ca="1" si="160"/>
        <v>4071</v>
      </c>
      <c r="S1418" s="1">
        <f t="shared" si="154"/>
        <v>77146</v>
      </c>
    </row>
    <row r="1419" spans="1:19" x14ac:dyDescent="0.2">
      <c r="A1419" s="57" t="s">
        <v>227</v>
      </c>
      <c r="B1419" s="57" t="s">
        <v>244</v>
      </c>
      <c r="C1419" s="57" t="s">
        <v>245</v>
      </c>
      <c r="D1419" s="58">
        <v>33.659999999999997</v>
      </c>
      <c r="E1419" s="59">
        <v>41063</v>
      </c>
      <c r="F1419" s="58">
        <v>77146</v>
      </c>
      <c r="G1419" s="58">
        <v>21431</v>
      </c>
      <c r="H1419" s="58">
        <v>16217</v>
      </c>
      <c r="I1419" s="58">
        <v>82311</v>
      </c>
      <c r="J1419" s="58">
        <v>0</v>
      </c>
      <c r="K1419" s="1">
        <f t="shared" si="155"/>
        <v>545864.22</v>
      </c>
      <c r="L1419" s="1">
        <f t="shared" si="156"/>
        <v>16217</v>
      </c>
      <c r="M1419" s="1">
        <f>VLOOKUP(B1419,'[1]Срок Годности'!$A$2:$B$4,2,0)</f>
        <v>1500</v>
      </c>
      <c r="N1419" s="60">
        <f t="shared" si="157"/>
        <v>0</v>
      </c>
      <c r="O1419" s="1" t="str">
        <f t="shared" si="158"/>
        <v>23 2012</v>
      </c>
      <c r="P1419" s="1">
        <f t="shared" si="159"/>
        <v>21</v>
      </c>
      <c r="Q1419" s="1">
        <f t="shared" ca="1" si="160"/>
        <v>4070</v>
      </c>
      <c r="S1419" s="1">
        <f t="shared" si="154"/>
        <v>82311</v>
      </c>
    </row>
    <row r="1420" spans="1:19" x14ac:dyDescent="0.2">
      <c r="A1420" s="57" t="s">
        <v>227</v>
      </c>
      <c r="B1420" s="57" t="s">
        <v>244</v>
      </c>
      <c r="C1420" s="57" t="s">
        <v>245</v>
      </c>
      <c r="D1420" s="58">
        <v>33.659999999999997</v>
      </c>
      <c r="E1420" s="59">
        <v>41064</v>
      </c>
      <c r="F1420" s="58">
        <v>82311</v>
      </c>
      <c r="G1420" s="58">
        <v>20494</v>
      </c>
      <c r="H1420" s="58">
        <v>17507</v>
      </c>
      <c r="I1420" s="58">
        <v>85249</v>
      </c>
      <c r="J1420" s="58">
        <v>0</v>
      </c>
      <c r="K1420" s="1">
        <f t="shared" si="155"/>
        <v>589285.62</v>
      </c>
      <c r="L1420" s="1">
        <f t="shared" si="156"/>
        <v>17507</v>
      </c>
      <c r="M1420" s="1">
        <f>VLOOKUP(B1420,'[1]Срок Годности'!$A$2:$B$4,2,0)</f>
        <v>1500</v>
      </c>
      <c r="N1420" s="60">
        <f t="shared" si="157"/>
        <v>20494</v>
      </c>
      <c r="O1420" s="1" t="str">
        <f t="shared" si="158"/>
        <v>23 2012</v>
      </c>
      <c r="P1420" s="1">
        <f t="shared" si="159"/>
        <v>21</v>
      </c>
      <c r="Q1420" s="1">
        <f t="shared" ca="1" si="160"/>
        <v>4069</v>
      </c>
      <c r="S1420" s="1">
        <f t="shared" si="154"/>
        <v>85249</v>
      </c>
    </row>
    <row r="1421" spans="1:19" x14ac:dyDescent="0.2">
      <c r="A1421" s="57" t="s">
        <v>227</v>
      </c>
      <c r="B1421" s="57" t="s">
        <v>244</v>
      </c>
      <c r="C1421" s="57" t="s">
        <v>245</v>
      </c>
      <c r="D1421" s="58">
        <v>33.659999999999997</v>
      </c>
      <c r="E1421" s="59">
        <v>41065</v>
      </c>
      <c r="F1421" s="58">
        <v>85249</v>
      </c>
      <c r="G1421" s="58">
        <v>21918</v>
      </c>
      <c r="H1421" s="58">
        <v>16963</v>
      </c>
      <c r="I1421" s="58">
        <v>90127</v>
      </c>
      <c r="J1421" s="58">
        <v>0</v>
      </c>
      <c r="K1421" s="1">
        <f t="shared" si="155"/>
        <v>570974.57999999996</v>
      </c>
      <c r="L1421" s="1">
        <f t="shared" si="156"/>
        <v>16963</v>
      </c>
      <c r="M1421" s="1">
        <f>VLOOKUP(B1421,'[1]Срок Годности'!$A$2:$B$4,2,0)</f>
        <v>1500</v>
      </c>
      <c r="N1421" s="60">
        <f t="shared" si="157"/>
        <v>21918</v>
      </c>
      <c r="O1421" s="1" t="str">
        <f t="shared" si="158"/>
        <v>23 2012</v>
      </c>
      <c r="P1421" s="1">
        <f t="shared" si="159"/>
        <v>21</v>
      </c>
      <c r="Q1421" s="1">
        <f t="shared" ca="1" si="160"/>
        <v>4068</v>
      </c>
      <c r="S1421" s="1">
        <f t="shared" si="154"/>
        <v>90127</v>
      </c>
    </row>
    <row r="1422" spans="1:19" x14ac:dyDescent="0.2">
      <c r="A1422" s="57" t="s">
        <v>227</v>
      </c>
      <c r="B1422" s="57" t="s">
        <v>244</v>
      </c>
      <c r="C1422" s="57" t="s">
        <v>245</v>
      </c>
      <c r="D1422" s="58">
        <v>33.659999999999997</v>
      </c>
      <c r="E1422" s="59">
        <v>41066</v>
      </c>
      <c r="F1422" s="58">
        <v>90127</v>
      </c>
      <c r="G1422" s="58">
        <v>673</v>
      </c>
      <c r="H1422" s="58">
        <v>16979</v>
      </c>
      <c r="I1422" s="58">
        <v>73745</v>
      </c>
      <c r="J1422" s="58">
        <v>0</v>
      </c>
      <c r="K1422" s="1">
        <f t="shared" si="155"/>
        <v>571513.1399999999</v>
      </c>
      <c r="L1422" s="1">
        <f t="shared" si="156"/>
        <v>16979</v>
      </c>
      <c r="M1422" s="1">
        <f>VLOOKUP(B1422,'[1]Срок Годности'!$A$2:$B$4,2,0)</f>
        <v>1500</v>
      </c>
      <c r="N1422" s="60">
        <f t="shared" si="157"/>
        <v>673</v>
      </c>
      <c r="O1422" s="1" t="str">
        <f t="shared" si="158"/>
        <v>23 2012</v>
      </c>
      <c r="P1422" s="1">
        <f t="shared" si="159"/>
        <v>21</v>
      </c>
      <c r="Q1422" s="1">
        <f t="shared" ca="1" si="160"/>
        <v>4067</v>
      </c>
      <c r="S1422" s="1">
        <f t="shared" si="154"/>
        <v>73745</v>
      </c>
    </row>
    <row r="1423" spans="1:19" x14ac:dyDescent="0.2">
      <c r="A1423" s="57" t="s">
        <v>227</v>
      </c>
      <c r="B1423" s="57" t="s">
        <v>244</v>
      </c>
      <c r="C1423" s="57" t="s">
        <v>245</v>
      </c>
      <c r="D1423" s="58">
        <v>33.659999999999997</v>
      </c>
      <c r="E1423" s="59">
        <v>41067</v>
      </c>
      <c r="F1423" s="58">
        <v>73745</v>
      </c>
      <c r="G1423" s="58">
        <v>37314</v>
      </c>
      <c r="H1423" s="58">
        <v>18137</v>
      </c>
      <c r="I1423" s="58">
        <v>92870</v>
      </c>
      <c r="J1423" s="58">
        <v>3</v>
      </c>
      <c r="K1423" s="1">
        <f t="shared" si="155"/>
        <v>610491.41999999993</v>
      </c>
      <c r="L1423" s="1">
        <f t="shared" si="156"/>
        <v>18137</v>
      </c>
      <c r="M1423" s="1">
        <f>VLOOKUP(B1423,'[1]Срок Годности'!$A$2:$B$4,2,0)</f>
        <v>1500</v>
      </c>
      <c r="N1423" s="60">
        <f t="shared" si="157"/>
        <v>37314</v>
      </c>
      <c r="O1423" s="1" t="str">
        <f t="shared" si="158"/>
        <v>23 2012</v>
      </c>
      <c r="P1423" s="1">
        <f t="shared" si="159"/>
        <v>21</v>
      </c>
      <c r="Q1423" s="1">
        <f t="shared" ca="1" si="160"/>
        <v>4066</v>
      </c>
      <c r="S1423" s="1">
        <f t="shared" si="154"/>
        <v>92867</v>
      </c>
    </row>
    <row r="1424" spans="1:19" x14ac:dyDescent="0.2">
      <c r="A1424" s="57" t="s">
        <v>227</v>
      </c>
      <c r="B1424" s="57" t="s">
        <v>244</v>
      </c>
      <c r="C1424" s="57" t="s">
        <v>245</v>
      </c>
      <c r="D1424" s="58">
        <v>33.659999999999997</v>
      </c>
      <c r="E1424" s="59">
        <v>41068</v>
      </c>
      <c r="F1424" s="58">
        <v>92870</v>
      </c>
      <c r="G1424" s="58">
        <v>29633</v>
      </c>
      <c r="H1424" s="58">
        <v>20656</v>
      </c>
      <c r="I1424" s="58">
        <v>101801</v>
      </c>
      <c r="J1424" s="58">
        <v>0</v>
      </c>
      <c r="K1424" s="1">
        <f t="shared" si="155"/>
        <v>695280.96</v>
      </c>
      <c r="L1424" s="1">
        <f t="shared" si="156"/>
        <v>20656</v>
      </c>
      <c r="M1424" s="1">
        <f>VLOOKUP(B1424,'[1]Срок Годности'!$A$2:$B$4,2,0)</f>
        <v>1500</v>
      </c>
      <c r="N1424" s="60">
        <f t="shared" si="157"/>
        <v>29633</v>
      </c>
      <c r="O1424" s="1" t="str">
        <f t="shared" si="158"/>
        <v>23 2012</v>
      </c>
      <c r="P1424" s="1">
        <f t="shared" si="159"/>
        <v>21</v>
      </c>
      <c r="Q1424" s="1">
        <f t="shared" ca="1" si="160"/>
        <v>4065</v>
      </c>
      <c r="S1424" s="1">
        <f t="shared" si="154"/>
        <v>101801</v>
      </c>
    </row>
    <row r="1425" spans="1:19" x14ac:dyDescent="0.2">
      <c r="A1425" s="57" t="s">
        <v>227</v>
      </c>
      <c r="B1425" s="57" t="s">
        <v>244</v>
      </c>
      <c r="C1425" s="57" t="s">
        <v>245</v>
      </c>
      <c r="D1425" s="58">
        <v>33.659999999999997</v>
      </c>
      <c r="E1425" s="59">
        <v>41069</v>
      </c>
      <c r="F1425" s="58">
        <v>101801</v>
      </c>
      <c r="G1425" s="58">
        <v>20085</v>
      </c>
      <c r="H1425" s="58">
        <v>18630</v>
      </c>
      <c r="I1425" s="58">
        <v>103244</v>
      </c>
      <c r="J1425" s="58">
        <v>2</v>
      </c>
      <c r="K1425" s="1">
        <f t="shared" si="155"/>
        <v>627085.79999999993</v>
      </c>
      <c r="L1425" s="1">
        <f t="shared" si="156"/>
        <v>18630</v>
      </c>
      <c r="M1425" s="1">
        <f>VLOOKUP(B1425,'[1]Срок Годности'!$A$2:$B$4,2,0)</f>
        <v>1500</v>
      </c>
      <c r="N1425" s="60">
        <f t="shared" si="157"/>
        <v>20085</v>
      </c>
      <c r="O1425" s="1" t="str">
        <f t="shared" si="158"/>
        <v>23 2012</v>
      </c>
      <c r="P1425" s="1">
        <f t="shared" si="159"/>
        <v>21</v>
      </c>
      <c r="Q1425" s="1">
        <f t="shared" ca="1" si="160"/>
        <v>4064</v>
      </c>
      <c r="S1425" s="1">
        <f t="shared" si="154"/>
        <v>103242</v>
      </c>
    </row>
    <row r="1426" spans="1:19" x14ac:dyDescent="0.2">
      <c r="A1426" s="57" t="s">
        <v>227</v>
      </c>
      <c r="B1426" s="57" t="s">
        <v>244</v>
      </c>
      <c r="C1426" s="57" t="s">
        <v>245</v>
      </c>
      <c r="D1426" s="58">
        <v>33.659999999999997</v>
      </c>
      <c r="E1426" s="59">
        <v>41070</v>
      </c>
      <c r="F1426" s="58">
        <v>103244</v>
      </c>
      <c r="G1426" s="58">
        <v>18860</v>
      </c>
      <c r="H1426" s="58">
        <v>17786</v>
      </c>
      <c r="I1426" s="58">
        <v>104225</v>
      </c>
      <c r="J1426" s="58">
        <v>0</v>
      </c>
      <c r="K1426" s="1">
        <f t="shared" si="155"/>
        <v>598676.75999999989</v>
      </c>
      <c r="L1426" s="1">
        <f t="shared" si="156"/>
        <v>17786</v>
      </c>
      <c r="M1426" s="1">
        <f>VLOOKUP(B1426,'[1]Срок Годности'!$A$2:$B$4,2,0)</f>
        <v>1500</v>
      </c>
      <c r="N1426" s="60">
        <f t="shared" si="157"/>
        <v>0</v>
      </c>
      <c r="O1426" s="1" t="str">
        <f t="shared" si="158"/>
        <v>24 2012</v>
      </c>
      <c r="P1426" s="1">
        <f t="shared" si="159"/>
        <v>21</v>
      </c>
      <c r="Q1426" s="1">
        <f t="shared" ca="1" si="160"/>
        <v>4063</v>
      </c>
      <c r="S1426" s="1">
        <f t="shared" si="154"/>
        <v>104225</v>
      </c>
    </row>
    <row r="1427" spans="1:19" x14ac:dyDescent="0.2">
      <c r="A1427" s="57" t="s">
        <v>227</v>
      </c>
      <c r="B1427" s="57" t="s">
        <v>244</v>
      </c>
      <c r="C1427" s="57" t="s">
        <v>245</v>
      </c>
      <c r="D1427" s="58">
        <v>33.659999999999997</v>
      </c>
      <c r="E1427" s="59">
        <v>41071</v>
      </c>
      <c r="F1427" s="58">
        <v>104225</v>
      </c>
      <c r="G1427" s="58">
        <v>17106</v>
      </c>
      <c r="H1427" s="58">
        <v>18137</v>
      </c>
      <c r="I1427" s="58">
        <v>103153</v>
      </c>
      <c r="J1427" s="58">
        <v>0</v>
      </c>
      <c r="K1427" s="1">
        <f t="shared" si="155"/>
        <v>610491.41999999993</v>
      </c>
      <c r="L1427" s="1">
        <f t="shared" si="156"/>
        <v>18137</v>
      </c>
      <c r="M1427" s="1">
        <f>VLOOKUP(B1427,'[1]Срок Годности'!$A$2:$B$4,2,0)</f>
        <v>1500</v>
      </c>
      <c r="N1427" s="60">
        <f t="shared" si="157"/>
        <v>17106</v>
      </c>
      <c r="O1427" s="1" t="str">
        <f t="shared" si="158"/>
        <v>24 2012</v>
      </c>
      <c r="P1427" s="1">
        <f t="shared" si="159"/>
        <v>21</v>
      </c>
      <c r="Q1427" s="1">
        <f t="shared" ca="1" si="160"/>
        <v>4062</v>
      </c>
      <c r="S1427" s="1">
        <f t="shared" si="154"/>
        <v>103153</v>
      </c>
    </row>
    <row r="1428" spans="1:19" x14ac:dyDescent="0.2">
      <c r="A1428" s="57" t="s">
        <v>227</v>
      </c>
      <c r="B1428" s="57" t="s">
        <v>244</v>
      </c>
      <c r="C1428" s="57" t="s">
        <v>245</v>
      </c>
      <c r="D1428" s="58">
        <v>33.659999999999997</v>
      </c>
      <c r="E1428" s="59">
        <v>41072</v>
      </c>
      <c r="F1428" s="58">
        <v>103153</v>
      </c>
      <c r="G1428" s="58">
        <v>15794</v>
      </c>
      <c r="H1428" s="58">
        <v>17736</v>
      </c>
      <c r="I1428" s="58">
        <v>101104</v>
      </c>
      <c r="J1428" s="58">
        <v>0</v>
      </c>
      <c r="K1428" s="1">
        <f t="shared" si="155"/>
        <v>596993.75999999989</v>
      </c>
      <c r="L1428" s="1">
        <f t="shared" si="156"/>
        <v>17736</v>
      </c>
      <c r="M1428" s="1">
        <f>VLOOKUP(B1428,'[1]Срок Годности'!$A$2:$B$4,2,0)</f>
        <v>1500</v>
      </c>
      <c r="N1428" s="60">
        <f t="shared" si="157"/>
        <v>15794</v>
      </c>
      <c r="O1428" s="1" t="str">
        <f t="shared" si="158"/>
        <v>24 2012</v>
      </c>
      <c r="P1428" s="1">
        <f t="shared" si="159"/>
        <v>21</v>
      </c>
      <c r="Q1428" s="1">
        <f t="shared" ca="1" si="160"/>
        <v>4061</v>
      </c>
      <c r="S1428" s="1">
        <f t="shared" si="154"/>
        <v>101104</v>
      </c>
    </row>
    <row r="1429" spans="1:19" x14ac:dyDescent="0.2">
      <c r="A1429" s="57" t="s">
        <v>227</v>
      </c>
      <c r="B1429" s="57" t="s">
        <v>244</v>
      </c>
      <c r="C1429" s="57" t="s">
        <v>245</v>
      </c>
      <c r="D1429" s="58">
        <v>33.659999999999997</v>
      </c>
      <c r="E1429" s="59">
        <v>41073</v>
      </c>
      <c r="F1429" s="58">
        <v>101104</v>
      </c>
      <c r="G1429" s="58">
        <v>18120</v>
      </c>
      <c r="H1429" s="58">
        <v>18498</v>
      </c>
      <c r="I1429" s="58">
        <v>100588</v>
      </c>
      <c r="J1429" s="58">
        <v>0</v>
      </c>
      <c r="K1429" s="1">
        <f t="shared" si="155"/>
        <v>622642.67999999993</v>
      </c>
      <c r="L1429" s="1">
        <f t="shared" si="156"/>
        <v>18498</v>
      </c>
      <c r="M1429" s="1">
        <f>VLOOKUP(B1429,'[1]Срок Годности'!$A$2:$B$4,2,0)</f>
        <v>1500</v>
      </c>
      <c r="N1429" s="60">
        <f t="shared" si="157"/>
        <v>18120</v>
      </c>
      <c r="O1429" s="1" t="str">
        <f t="shared" si="158"/>
        <v>24 2012</v>
      </c>
      <c r="P1429" s="1">
        <f t="shared" si="159"/>
        <v>21</v>
      </c>
      <c r="Q1429" s="1">
        <f t="shared" ca="1" si="160"/>
        <v>4060</v>
      </c>
      <c r="S1429" s="1">
        <f t="shared" si="154"/>
        <v>100588</v>
      </c>
    </row>
    <row r="1430" spans="1:19" x14ac:dyDescent="0.2">
      <c r="A1430" s="57" t="s">
        <v>227</v>
      </c>
      <c r="B1430" s="57" t="s">
        <v>244</v>
      </c>
      <c r="C1430" s="57" t="s">
        <v>245</v>
      </c>
      <c r="D1430" s="58">
        <v>33.659999999999997</v>
      </c>
      <c r="E1430" s="59">
        <v>41074</v>
      </c>
      <c r="F1430" s="58">
        <v>100588</v>
      </c>
      <c r="G1430" s="58">
        <v>16704</v>
      </c>
      <c r="H1430" s="58">
        <v>19472</v>
      </c>
      <c r="I1430" s="58">
        <v>97795</v>
      </c>
      <c r="J1430" s="58">
        <v>4</v>
      </c>
      <c r="K1430" s="1">
        <f t="shared" si="155"/>
        <v>655427.5199999999</v>
      </c>
      <c r="L1430" s="1">
        <f t="shared" si="156"/>
        <v>19472</v>
      </c>
      <c r="M1430" s="1">
        <f>VLOOKUP(B1430,'[1]Срок Годности'!$A$2:$B$4,2,0)</f>
        <v>1500</v>
      </c>
      <c r="N1430" s="60">
        <f t="shared" si="157"/>
        <v>16704</v>
      </c>
      <c r="O1430" s="1" t="str">
        <f t="shared" si="158"/>
        <v>24 2012</v>
      </c>
      <c r="P1430" s="1">
        <f t="shared" si="159"/>
        <v>21</v>
      </c>
      <c r="Q1430" s="1">
        <f t="shared" ca="1" si="160"/>
        <v>4059</v>
      </c>
      <c r="S1430" s="1">
        <f t="shared" si="154"/>
        <v>97791</v>
      </c>
    </row>
    <row r="1431" spans="1:19" x14ac:dyDescent="0.2">
      <c r="A1431" s="57" t="s">
        <v>227</v>
      </c>
      <c r="B1431" s="57" t="s">
        <v>244</v>
      </c>
      <c r="C1431" s="57" t="s">
        <v>245</v>
      </c>
      <c r="D1431" s="58">
        <v>33.659999999999997</v>
      </c>
      <c r="E1431" s="59">
        <v>41075</v>
      </c>
      <c r="F1431" s="58">
        <v>97795</v>
      </c>
      <c r="G1431" s="58">
        <v>18396</v>
      </c>
      <c r="H1431" s="58">
        <v>21001</v>
      </c>
      <c r="I1431" s="58">
        <v>95097</v>
      </c>
      <c r="J1431" s="58">
        <v>1</v>
      </c>
      <c r="K1431" s="1">
        <f t="shared" si="155"/>
        <v>706893.65999999992</v>
      </c>
      <c r="L1431" s="1">
        <f t="shared" si="156"/>
        <v>21001</v>
      </c>
      <c r="M1431" s="1">
        <f>VLOOKUP(B1431,'[1]Срок Годности'!$A$2:$B$4,2,0)</f>
        <v>1500</v>
      </c>
      <c r="N1431" s="60">
        <f t="shared" si="157"/>
        <v>18396</v>
      </c>
      <c r="O1431" s="1" t="str">
        <f t="shared" si="158"/>
        <v>24 2012</v>
      </c>
      <c r="P1431" s="1">
        <f t="shared" si="159"/>
        <v>21</v>
      </c>
      <c r="Q1431" s="1">
        <f t="shared" ca="1" si="160"/>
        <v>4058</v>
      </c>
      <c r="S1431" s="1">
        <f t="shared" si="154"/>
        <v>95096</v>
      </c>
    </row>
    <row r="1432" spans="1:19" x14ac:dyDescent="0.2">
      <c r="A1432" s="57" t="s">
        <v>227</v>
      </c>
      <c r="B1432" s="57" t="s">
        <v>244</v>
      </c>
      <c r="C1432" s="57" t="s">
        <v>245</v>
      </c>
      <c r="D1432" s="58">
        <v>33.659999999999997</v>
      </c>
      <c r="E1432" s="59">
        <v>41076</v>
      </c>
      <c r="F1432" s="58">
        <v>95097</v>
      </c>
      <c r="G1432" s="58">
        <v>17964</v>
      </c>
      <c r="H1432" s="58">
        <v>21224</v>
      </c>
      <c r="I1432" s="58">
        <v>91802</v>
      </c>
      <c r="J1432" s="58">
        <v>0</v>
      </c>
      <c r="K1432" s="1">
        <f t="shared" si="155"/>
        <v>714399.84</v>
      </c>
      <c r="L1432" s="1">
        <f t="shared" si="156"/>
        <v>21224</v>
      </c>
      <c r="M1432" s="1">
        <f>VLOOKUP(B1432,'[1]Срок Годности'!$A$2:$B$4,2,0)</f>
        <v>1500</v>
      </c>
      <c r="N1432" s="60">
        <f t="shared" si="157"/>
        <v>17964</v>
      </c>
      <c r="O1432" s="1" t="str">
        <f t="shared" si="158"/>
        <v>24 2012</v>
      </c>
      <c r="P1432" s="1">
        <f t="shared" si="159"/>
        <v>21</v>
      </c>
      <c r="Q1432" s="1">
        <f t="shared" ca="1" si="160"/>
        <v>4057</v>
      </c>
      <c r="S1432" s="1">
        <f t="shared" si="154"/>
        <v>91802</v>
      </c>
    </row>
    <row r="1433" spans="1:19" x14ac:dyDescent="0.2">
      <c r="A1433" s="57" t="s">
        <v>227</v>
      </c>
      <c r="B1433" s="57" t="s">
        <v>244</v>
      </c>
      <c r="C1433" s="57" t="s">
        <v>245</v>
      </c>
      <c r="D1433" s="58">
        <v>33.659999999999997</v>
      </c>
      <c r="E1433" s="59">
        <v>41077</v>
      </c>
      <c r="F1433" s="58">
        <v>91802</v>
      </c>
      <c r="G1433" s="58">
        <v>21865</v>
      </c>
      <c r="H1433" s="58">
        <v>22603</v>
      </c>
      <c r="I1433" s="58">
        <v>91190</v>
      </c>
      <c r="J1433" s="58">
        <v>1</v>
      </c>
      <c r="K1433" s="1">
        <f t="shared" si="155"/>
        <v>760816.97999999986</v>
      </c>
      <c r="L1433" s="1">
        <f t="shared" si="156"/>
        <v>22603</v>
      </c>
      <c r="M1433" s="1">
        <f>VLOOKUP(B1433,'[1]Срок Годности'!$A$2:$B$4,2,0)</f>
        <v>1500</v>
      </c>
      <c r="N1433" s="60">
        <f t="shared" si="157"/>
        <v>0</v>
      </c>
      <c r="O1433" s="1" t="str">
        <f t="shared" si="158"/>
        <v>25 2012</v>
      </c>
      <c r="P1433" s="1">
        <f t="shared" si="159"/>
        <v>21</v>
      </c>
      <c r="Q1433" s="1">
        <f t="shared" ca="1" si="160"/>
        <v>4056</v>
      </c>
      <c r="S1433" s="1">
        <f t="shared" si="154"/>
        <v>91189</v>
      </c>
    </row>
    <row r="1434" spans="1:19" x14ac:dyDescent="0.2">
      <c r="A1434" s="57" t="s">
        <v>227</v>
      </c>
      <c r="B1434" s="57" t="s">
        <v>244</v>
      </c>
      <c r="C1434" s="57" t="s">
        <v>245</v>
      </c>
      <c r="D1434" s="58">
        <v>33.659999999999997</v>
      </c>
      <c r="E1434" s="59">
        <v>41078</v>
      </c>
      <c r="F1434" s="58">
        <v>91190</v>
      </c>
      <c r="G1434" s="58">
        <v>22209</v>
      </c>
      <c r="H1434" s="58">
        <v>22882</v>
      </c>
      <c r="I1434" s="58">
        <v>90470</v>
      </c>
      <c r="J1434" s="58">
        <v>1</v>
      </c>
      <c r="K1434" s="1">
        <f t="shared" si="155"/>
        <v>770208.11999999988</v>
      </c>
      <c r="L1434" s="1">
        <f t="shared" si="156"/>
        <v>22882</v>
      </c>
      <c r="M1434" s="1">
        <f>VLOOKUP(B1434,'[1]Срок Годности'!$A$2:$B$4,2,0)</f>
        <v>1500</v>
      </c>
      <c r="N1434" s="60">
        <f t="shared" si="157"/>
        <v>22209</v>
      </c>
      <c r="O1434" s="1" t="str">
        <f t="shared" si="158"/>
        <v>25 2012</v>
      </c>
      <c r="P1434" s="1">
        <f t="shared" si="159"/>
        <v>21</v>
      </c>
      <c r="Q1434" s="1">
        <f t="shared" ca="1" si="160"/>
        <v>4055</v>
      </c>
      <c r="S1434" s="1">
        <f t="shared" si="154"/>
        <v>90469</v>
      </c>
    </row>
    <row r="1435" spans="1:19" x14ac:dyDescent="0.2">
      <c r="A1435" s="57" t="s">
        <v>227</v>
      </c>
      <c r="B1435" s="57" t="s">
        <v>244</v>
      </c>
      <c r="C1435" s="57" t="s">
        <v>245</v>
      </c>
      <c r="D1435" s="58">
        <v>33.659999999999997</v>
      </c>
      <c r="E1435" s="59">
        <v>41079</v>
      </c>
      <c r="F1435" s="58">
        <v>90470</v>
      </c>
      <c r="G1435" s="58">
        <v>34744</v>
      </c>
      <c r="H1435" s="58">
        <v>22022</v>
      </c>
      <c r="I1435" s="58">
        <v>103127</v>
      </c>
      <c r="J1435" s="58">
        <v>3</v>
      </c>
      <c r="K1435" s="1">
        <f t="shared" si="155"/>
        <v>741260.5199999999</v>
      </c>
      <c r="L1435" s="1">
        <f t="shared" si="156"/>
        <v>22022</v>
      </c>
      <c r="M1435" s="1">
        <f>VLOOKUP(B1435,'[1]Срок Годности'!$A$2:$B$4,2,0)</f>
        <v>1500</v>
      </c>
      <c r="N1435" s="60">
        <f t="shared" si="157"/>
        <v>34744</v>
      </c>
      <c r="O1435" s="1" t="str">
        <f t="shared" si="158"/>
        <v>25 2012</v>
      </c>
      <c r="P1435" s="1">
        <f t="shared" si="159"/>
        <v>21</v>
      </c>
      <c r="Q1435" s="1">
        <f t="shared" ca="1" si="160"/>
        <v>4054</v>
      </c>
      <c r="S1435" s="1">
        <f t="shared" si="154"/>
        <v>103124</v>
      </c>
    </row>
    <row r="1436" spans="1:19" x14ac:dyDescent="0.2">
      <c r="A1436" s="57" t="s">
        <v>227</v>
      </c>
      <c r="B1436" s="57" t="s">
        <v>244</v>
      </c>
      <c r="C1436" s="57" t="s">
        <v>245</v>
      </c>
      <c r="D1436" s="58">
        <v>33.659999999999997</v>
      </c>
      <c r="E1436" s="59">
        <v>41080</v>
      </c>
      <c r="F1436" s="58">
        <v>103127</v>
      </c>
      <c r="G1436" s="58">
        <v>31167</v>
      </c>
      <c r="H1436" s="58">
        <v>22057</v>
      </c>
      <c r="I1436" s="58">
        <v>112130</v>
      </c>
      <c r="J1436" s="58">
        <v>1</v>
      </c>
      <c r="K1436" s="1">
        <f t="shared" si="155"/>
        <v>742438.61999999988</v>
      </c>
      <c r="L1436" s="1">
        <f t="shared" si="156"/>
        <v>22057</v>
      </c>
      <c r="M1436" s="1">
        <f>VLOOKUP(B1436,'[1]Срок Годности'!$A$2:$B$4,2,0)</f>
        <v>1500</v>
      </c>
      <c r="N1436" s="60">
        <f t="shared" si="157"/>
        <v>31167</v>
      </c>
      <c r="O1436" s="1" t="str">
        <f t="shared" si="158"/>
        <v>25 2012</v>
      </c>
      <c r="P1436" s="1">
        <f t="shared" si="159"/>
        <v>21</v>
      </c>
      <c r="Q1436" s="1">
        <f t="shared" ca="1" si="160"/>
        <v>4053</v>
      </c>
      <c r="S1436" s="1">
        <f t="shared" si="154"/>
        <v>112129</v>
      </c>
    </row>
    <row r="1437" spans="1:19" x14ac:dyDescent="0.2">
      <c r="A1437" s="57" t="s">
        <v>227</v>
      </c>
      <c r="B1437" s="57" t="s">
        <v>244</v>
      </c>
      <c r="C1437" s="57" t="s">
        <v>245</v>
      </c>
      <c r="D1437" s="58">
        <v>33.659999999999997</v>
      </c>
      <c r="E1437" s="59">
        <v>41081</v>
      </c>
      <c r="F1437" s="58">
        <v>112130</v>
      </c>
      <c r="G1437" s="58">
        <v>29321</v>
      </c>
      <c r="H1437" s="58">
        <v>22399</v>
      </c>
      <c r="I1437" s="58">
        <v>119024</v>
      </c>
      <c r="J1437" s="58">
        <v>0</v>
      </c>
      <c r="K1437" s="1">
        <f t="shared" si="155"/>
        <v>753950.34</v>
      </c>
      <c r="L1437" s="1">
        <f t="shared" si="156"/>
        <v>22399</v>
      </c>
      <c r="M1437" s="1">
        <f>VLOOKUP(B1437,'[1]Срок Годности'!$A$2:$B$4,2,0)</f>
        <v>1500</v>
      </c>
      <c r="N1437" s="60">
        <f t="shared" si="157"/>
        <v>29321</v>
      </c>
      <c r="O1437" s="1" t="str">
        <f t="shared" si="158"/>
        <v>25 2012</v>
      </c>
      <c r="P1437" s="1">
        <f t="shared" si="159"/>
        <v>21</v>
      </c>
      <c r="Q1437" s="1">
        <f t="shared" ca="1" si="160"/>
        <v>4052</v>
      </c>
      <c r="S1437" s="1">
        <f t="shared" si="154"/>
        <v>119024</v>
      </c>
    </row>
    <row r="1438" spans="1:19" x14ac:dyDescent="0.2">
      <c r="A1438" s="57" t="s">
        <v>227</v>
      </c>
      <c r="B1438" s="57" t="s">
        <v>244</v>
      </c>
      <c r="C1438" s="57" t="s">
        <v>245</v>
      </c>
      <c r="D1438" s="58">
        <v>33.659999999999997</v>
      </c>
      <c r="E1438" s="59">
        <v>41082</v>
      </c>
      <c r="F1438" s="58">
        <v>119024</v>
      </c>
      <c r="G1438" s="58">
        <v>24368</v>
      </c>
      <c r="H1438" s="58">
        <v>19900</v>
      </c>
      <c r="I1438" s="58">
        <v>123517</v>
      </c>
      <c r="J1438" s="58">
        <v>6</v>
      </c>
      <c r="K1438" s="1">
        <f t="shared" si="155"/>
        <v>669833.99999999988</v>
      </c>
      <c r="L1438" s="1">
        <f t="shared" si="156"/>
        <v>19900</v>
      </c>
      <c r="M1438" s="1">
        <f>VLOOKUP(B1438,'[1]Срок Годности'!$A$2:$B$4,2,0)</f>
        <v>1500</v>
      </c>
      <c r="N1438" s="60">
        <f t="shared" si="157"/>
        <v>24368</v>
      </c>
      <c r="O1438" s="1" t="str">
        <f t="shared" si="158"/>
        <v>25 2012</v>
      </c>
      <c r="P1438" s="1">
        <f t="shared" si="159"/>
        <v>21</v>
      </c>
      <c r="Q1438" s="1">
        <f t="shared" ca="1" si="160"/>
        <v>4051</v>
      </c>
      <c r="S1438" s="1">
        <f t="shared" si="154"/>
        <v>123511</v>
      </c>
    </row>
    <row r="1439" spans="1:19" x14ac:dyDescent="0.2">
      <c r="A1439" s="57" t="s">
        <v>227</v>
      </c>
      <c r="B1439" s="57" t="s">
        <v>244</v>
      </c>
      <c r="C1439" s="57" t="s">
        <v>245</v>
      </c>
      <c r="D1439" s="58">
        <v>33.659999999999997</v>
      </c>
      <c r="E1439" s="59">
        <v>41083</v>
      </c>
      <c r="F1439" s="58">
        <v>123517</v>
      </c>
      <c r="G1439" s="58">
        <v>29194</v>
      </c>
      <c r="H1439" s="58">
        <v>19139</v>
      </c>
      <c r="I1439" s="58">
        <v>133527</v>
      </c>
      <c r="J1439" s="58">
        <v>0</v>
      </c>
      <c r="K1439" s="1">
        <f t="shared" si="155"/>
        <v>644218.74</v>
      </c>
      <c r="L1439" s="1">
        <f t="shared" si="156"/>
        <v>19139</v>
      </c>
      <c r="M1439" s="1">
        <f>VLOOKUP(B1439,'[1]Срок Годности'!$A$2:$B$4,2,0)</f>
        <v>1500</v>
      </c>
      <c r="N1439" s="60">
        <f t="shared" si="157"/>
        <v>29194</v>
      </c>
      <c r="O1439" s="1" t="str">
        <f t="shared" si="158"/>
        <v>25 2012</v>
      </c>
      <c r="P1439" s="1">
        <f t="shared" si="159"/>
        <v>21</v>
      </c>
      <c r="Q1439" s="1">
        <f t="shared" ca="1" si="160"/>
        <v>4050</v>
      </c>
      <c r="S1439" s="1">
        <f t="shared" si="154"/>
        <v>133527</v>
      </c>
    </row>
    <row r="1440" spans="1:19" x14ac:dyDescent="0.2">
      <c r="A1440" s="57" t="s">
        <v>227</v>
      </c>
      <c r="B1440" s="57" t="s">
        <v>244</v>
      </c>
      <c r="C1440" s="57" t="s">
        <v>245</v>
      </c>
      <c r="D1440" s="58">
        <v>33.659999999999997</v>
      </c>
      <c r="E1440" s="59">
        <v>41084</v>
      </c>
      <c r="F1440" s="58">
        <v>133527</v>
      </c>
      <c r="G1440" s="58">
        <v>22173</v>
      </c>
      <c r="H1440" s="58">
        <v>19757</v>
      </c>
      <c r="I1440" s="58">
        <v>135921</v>
      </c>
      <c r="J1440" s="58">
        <v>0</v>
      </c>
      <c r="K1440" s="1">
        <f t="shared" si="155"/>
        <v>665020.61999999988</v>
      </c>
      <c r="L1440" s="1">
        <f t="shared" si="156"/>
        <v>19757</v>
      </c>
      <c r="M1440" s="1">
        <f>VLOOKUP(B1440,'[1]Срок Годности'!$A$2:$B$4,2,0)</f>
        <v>1500</v>
      </c>
      <c r="N1440" s="60">
        <f t="shared" si="157"/>
        <v>0</v>
      </c>
      <c r="O1440" s="1" t="str">
        <f t="shared" si="158"/>
        <v>26 2012</v>
      </c>
      <c r="P1440" s="1">
        <f t="shared" si="159"/>
        <v>21</v>
      </c>
      <c r="Q1440" s="1">
        <f t="shared" ca="1" si="160"/>
        <v>4049</v>
      </c>
      <c r="S1440" s="1">
        <f t="shared" si="154"/>
        <v>135921</v>
      </c>
    </row>
    <row r="1441" spans="1:19" x14ac:dyDescent="0.2">
      <c r="A1441" s="57" t="s">
        <v>227</v>
      </c>
      <c r="B1441" s="57" t="s">
        <v>244</v>
      </c>
      <c r="C1441" s="57" t="s">
        <v>245</v>
      </c>
      <c r="D1441" s="58">
        <v>33.659999999999997</v>
      </c>
      <c r="E1441" s="59">
        <v>41085</v>
      </c>
      <c r="F1441" s="58">
        <v>135921</v>
      </c>
      <c r="G1441" s="58">
        <v>19996</v>
      </c>
      <c r="H1441" s="58">
        <v>19860</v>
      </c>
      <c r="I1441" s="58">
        <v>136049</v>
      </c>
      <c r="J1441" s="58">
        <v>4</v>
      </c>
      <c r="K1441" s="1">
        <f t="shared" si="155"/>
        <v>668487.6</v>
      </c>
      <c r="L1441" s="1">
        <f t="shared" si="156"/>
        <v>19860</v>
      </c>
      <c r="M1441" s="1">
        <f>VLOOKUP(B1441,'[1]Срок Годности'!$A$2:$B$4,2,0)</f>
        <v>1500</v>
      </c>
      <c r="N1441" s="60">
        <f t="shared" si="157"/>
        <v>19996</v>
      </c>
      <c r="O1441" s="1" t="str">
        <f t="shared" si="158"/>
        <v>26 2012</v>
      </c>
      <c r="P1441" s="1">
        <f t="shared" si="159"/>
        <v>21</v>
      </c>
      <c r="Q1441" s="1">
        <f t="shared" ca="1" si="160"/>
        <v>4048</v>
      </c>
      <c r="S1441" s="1">
        <f t="shared" si="154"/>
        <v>136045</v>
      </c>
    </row>
    <row r="1442" spans="1:19" x14ac:dyDescent="0.2">
      <c r="A1442" s="57" t="s">
        <v>227</v>
      </c>
      <c r="B1442" s="57" t="s">
        <v>244</v>
      </c>
      <c r="C1442" s="57" t="s">
        <v>245</v>
      </c>
      <c r="D1442" s="58">
        <v>33.659999999999997</v>
      </c>
      <c r="E1442" s="59">
        <v>41086</v>
      </c>
      <c r="F1442" s="58">
        <v>136049</v>
      </c>
      <c r="G1442" s="58">
        <v>7726</v>
      </c>
      <c r="H1442" s="58">
        <v>17868</v>
      </c>
      <c r="I1442" s="58">
        <v>125869</v>
      </c>
      <c r="J1442" s="58">
        <v>0</v>
      </c>
      <c r="K1442" s="1">
        <f t="shared" si="155"/>
        <v>601436.87999999989</v>
      </c>
      <c r="L1442" s="1">
        <f t="shared" si="156"/>
        <v>17868</v>
      </c>
      <c r="M1442" s="1">
        <f>VLOOKUP(B1442,'[1]Срок Годности'!$A$2:$B$4,2,0)</f>
        <v>1500</v>
      </c>
      <c r="N1442" s="60">
        <f t="shared" si="157"/>
        <v>7726</v>
      </c>
      <c r="O1442" s="1" t="str">
        <f t="shared" si="158"/>
        <v>26 2012</v>
      </c>
      <c r="P1442" s="1">
        <f t="shared" si="159"/>
        <v>21</v>
      </c>
      <c r="Q1442" s="1">
        <f t="shared" ca="1" si="160"/>
        <v>4047</v>
      </c>
      <c r="S1442" s="1">
        <f t="shared" si="154"/>
        <v>125869</v>
      </c>
    </row>
    <row r="1443" spans="1:19" x14ac:dyDescent="0.2">
      <c r="A1443" s="57" t="s">
        <v>227</v>
      </c>
      <c r="B1443" s="57" t="s">
        <v>244</v>
      </c>
      <c r="C1443" s="57" t="s">
        <v>245</v>
      </c>
      <c r="D1443" s="58">
        <v>33.659999999999997</v>
      </c>
      <c r="E1443" s="59">
        <v>41087</v>
      </c>
      <c r="F1443" s="58">
        <v>125869</v>
      </c>
      <c r="G1443" s="58">
        <v>24422</v>
      </c>
      <c r="H1443" s="58">
        <v>18113</v>
      </c>
      <c r="I1443" s="58">
        <v>132070</v>
      </c>
      <c r="J1443" s="58">
        <v>0</v>
      </c>
      <c r="K1443" s="1">
        <f t="shared" si="155"/>
        <v>609683.57999999996</v>
      </c>
      <c r="L1443" s="1">
        <f t="shared" si="156"/>
        <v>18113</v>
      </c>
      <c r="M1443" s="1">
        <f>VLOOKUP(B1443,'[1]Срок Годности'!$A$2:$B$4,2,0)</f>
        <v>1500</v>
      </c>
      <c r="N1443" s="60">
        <f t="shared" si="157"/>
        <v>24422</v>
      </c>
      <c r="O1443" s="1" t="str">
        <f t="shared" si="158"/>
        <v>26 2012</v>
      </c>
      <c r="P1443" s="1">
        <f t="shared" si="159"/>
        <v>21</v>
      </c>
      <c r="Q1443" s="1">
        <f t="shared" ca="1" si="160"/>
        <v>4046</v>
      </c>
      <c r="S1443" s="1">
        <f t="shared" si="154"/>
        <v>132070</v>
      </c>
    </row>
    <row r="1444" spans="1:19" x14ac:dyDescent="0.2">
      <c r="A1444" s="57" t="s">
        <v>227</v>
      </c>
      <c r="B1444" s="57" t="s">
        <v>244</v>
      </c>
      <c r="C1444" s="57" t="s">
        <v>245</v>
      </c>
      <c r="D1444" s="58">
        <v>33.659999999999997</v>
      </c>
      <c r="E1444" s="59">
        <v>41088</v>
      </c>
      <c r="F1444" s="58">
        <v>132070</v>
      </c>
      <c r="G1444" s="58">
        <v>20610</v>
      </c>
      <c r="H1444" s="58">
        <v>18904</v>
      </c>
      <c r="I1444" s="58">
        <v>133727</v>
      </c>
      <c r="J1444" s="58">
        <v>0</v>
      </c>
      <c r="K1444" s="1">
        <f t="shared" si="155"/>
        <v>636308.6399999999</v>
      </c>
      <c r="L1444" s="1">
        <f t="shared" si="156"/>
        <v>18904</v>
      </c>
      <c r="M1444" s="1">
        <f>VLOOKUP(B1444,'[1]Срок Годности'!$A$2:$B$4,2,0)</f>
        <v>1500</v>
      </c>
      <c r="N1444" s="60">
        <f t="shared" si="157"/>
        <v>20610</v>
      </c>
      <c r="O1444" s="1" t="str">
        <f t="shared" si="158"/>
        <v>26 2012</v>
      </c>
      <c r="P1444" s="1">
        <f t="shared" si="159"/>
        <v>21</v>
      </c>
      <c r="Q1444" s="1">
        <f t="shared" ca="1" si="160"/>
        <v>4045</v>
      </c>
      <c r="S1444" s="1">
        <f t="shared" si="154"/>
        <v>133727</v>
      </c>
    </row>
    <row r="1445" spans="1:19" x14ac:dyDescent="0.2">
      <c r="A1445" s="57" t="s">
        <v>227</v>
      </c>
      <c r="B1445" s="57" t="s">
        <v>244</v>
      </c>
      <c r="C1445" s="57" t="s">
        <v>245</v>
      </c>
      <c r="D1445" s="58">
        <v>33.659999999999997</v>
      </c>
      <c r="E1445" s="59">
        <v>41089</v>
      </c>
      <c r="F1445" s="58">
        <v>133727</v>
      </c>
      <c r="G1445" s="58">
        <v>14888</v>
      </c>
      <c r="H1445" s="58">
        <v>21625</v>
      </c>
      <c r="I1445" s="58">
        <v>126922</v>
      </c>
      <c r="J1445" s="58">
        <v>0</v>
      </c>
      <c r="K1445" s="1">
        <f t="shared" si="155"/>
        <v>727897.49999999988</v>
      </c>
      <c r="L1445" s="1">
        <f t="shared" si="156"/>
        <v>21625</v>
      </c>
      <c r="M1445" s="1">
        <f>VLOOKUP(B1445,'[1]Срок Годности'!$A$2:$B$4,2,0)</f>
        <v>1500</v>
      </c>
      <c r="N1445" s="60">
        <f t="shared" si="157"/>
        <v>14888</v>
      </c>
      <c r="O1445" s="1" t="str">
        <f t="shared" si="158"/>
        <v>26 2012</v>
      </c>
      <c r="P1445" s="1">
        <f t="shared" si="159"/>
        <v>21</v>
      </c>
      <c r="Q1445" s="1">
        <f t="shared" ca="1" si="160"/>
        <v>4044</v>
      </c>
      <c r="S1445" s="1">
        <f t="shared" si="154"/>
        <v>126922</v>
      </c>
    </row>
    <row r="1446" spans="1:19" x14ac:dyDescent="0.2">
      <c r="A1446" s="57" t="s">
        <v>227</v>
      </c>
      <c r="B1446" s="57" t="s">
        <v>244</v>
      </c>
      <c r="C1446" s="57" t="s">
        <v>245</v>
      </c>
      <c r="D1446" s="58">
        <v>33.659999999999997</v>
      </c>
      <c r="E1446" s="59">
        <v>41090</v>
      </c>
      <c r="F1446" s="58">
        <v>126922</v>
      </c>
      <c r="G1446" s="58">
        <v>15473</v>
      </c>
      <c r="H1446" s="58">
        <v>24099</v>
      </c>
      <c r="I1446" s="58">
        <v>118223</v>
      </c>
      <c r="J1446" s="58">
        <v>5</v>
      </c>
      <c r="K1446" s="1">
        <f t="shared" si="155"/>
        <v>811172.34</v>
      </c>
      <c r="L1446" s="1">
        <f t="shared" si="156"/>
        <v>24099</v>
      </c>
      <c r="M1446" s="1">
        <f>VLOOKUP(B1446,'[1]Срок Годности'!$A$2:$B$4,2,0)</f>
        <v>1500</v>
      </c>
      <c r="N1446" s="60">
        <f t="shared" si="157"/>
        <v>15473</v>
      </c>
      <c r="O1446" s="1" t="str">
        <f t="shared" si="158"/>
        <v>26 2012</v>
      </c>
      <c r="P1446" s="1">
        <f t="shared" si="159"/>
        <v>21</v>
      </c>
      <c r="Q1446" s="1">
        <f t="shared" ca="1" si="160"/>
        <v>4043</v>
      </c>
      <c r="S1446" s="1">
        <f t="shared" si="154"/>
        <v>118218</v>
      </c>
    </row>
    <row r="1447" spans="1:19" x14ac:dyDescent="0.2">
      <c r="A1447" s="57" t="s">
        <v>227</v>
      </c>
      <c r="B1447" s="57" t="s">
        <v>244</v>
      </c>
      <c r="C1447" s="57" t="s">
        <v>245</v>
      </c>
      <c r="D1447" s="58">
        <v>33.659999999999997</v>
      </c>
      <c r="E1447" s="59">
        <v>41091</v>
      </c>
      <c r="F1447" s="58">
        <v>118223</v>
      </c>
      <c r="G1447" s="58">
        <v>21649</v>
      </c>
      <c r="H1447" s="58">
        <v>30833</v>
      </c>
      <c r="I1447" s="58">
        <v>108963</v>
      </c>
      <c r="J1447" s="58">
        <v>2</v>
      </c>
      <c r="K1447" s="1">
        <f t="shared" si="155"/>
        <v>1037838.7799999999</v>
      </c>
      <c r="L1447" s="1">
        <f t="shared" si="156"/>
        <v>30833</v>
      </c>
      <c r="M1447" s="1">
        <f>VLOOKUP(B1447,'[1]Срок Годности'!$A$2:$B$4,2,0)</f>
        <v>1500</v>
      </c>
      <c r="N1447" s="60">
        <f t="shared" si="157"/>
        <v>0</v>
      </c>
      <c r="O1447" s="1" t="str">
        <f t="shared" si="158"/>
        <v>27 2012</v>
      </c>
      <c r="P1447" s="1">
        <f t="shared" si="159"/>
        <v>21</v>
      </c>
      <c r="Q1447" s="1">
        <f t="shared" ca="1" si="160"/>
        <v>4042</v>
      </c>
      <c r="S1447" s="1">
        <f t="shared" si="154"/>
        <v>108961</v>
      </c>
    </row>
    <row r="1448" spans="1:19" x14ac:dyDescent="0.2">
      <c r="A1448" s="57" t="s">
        <v>227</v>
      </c>
      <c r="B1448" s="57" t="s">
        <v>244</v>
      </c>
      <c r="C1448" s="57" t="s">
        <v>245</v>
      </c>
      <c r="D1448" s="58">
        <v>33.659999999999997</v>
      </c>
      <c r="E1448" s="59">
        <v>41092</v>
      </c>
      <c r="F1448" s="58">
        <v>108963</v>
      </c>
      <c r="G1448" s="58">
        <v>27388</v>
      </c>
      <c r="H1448" s="58">
        <v>34568</v>
      </c>
      <c r="I1448" s="58">
        <v>101650</v>
      </c>
      <c r="J1448" s="58">
        <v>0</v>
      </c>
      <c r="K1448" s="1">
        <f t="shared" si="155"/>
        <v>1163558.8799999999</v>
      </c>
      <c r="L1448" s="1">
        <f t="shared" si="156"/>
        <v>34568</v>
      </c>
      <c r="M1448" s="1">
        <f>VLOOKUP(B1448,'[1]Срок Годности'!$A$2:$B$4,2,0)</f>
        <v>1500</v>
      </c>
      <c r="N1448" s="60">
        <f t="shared" si="157"/>
        <v>27388</v>
      </c>
      <c r="O1448" s="1" t="str">
        <f t="shared" si="158"/>
        <v>27 2012</v>
      </c>
      <c r="P1448" s="1">
        <f t="shared" si="159"/>
        <v>21</v>
      </c>
      <c r="Q1448" s="1">
        <f t="shared" ca="1" si="160"/>
        <v>4041</v>
      </c>
      <c r="S1448" s="1">
        <f t="shared" si="154"/>
        <v>101650</v>
      </c>
    </row>
    <row r="1449" spans="1:19" x14ac:dyDescent="0.2">
      <c r="A1449" s="57" t="s">
        <v>227</v>
      </c>
      <c r="B1449" s="57" t="s">
        <v>244</v>
      </c>
      <c r="C1449" s="57" t="s">
        <v>245</v>
      </c>
      <c r="D1449" s="58">
        <v>33.659999999999997</v>
      </c>
      <c r="E1449" s="59">
        <v>41093</v>
      </c>
      <c r="F1449" s="58">
        <v>101650</v>
      </c>
      <c r="G1449" s="58">
        <v>40158</v>
      </c>
      <c r="H1449" s="58">
        <v>30615</v>
      </c>
      <c r="I1449" s="58">
        <v>111005</v>
      </c>
      <c r="J1449" s="58">
        <v>0</v>
      </c>
      <c r="K1449" s="1">
        <f t="shared" si="155"/>
        <v>1030500.8999999999</v>
      </c>
      <c r="L1449" s="1">
        <f t="shared" si="156"/>
        <v>30615</v>
      </c>
      <c r="M1449" s="1">
        <f>VLOOKUP(B1449,'[1]Срок Годности'!$A$2:$B$4,2,0)</f>
        <v>1500</v>
      </c>
      <c r="N1449" s="60">
        <f t="shared" si="157"/>
        <v>40158</v>
      </c>
      <c r="O1449" s="1" t="str">
        <f t="shared" si="158"/>
        <v>27 2012</v>
      </c>
      <c r="P1449" s="1">
        <f t="shared" si="159"/>
        <v>21</v>
      </c>
      <c r="Q1449" s="1">
        <f t="shared" ca="1" si="160"/>
        <v>4040</v>
      </c>
      <c r="S1449" s="1">
        <f t="shared" si="154"/>
        <v>111005</v>
      </c>
    </row>
    <row r="1450" spans="1:19" x14ac:dyDescent="0.2">
      <c r="A1450" s="57" t="s">
        <v>227</v>
      </c>
      <c r="B1450" s="57" t="s">
        <v>244</v>
      </c>
      <c r="C1450" s="57" t="s">
        <v>245</v>
      </c>
      <c r="D1450" s="58">
        <v>33.659999999999997</v>
      </c>
      <c r="E1450" s="59">
        <v>41094</v>
      </c>
      <c r="F1450" s="58">
        <v>111005</v>
      </c>
      <c r="G1450" s="58">
        <v>49005</v>
      </c>
      <c r="H1450" s="58">
        <v>29871</v>
      </c>
      <c r="I1450" s="58">
        <v>129998</v>
      </c>
      <c r="J1450" s="58">
        <v>0</v>
      </c>
      <c r="K1450" s="1">
        <f t="shared" si="155"/>
        <v>1005457.8599999999</v>
      </c>
      <c r="L1450" s="1">
        <f t="shared" si="156"/>
        <v>29871</v>
      </c>
      <c r="M1450" s="1">
        <f>VLOOKUP(B1450,'[1]Срок Годности'!$A$2:$B$4,2,0)</f>
        <v>1500</v>
      </c>
      <c r="N1450" s="60">
        <f t="shared" si="157"/>
        <v>49005</v>
      </c>
      <c r="O1450" s="1" t="str">
        <f t="shared" si="158"/>
        <v>27 2012</v>
      </c>
      <c r="P1450" s="1">
        <f t="shared" si="159"/>
        <v>21</v>
      </c>
      <c r="Q1450" s="1">
        <f t="shared" ca="1" si="160"/>
        <v>4039</v>
      </c>
      <c r="S1450" s="1">
        <f t="shared" si="154"/>
        <v>129998</v>
      </c>
    </row>
    <row r="1451" spans="1:19" x14ac:dyDescent="0.2">
      <c r="A1451" s="57" t="s">
        <v>227</v>
      </c>
      <c r="B1451" s="57" t="s">
        <v>244</v>
      </c>
      <c r="C1451" s="57" t="s">
        <v>245</v>
      </c>
      <c r="D1451" s="58">
        <v>33.659999999999997</v>
      </c>
      <c r="E1451" s="59">
        <v>41095</v>
      </c>
      <c r="F1451" s="58">
        <v>129998</v>
      </c>
      <c r="G1451" s="58">
        <v>15788</v>
      </c>
      <c r="H1451" s="58">
        <v>29509</v>
      </c>
      <c r="I1451" s="58">
        <v>116121</v>
      </c>
      <c r="J1451" s="58">
        <v>0</v>
      </c>
      <c r="K1451" s="1">
        <f t="shared" si="155"/>
        <v>993272.94</v>
      </c>
      <c r="L1451" s="1">
        <f t="shared" si="156"/>
        <v>29509</v>
      </c>
      <c r="M1451" s="1">
        <f>VLOOKUP(B1451,'[1]Срок Годности'!$A$2:$B$4,2,0)</f>
        <v>1500</v>
      </c>
      <c r="N1451" s="60">
        <f t="shared" si="157"/>
        <v>15788</v>
      </c>
      <c r="O1451" s="1" t="str">
        <f t="shared" si="158"/>
        <v>27 2012</v>
      </c>
      <c r="P1451" s="1">
        <f t="shared" si="159"/>
        <v>21</v>
      </c>
      <c r="Q1451" s="1">
        <f t="shared" ca="1" si="160"/>
        <v>4038</v>
      </c>
      <c r="S1451" s="1">
        <f t="shared" si="154"/>
        <v>116121</v>
      </c>
    </row>
    <row r="1452" spans="1:19" x14ac:dyDescent="0.2">
      <c r="A1452" s="57" t="s">
        <v>227</v>
      </c>
      <c r="B1452" s="57" t="s">
        <v>244</v>
      </c>
      <c r="C1452" s="57" t="s">
        <v>245</v>
      </c>
      <c r="D1452" s="58">
        <v>33.659999999999997</v>
      </c>
      <c r="E1452" s="59">
        <v>41096</v>
      </c>
      <c r="F1452" s="58">
        <v>116121</v>
      </c>
      <c r="G1452" s="58">
        <v>48715</v>
      </c>
      <c r="H1452" s="58">
        <v>30096</v>
      </c>
      <c r="I1452" s="58">
        <v>134584</v>
      </c>
      <c r="J1452" s="58">
        <v>1</v>
      </c>
      <c r="K1452" s="1">
        <f t="shared" si="155"/>
        <v>1013031.3599999999</v>
      </c>
      <c r="L1452" s="1">
        <f t="shared" si="156"/>
        <v>30096</v>
      </c>
      <c r="M1452" s="1">
        <f>VLOOKUP(B1452,'[1]Срок Годности'!$A$2:$B$4,2,0)</f>
        <v>1500</v>
      </c>
      <c r="N1452" s="60">
        <f t="shared" si="157"/>
        <v>48715</v>
      </c>
      <c r="O1452" s="1" t="str">
        <f t="shared" si="158"/>
        <v>27 2012</v>
      </c>
      <c r="P1452" s="1">
        <f t="shared" si="159"/>
        <v>21</v>
      </c>
      <c r="Q1452" s="1">
        <f t="shared" ca="1" si="160"/>
        <v>4037</v>
      </c>
      <c r="S1452" s="1">
        <f t="shared" si="154"/>
        <v>134583</v>
      </c>
    </row>
    <row r="1453" spans="1:19" x14ac:dyDescent="0.2">
      <c r="A1453" s="57" t="s">
        <v>227</v>
      </c>
      <c r="B1453" s="57" t="s">
        <v>244</v>
      </c>
      <c r="C1453" s="57" t="s">
        <v>245</v>
      </c>
      <c r="D1453" s="58">
        <v>33.659999999999997</v>
      </c>
      <c r="E1453" s="59">
        <v>41097</v>
      </c>
      <c r="F1453" s="58">
        <v>134584</v>
      </c>
      <c r="G1453" s="58">
        <v>6764</v>
      </c>
      <c r="H1453" s="58">
        <v>32156</v>
      </c>
      <c r="I1453" s="58">
        <v>109056</v>
      </c>
      <c r="J1453" s="58">
        <v>0</v>
      </c>
      <c r="K1453" s="1">
        <f t="shared" si="155"/>
        <v>1082370.96</v>
      </c>
      <c r="L1453" s="1">
        <f t="shared" si="156"/>
        <v>32156</v>
      </c>
      <c r="M1453" s="1">
        <f>VLOOKUP(B1453,'[1]Срок Годности'!$A$2:$B$4,2,0)</f>
        <v>1500</v>
      </c>
      <c r="N1453" s="60">
        <f t="shared" si="157"/>
        <v>6764</v>
      </c>
      <c r="O1453" s="1" t="str">
        <f t="shared" si="158"/>
        <v>27 2012</v>
      </c>
      <c r="P1453" s="1">
        <f t="shared" si="159"/>
        <v>21</v>
      </c>
      <c r="Q1453" s="1">
        <f t="shared" ca="1" si="160"/>
        <v>4036</v>
      </c>
      <c r="S1453" s="1">
        <f t="shared" si="154"/>
        <v>109056</v>
      </c>
    </row>
    <row r="1454" spans="1:19" x14ac:dyDescent="0.2">
      <c r="A1454" s="57" t="s">
        <v>227</v>
      </c>
      <c r="B1454" s="57" t="s">
        <v>244</v>
      </c>
      <c r="C1454" s="57" t="s">
        <v>245</v>
      </c>
      <c r="D1454" s="58">
        <v>33.659999999999997</v>
      </c>
      <c r="E1454" s="59">
        <v>41098</v>
      </c>
      <c r="F1454" s="58">
        <v>109056</v>
      </c>
      <c r="G1454" s="58">
        <v>63141</v>
      </c>
      <c r="H1454" s="58">
        <v>32763</v>
      </c>
      <c r="I1454" s="58">
        <v>139261</v>
      </c>
      <c r="J1454" s="58">
        <v>1</v>
      </c>
      <c r="K1454" s="1">
        <f t="shared" si="155"/>
        <v>1102802.5799999998</v>
      </c>
      <c r="L1454" s="1">
        <f t="shared" si="156"/>
        <v>32763</v>
      </c>
      <c r="M1454" s="1">
        <f>VLOOKUP(B1454,'[1]Срок Годности'!$A$2:$B$4,2,0)</f>
        <v>1500</v>
      </c>
      <c r="N1454" s="60">
        <f t="shared" si="157"/>
        <v>0</v>
      </c>
      <c r="O1454" s="1" t="str">
        <f t="shared" si="158"/>
        <v>28 2012</v>
      </c>
      <c r="P1454" s="1">
        <f t="shared" si="159"/>
        <v>21</v>
      </c>
      <c r="Q1454" s="1">
        <f t="shared" ca="1" si="160"/>
        <v>4035</v>
      </c>
      <c r="S1454" s="1">
        <f t="shared" si="154"/>
        <v>139260</v>
      </c>
    </row>
    <row r="1455" spans="1:19" x14ac:dyDescent="0.2">
      <c r="A1455" s="57" t="s">
        <v>227</v>
      </c>
      <c r="B1455" s="57" t="s">
        <v>244</v>
      </c>
      <c r="C1455" s="57" t="s">
        <v>245</v>
      </c>
      <c r="D1455" s="58">
        <v>33.659999999999997</v>
      </c>
      <c r="E1455" s="59">
        <v>41099</v>
      </c>
      <c r="F1455" s="58">
        <v>139261</v>
      </c>
      <c r="G1455" s="58">
        <v>29595</v>
      </c>
      <c r="H1455" s="58">
        <v>35875</v>
      </c>
      <c r="I1455" s="58">
        <v>132655</v>
      </c>
      <c r="J1455" s="58">
        <v>0</v>
      </c>
      <c r="K1455" s="1">
        <f t="shared" si="155"/>
        <v>1207552.4999999998</v>
      </c>
      <c r="L1455" s="1">
        <f t="shared" si="156"/>
        <v>35875</v>
      </c>
      <c r="M1455" s="1">
        <f>VLOOKUP(B1455,'[1]Срок Годности'!$A$2:$B$4,2,0)</f>
        <v>1500</v>
      </c>
      <c r="N1455" s="60">
        <f t="shared" si="157"/>
        <v>29595</v>
      </c>
      <c r="O1455" s="1" t="str">
        <f t="shared" si="158"/>
        <v>28 2012</v>
      </c>
      <c r="P1455" s="1">
        <f t="shared" si="159"/>
        <v>21</v>
      </c>
      <c r="Q1455" s="1">
        <f t="shared" ca="1" si="160"/>
        <v>4034</v>
      </c>
      <c r="S1455" s="1">
        <f t="shared" si="154"/>
        <v>132655</v>
      </c>
    </row>
    <row r="1456" spans="1:19" x14ac:dyDescent="0.2">
      <c r="A1456" s="57" t="s">
        <v>227</v>
      </c>
      <c r="B1456" s="57" t="s">
        <v>244</v>
      </c>
      <c r="C1456" s="57" t="s">
        <v>245</v>
      </c>
      <c r="D1456" s="58">
        <v>33.659999999999997</v>
      </c>
      <c r="E1456" s="59">
        <v>41100</v>
      </c>
      <c r="F1456" s="58">
        <v>132655</v>
      </c>
      <c r="G1456" s="58">
        <v>17399</v>
      </c>
      <c r="H1456" s="58">
        <v>31442</v>
      </c>
      <c r="I1456" s="58">
        <v>118377</v>
      </c>
      <c r="J1456" s="58">
        <v>0</v>
      </c>
      <c r="K1456" s="1">
        <f t="shared" si="155"/>
        <v>1058337.72</v>
      </c>
      <c r="L1456" s="1">
        <f t="shared" si="156"/>
        <v>31442</v>
      </c>
      <c r="M1456" s="1">
        <f>VLOOKUP(B1456,'[1]Срок Годности'!$A$2:$B$4,2,0)</f>
        <v>1500</v>
      </c>
      <c r="N1456" s="60">
        <f t="shared" si="157"/>
        <v>17399</v>
      </c>
      <c r="O1456" s="1" t="str">
        <f t="shared" si="158"/>
        <v>28 2012</v>
      </c>
      <c r="P1456" s="1">
        <f t="shared" si="159"/>
        <v>21</v>
      </c>
      <c r="Q1456" s="1">
        <f t="shared" ca="1" si="160"/>
        <v>4033</v>
      </c>
      <c r="S1456" s="1">
        <f t="shared" si="154"/>
        <v>118377</v>
      </c>
    </row>
    <row r="1457" spans="1:19" x14ac:dyDescent="0.2">
      <c r="A1457" s="57" t="s">
        <v>227</v>
      </c>
      <c r="B1457" s="57" t="s">
        <v>244</v>
      </c>
      <c r="C1457" s="57" t="s">
        <v>245</v>
      </c>
      <c r="D1457" s="58">
        <v>33.659999999999997</v>
      </c>
      <c r="E1457" s="59">
        <v>41101</v>
      </c>
      <c r="F1457" s="58">
        <v>118377</v>
      </c>
      <c r="G1457" s="58">
        <v>34086</v>
      </c>
      <c r="H1457" s="58">
        <v>26908</v>
      </c>
      <c r="I1457" s="58">
        <v>125368</v>
      </c>
      <c r="J1457" s="58">
        <v>0</v>
      </c>
      <c r="K1457" s="1">
        <f t="shared" si="155"/>
        <v>905723.27999999991</v>
      </c>
      <c r="L1457" s="1">
        <f t="shared" si="156"/>
        <v>26908</v>
      </c>
      <c r="M1457" s="1">
        <f>VLOOKUP(B1457,'[1]Срок Годности'!$A$2:$B$4,2,0)</f>
        <v>1500</v>
      </c>
      <c r="N1457" s="60">
        <f t="shared" si="157"/>
        <v>34086</v>
      </c>
      <c r="O1457" s="1" t="str">
        <f t="shared" si="158"/>
        <v>28 2012</v>
      </c>
      <c r="P1457" s="1">
        <f t="shared" si="159"/>
        <v>21</v>
      </c>
      <c r="Q1457" s="1">
        <f t="shared" ca="1" si="160"/>
        <v>4032</v>
      </c>
      <c r="S1457" s="1">
        <f t="shared" si="154"/>
        <v>125368</v>
      </c>
    </row>
    <row r="1458" spans="1:19" x14ac:dyDescent="0.2">
      <c r="A1458" s="57" t="s">
        <v>227</v>
      </c>
      <c r="B1458" s="57" t="s">
        <v>244</v>
      </c>
      <c r="C1458" s="57" t="s">
        <v>245</v>
      </c>
      <c r="D1458" s="58">
        <v>33.659999999999997</v>
      </c>
      <c r="E1458" s="59">
        <v>41102</v>
      </c>
      <c r="F1458" s="58">
        <v>125368</v>
      </c>
      <c r="G1458" s="58">
        <v>36695</v>
      </c>
      <c r="H1458" s="58">
        <v>25001</v>
      </c>
      <c r="I1458" s="58">
        <v>136194</v>
      </c>
      <c r="J1458" s="58">
        <v>18</v>
      </c>
      <c r="K1458" s="1">
        <f t="shared" si="155"/>
        <v>841533.65999999992</v>
      </c>
      <c r="L1458" s="1">
        <f t="shared" si="156"/>
        <v>25001</v>
      </c>
      <c r="M1458" s="1">
        <f>VLOOKUP(B1458,'[1]Срок Годности'!$A$2:$B$4,2,0)</f>
        <v>1500</v>
      </c>
      <c r="N1458" s="60">
        <f t="shared" si="157"/>
        <v>36695</v>
      </c>
      <c r="O1458" s="1" t="str">
        <f t="shared" si="158"/>
        <v>28 2012</v>
      </c>
      <c r="P1458" s="1">
        <f t="shared" si="159"/>
        <v>21</v>
      </c>
      <c r="Q1458" s="1">
        <f t="shared" ca="1" si="160"/>
        <v>4031</v>
      </c>
      <c r="S1458" s="1">
        <f t="shared" si="154"/>
        <v>136176</v>
      </c>
    </row>
    <row r="1459" spans="1:19" x14ac:dyDescent="0.2">
      <c r="A1459" s="57" t="s">
        <v>227</v>
      </c>
      <c r="B1459" s="57" t="s">
        <v>244</v>
      </c>
      <c r="C1459" s="57" t="s">
        <v>245</v>
      </c>
      <c r="D1459" s="58">
        <v>33.659999999999997</v>
      </c>
      <c r="E1459" s="59">
        <v>41103</v>
      </c>
      <c r="F1459" s="58">
        <v>136194</v>
      </c>
      <c r="G1459" s="58">
        <v>19173</v>
      </c>
      <c r="H1459" s="58">
        <v>24913</v>
      </c>
      <c r="I1459" s="58">
        <v>129620</v>
      </c>
      <c r="J1459" s="58">
        <v>0</v>
      </c>
      <c r="K1459" s="1">
        <f t="shared" si="155"/>
        <v>838571.58</v>
      </c>
      <c r="L1459" s="1">
        <f t="shared" si="156"/>
        <v>24913</v>
      </c>
      <c r="M1459" s="1">
        <f>VLOOKUP(B1459,'[1]Срок Годности'!$A$2:$B$4,2,0)</f>
        <v>1500</v>
      </c>
      <c r="N1459" s="60">
        <f t="shared" si="157"/>
        <v>19173</v>
      </c>
      <c r="O1459" s="1" t="str">
        <f t="shared" si="158"/>
        <v>28 2012</v>
      </c>
      <c r="P1459" s="1">
        <f t="shared" si="159"/>
        <v>21</v>
      </c>
      <c r="Q1459" s="1">
        <f t="shared" ca="1" si="160"/>
        <v>4030</v>
      </c>
      <c r="S1459" s="1">
        <f t="shared" si="154"/>
        <v>129620</v>
      </c>
    </row>
    <row r="1460" spans="1:19" x14ac:dyDescent="0.2">
      <c r="A1460" s="57" t="s">
        <v>227</v>
      </c>
      <c r="B1460" s="57" t="s">
        <v>244</v>
      </c>
      <c r="C1460" s="57" t="s">
        <v>245</v>
      </c>
      <c r="D1460" s="58">
        <v>33.659999999999997</v>
      </c>
      <c r="E1460" s="59">
        <v>41104</v>
      </c>
      <c r="F1460" s="58">
        <v>129620</v>
      </c>
      <c r="G1460" s="58">
        <v>71593</v>
      </c>
      <c r="H1460" s="58">
        <v>21470</v>
      </c>
      <c r="I1460" s="58">
        <v>179443</v>
      </c>
      <c r="J1460" s="58">
        <v>0</v>
      </c>
      <c r="K1460" s="1">
        <f t="shared" si="155"/>
        <v>722680.2</v>
      </c>
      <c r="L1460" s="1">
        <f t="shared" si="156"/>
        <v>21470</v>
      </c>
      <c r="M1460" s="1">
        <f>VLOOKUP(B1460,'[1]Срок Годности'!$A$2:$B$4,2,0)</f>
        <v>1500</v>
      </c>
      <c r="N1460" s="60">
        <f t="shared" si="157"/>
        <v>71593</v>
      </c>
      <c r="O1460" s="1" t="str">
        <f t="shared" si="158"/>
        <v>28 2012</v>
      </c>
      <c r="P1460" s="1">
        <f t="shared" si="159"/>
        <v>21</v>
      </c>
      <c r="Q1460" s="1">
        <f t="shared" ca="1" si="160"/>
        <v>4029</v>
      </c>
      <c r="S1460" s="1">
        <f t="shared" si="154"/>
        <v>179443</v>
      </c>
    </row>
    <row r="1461" spans="1:19" x14ac:dyDescent="0.2">
      <c r="A1461" s="57" t="s">
        <v>227</v>
      </c>
      <c r="B1461" s="57" t="s">
        <v>244</v>
      </c>
      <c r="C1461" s="57" t="s">
        <v>245</v>
      </c>
      <c r="D1461" s="58">
        <v>33.659999999999997</v>
      </c>
      <c r="E1461" s="59">
        <v>41105</v>
      </c>
      <c r="F1461" s="58">
        <v>179443</v>
      </c>
      <c r="G1461" s="58">
        <v>18219</v>
      </c>
      <c r="H1461" s="58">
        <v>18054</v>
      </c>
      <c r="I1461" s="58">
        <v>179466</v>
      </c>
      <c r="J1461" s="58">
        <v>0</v>
      </c>
      <c r="K1461" s="1">
        <f t="shared" si="155"/>
        <v>607697.6399999999</v>
      </c>
      <c r="L1461" s="1">
        <f t="shared" si="156"/>
        <v>18054</v>
      </c>
      <c r="M1461" s="1">
        <f>VLOOKUP(B1461,'[1]Срок Годности'!$A$2:$B$4,2,0)</f>
        <v>1500</v>
      </c>
      <c r="N1461" s="60">
        <f t="shared" si="157"/>
        <v>0</v>
      </c>
      <c r="O1461" s="1" t="str">
        <f t="shared" si="158"/>
        <v>29 2012</v>
      </c>
      <c r="P1461" s="1">
        <f t="shared" si="159"/>
        <v>21</v>
      </c>
      <c r="Q1461" s="1">
        <f t="shared" ca="1" si="160"/>
        <v>4028</v>
      </c>
      <c r="S1461" s="1">
        <f t="shared" si="154"/>
        <v>179466</v>
      </c>
    </row>
    <row r="1462" spans="1:19" x14ac:dyDescent="0.2">
      <c r="A1462" s="57" t="s">
        <v>227</v>
      </c>
      <c r="B1462" s="57" t="s">
        <v>244</v>
      </c>
      <c r="C1462" s="57" t="s">
        <v>245</v>
      </c>
      <c r="D1462" s="58">
        <v>33.659999999999997</v>
      </c>
      <c r="E1462" s="59">
        <v>41106</v>
      </c>
      <c r="F1462" s="58">
        <v>179466</v>
      </c>
      <c r="G1462" s="58">
        <v>10472</v>
      </c>
      <c r="H1462" s="58">
        <v>18074</v>
      </c>
      <c r="I1462" s="58">
        <v>171557</v>
      </c>
      <c r="J1462" s="58">
        <v>0</v>
      </c>
      <c r="K1462" s="1">
        <f t="shared" si="155"/>
        <v>608370.84</v>
      </c>
      <c r="L1462" s="1">
        <f t="shared" si="156"/>
        <v>18074</v>
      </c>
      <c r="M1462" s="1">
        <f>VLOOKUP(B1462,'[1]Срок Годности'!$A$2:$B$4,2,0)</f>
        <v>1500</v>
      </c>
      <c r="N1462" s="60">
        <f t="shared" si="157"/>
        <v>10472</v>
      </c>
      <c r="O1462" s="1" t="str">
        <f t="shared" si="158"/>
        <v>29 2012</v>
      </c>
      <c r="P1462" s="1">
        <f t="shared" si="159"/>
        <v>21</v>
      </c>
      <c r="Q1462" s="1">
        <f t="shared" ca="1" si="160"/>
        <v>4027</v>
      </c>
      <c r="S1462" s="1">
        <f t="shared" si="154"/>
        <v>171557</v>
      </c>
    </row>
    <row r="1463" spans="1:19" x14ac:dyDescent="0.2">
      <c r="A1463" s="57" t="s">
        <v>227</v>
      </c>
      <c r="B1463" s="57" t="s">
        <v>244</v>
      </c>
      <c r="C1463" s="57" t="s">
        <v>245</v>
      </c>
      <c r="D1463" s="58">
        <v>33.659999999999997</v>
      </c>
      <c r="E1463" s="59">
        <v>41107</v>
      </c>
      <c r="F1463" s="58">
        <v>171557</v>
      </c>
      <c r="G1463" s="58">
        <v>28</v>
      </c>
      <c r="H1463" s="58">
        <v>15844</v>
      </c>
      <c r="I1463" s="58">
        <v>155709</v>
      </c>
      <c r="J1463" s="58">
        <v>2</v>
      </c>
      <c r="K1463" s="1">
        <f t="shared" si="155"/>
        <v>533309.03999999992</v>
      </c>
      <c r="L1463" s="1">
        <f t="shared" si="156"/>
        <v>15844</v>
      </c>
      <c r="M1463" s="1">
        <f>VLOOKUP(B1463,'[1]Срок Годности'!$A$2:$B$4,2,0)</f>
        <v>1500</v>
      </c>
      <c r="N1463" s="60">
        <f t="shared" si="157"/>
        <v>28</v>
      </c>
      <c r="O1463" s="1" t="str">
        <f t="shared" si="158"/>
        <v>29 2012</v>
      </c>
      <c r="P1463" s="1">
        <f t="shared" si="159"/>
        <v>21</v>
      </c>
      <c r="Q1463" s="1">
        <f t="shared" ca="1" si="160"/>
        <v>4026</v>
      </c>
      <c r="S1463" s="1">
        <f t="shared" si="154"/>
        <v>155707</v>
      </c>
    </row>
    <row r="1464" spans="1:19" x14ac:dyDescent="0.2">
      <c r="A1464" s="57" t="s">
        <v>227</v>
      </c>
      <c r="B1464" s="57" t="s">
        <v>237</v>
      </c>
      <c r="C1464" s="57" t="s">
        <v>238</v>
      </c>
      <c r="D1464" s="58">
        <v>165.05</v>
      </c>
      <c r="E1464" s="59">
        <v>41061</v>
      </c>
      <c r="F1464" s="58">
        <v>10010</v>
      </c>
      <c r="G1464" s="58">
        <v>2627</v>
      </c>
      <c r="H1464" s="58">
        <v>2703</v>
      </c>
      <c r="I1464" s="58">
        <v>9905</v>
      </c>
      <c r="J1464" s="58">
        <v>0</v>
      </c>
      <c r="K1464" s="1">
        <f t="shared" si="155"/>
        <v>446130.15</v>
      </c>
      <c r="L1464" s="1">
        <f t="shared" si="156"/>
        <v>2703</v>
      </c>
      <c r="M1464" s="1">
        <f>VLOOKUP(B1464,'[1]Срок Годности'!$A$2:$B$4,2,0)</f>
        <v>1000</v>
      </c>
      <c r="N1464" s="60">
        <f t="shared" si="157"/>
        <v>2627</v>
      </c>
      <c r="O1464" s="1" t="str">
        <f t="shared" si="158"/>
        <v>22 2012</v>
      </c>
      <c r="P1464" s="1">
        <f t="shared" si="159"/>
        <v>22</v>
      </c>
      <c r="Q1464" s="1">
        <f t="shared" ca="1" si="160"/>
        <v>4072</v>
      </c>
      <c r="S1464" s="1">
        <f t="shared" si="154"/>
        <v>9905</v>
      </c>
    </row>
    <row r="1465" spans="1:19" x14ac:dyDescent="0.2">
      <c r="A1465" s="57" t="s">
        <v>227</v>
      </c>
      <c r="B1465" s="57" t="s">
        <v>237</v>
      </c>
      <c r="C1465" s="57" t="s">
        <v>238</v>
      </c>
      <c r="D1465" s="58">
        <v>165.05</v>
      </c>
      <c r="E1465" s="59">
        <v>41062</v>
      </c>
      <c r="F1465" s="58">
        <v>9905</v>
      </c>
      <c r="G1465" s="58">
        <v>2876</v>
      </c>
      <c r="H1465" s="58">
        <v>3058</v>
      </c>
      <c r="I1465" s="58">
        <v>9697</v>
      </c>
      <c r="J1465" s="58">
        <v>0</v>
      </c>
      <c r="K1465" s="1">
        <f t="shared" si="155"/>
        <v>504722.9</v>
      </c>
      <c r="L1465" s="1">
        <f t="shared" si="156"/>
        <v>3058</v>
      </c>
      <c r="M1465" s="1">
        <f>VLOOKUP(B1465,'[1]Срок Годности'!$A$2:$B$4,2,0)</f>
        <v>1000</v>
      </c>
      <c r="N1465" s="60">
        <f t="shared" si="157"/>
        <v>2876</v>
      </c>
      <c r="O1465" s="1" t="str">
        <f t="shared" si="158"/>
        <v>22 2012</v>
      </c>
      <c r="P1465" s="1">
        <f t="shared" si="159"/>
        <v>22</v>
      </c>
      <c r="Q1465" s="1">
        <f t="shared" ca="1" si="160"/>
        <v>4071</v>
      </c>
      <c r="S1465" s="1">
        <f t="shared" si="154"/>
        <v>9697</v>
      </c>
    </row>
    <row r="1466" spans="1:19" x14ac:dyDescent="0.2">
      <c r="A1466" s="57" t="s">
        <v>227</v>
      </c>
      <c r="B1466" s="57" t="s">
        <v>237</v>
      </c>
      <c r="C1466" s="57" t="s">
        <v>238</v>
      </c>
      <c r="D1466" s="58">
        <v>165.05</v>
      </c>
      <c r="E1466" s="59">
        <v>41063</v>
      </c>
      <c r="F1466" s="58">
        <v>9697</v>
      </c>
      <c r="G1466" s="58">
        <v>3615</v>
      </c>
      <c r="H1466" s="58">
        <v>3066</v>
      </c>
      <c r="I1466" s="58">
        <v>10218</v>
      </c>
      <c r="J1466" s="58">
        <v>0</v>
      </c>
      <c r="K1466" s="1">
        <f t="shared" si="155"/>
        <v>506043.30000000005</v>
      </c>
      <c r="L1466" s="1">
        <f t="shared" si="156"/>
        <v>3066</v>
      </c>
      <c r="M1466" s="1">
        <f>VLOOKUP(B1466,'[1]Срок Годности'!$A$2:$B$4,2,0)</f>
        <v>1000</v>
      </c>
      <c r="N1466" s="60">
        <f t="shared" si="157"/>
        <v>0</v>
      </c>
      <c r="O1466" s="1" t="str">
        <f t="shared" si="158"/>
        <v>23 2012</v>
      </c>
      <c r="P1466" s="1">
        <f t="shared" si="159"/>
        <v>22</v>
      </c>
      <c r="Q1466" s="1">
        <f t="shared" ca="1" si="160"/>
        <v>4070</v>
      </c>
      <c r="S1466" s="1">
        <f t="shared" si="154"/>
        <v>10218</v>
      </c>
    </row>
    <row r="1467" spans="1:19" x14ac:dyDescent="0.2">
      <c r="A1467" s="57" t="s">
        <v>227</v>
      </c>
      <c r="B1467" s="57" t="s">
        <v>237</v>
      </c>
      <c r="C1467" s="57" t="s">
        <v>238</v>
      </c>
      <c r="D1467" s="58">
        <v>165.05</v>
      </c>
      <c r="E1467" s="59">
        <v>41064</v>
      </c>
      <c r="F1467" s="58">
        <v>10218</v>
      </c>
      <c r="G1467" s="58">
        <v>3732</v>
      </c>
      <c r="H1467" s="58">
        <v>2662</v>
      </c>
      <c r="I1467" s="58">
        <v>11242</v>
      </c>
      <c r="J1467" s="58">
        <v>0</v>
      </c>
      <c r="K1467" s="1">
        <f t="shared" si="155"/>
        <v>439363.10000000003</v>
      </c>
      <c r="L1467" s="1">
        <f t="shared" si="156"/>
        <v>2662</v>
      </c>
      <c r="M1467" s="1">
        <f>VLOOKUP(B1467,'[1]Срок Годности'!$A$2:$B$4,2,0)</f>
        <v>1000</v>
      </c>
      <c r="N1467" s="60">
        <f t="shared" si="157"/>
        <v>3732</v>
      </c>
      <c r="O1467" s="1" t="str">
        <f t="shared" si="158"/>
        <v>23 2012</v>
      </c>
      <c r="P1467" s="1">
        <f t="shared" si="159"/>
        <v>22</v>
      </c>
      <c r="Q1467" s="1">
        <f t="shared" ca="1" si="160"/>
        <v>4069</v>
      </c>
      <c r="S1467" s="1">
        <f t="shared" si="154"/>
        <v>11242</v>
      </c>
    </row>
    <row r="1468" spans="1:19" x14ac:dyDescent="0.2">
      <c r="A1468" s="57" t="s">
        <v>227</v>
      </c>
      <c r="B1468" s="57" t="s">
        <v>237</v>
      </c>
      <c r="C1468" s="57" t="s">
        <v>238</v>
      </c>
      <c r="D1468" s="58">
        <v>165.05</v>
      </c>
      <c r="E1468" s="59">
        <v>41065</v>
      </c>
      <c r="F1468" s="58">
        <v>11242</v>
      </c>
      <c r="G1468" s="58">
        <v>4120</v>
      </c>
      <c r="H1468" s="58">
        <v>2744</v>
      </c>
      <c r="I1468" s="58">
        <v>12614</v>
      </c>
      <c r="J1468" s="58">
        <v>0</v>
      </c>
      <c r="K1468" s="1">
        <f t="shared" si="155"/>
        <v>452897.2</v>
      </c>
      <c r="L1468" s="1">
        <f t="shared" si="156"/>
        <v>2744</v>
      </c>
      <c r="M1468" s="1">
        <f>VLOOKUP(B1468,'[1]Срок Годности'!$A$2:$B$4,2,0)</f>
        <v>1000</v>
      </c>
      <c r="N1468" s="60">
        <f t="shared" si="157"/>
        <v>4120</v>
      </c>
      <c r="O1468" s="1" t="str">
        <f t="shared" si="158"/>
        <v>23 2012</v>
      </c>
      <c r="P1468" s="1">
        <f t="shared" si="159"/>
        <v>22</v>
      </c>
      <c r="Q1468" s="1">
        <f t="shared" ca="1" si="160"/>
        <v>4068</v>
      </c>
      <c r="S1468" s="1">
        <f t="shared" si="154"/>
        <v>12614</v>
      </c>
    </row>
    <row r="1469" spans="1:19" x14ac:dyDescent="0.2">
      <c r="A1469" s="57" t="s">
        <v>227</v>
      </c>
      <c r="B1469" s="57" t="s">
        <v>237</v>
      </c>
      <c r="C1469" s="57" t="s">
        <v>238</v>
      </c>
      <c r="D1469" s="58">
        <v>165.05</v>
      </c>
      <c r="E1469" s="59">
        <v>41066</v>
      </c>
      <c r="F1469" s="58">
        <v>12614</v>
      </c>
      <c r="G1469" s="58">
        <v>3298</v>
      </c>
      <c r="H1469" s="58">
        <v>3129</v>
      </c>
      <c r="I1469" s="58">
        <v>12776</v>
      </c>
      <c r="J1469" s="58">
        <v>0</v>
      </c>
      <c r="K1469" s="1">
        <f t="shared" si="155"/>
        <v>516441.45</v>
      </c>
      <c r="L1469" s="1">
        <f t="shared" si="156"/>
        <v>3129</v>
      </c>
      <c r="M1469" s="1">
        <f>VLOOKUP(B1469,'[1]Срок Годности'!$A$2:$B$4,2,0)</f>
        <v>1000</v>
      </c>
      <c r="N1469" s="60">
        <f t="shared" si="157"/>
        <v>3298</v>
      </c>
      <c r="O1469" s="1" t="str">
        <f t="shared" si="158"/>
        <v>23 2012</v>
      </c>
      <c r="P1469" s="1">
        <f t="shared" si="159"/>
        <v>22</v>
      </c>
      <c r="Q1469" s="1">
        <f t="shared" ca="1" si="160"/>
        <v>4067</v>
      </c>
      <c r="S1469" s="1">
        <f t="shared" si="154"/>
        <v>12776</v>
      </c>
    </row>
    <row r="1470" spans="1:19" x14ac:dyDescent="0.2">
      <c r="A1470" s="57" t="s">
        <v>227</v>
      </c>
      <c r="B1470" s="57" t="s">
        <v>237</v>
      </c>
      <c r="C1470" s="57" t="s">
        <v>238</v>
      </c>
      <c r="D1470" s="58">
        <v>165.05</v>
      </c>
      <c r="E1470" s="59">
        <v>41067</v>
      </c>
      <c r="F1470" s="58">
        <v>12776</v>
      </c>
      <c r="G1470" s="58">
        <v>3467</v>
      </c>
      <c r="H1470" s="58">
        <v>3486</v>
      </c>
      <c r="I1470" s="58">
        <v>12725</v>
      </c>
      <c r="J1470" s="58">
        <v>0</v>
      </c>
      <c r="K1470" s="1">
        <f t="shared" si="155"/>
        <v>575364.30000000005</v>
      </c>
      <c r="L1470" s="1">
        <f t="shared" si="156"/>
        <v>3486</v>
      </c>
      <c r="M1470" s="1">
        <f>VLOOKUP(B1470,'[1]Срок Годности'!$A$2:$B$4,2,0)</f>
        <v>1000</v>
      </c>
      <c r="N1470" s="60">
        <f t="shared" si="157"/>
        <v>3467</v>
      </c>
      <c r="O1470" s="1" t="str">
        <f t="shared" si="158"/>
        <v>23 2012</v>
      </c>
      <c r="P1470" s="1">
        <f t="shared" si="159"/>
        <v>22</v>
      </c>
      <c r="Q1470" s="1">
        <f t="shared" ca="1" si="160"/>
        <v>4066</v>
      </c>
      <c r="S1470" s="1">
        <f t="shared" si="154"/>
        <v>12725</v>
      </c>
    </row>
    <row r="1471" spans="1:19" x14ac:dyDescent="0.2">
      <c r="A1471" s="57" t="s">
        <v>227</v>
      </c>
      <c r="B1471" s="57" t="s">
        <v>237</v>
      </c>
      <c r="C1471" s="57" t="s">
        <v>238</v>
      </c>
      <c r="D1471" s="58">
        <v>165.05</v>
      </c>
      <c r="E1471" s="59">
        <v>41068</v>
      </c>
      <c r="F1471" s="58">
        <v>12725</v>
      </c>
      <c r="G1471" s="58">
        <v>3565</v>
      </c>
      <c r="H1471" s="58">
        <v>3950</v>
      </c>
      <c r="I1471" s="58">
        <v>12304</v>
      </c>
      <c r="J1471" s="58">
        <v>0</v>
      </c>
      <c r="K1471" s="1">
        <f t="shared" si="155"/>
        <v>651947.5</v>
      </c>
      <c r="L1471" s="1">
        <f t="shared" si="156"/>
        <v>3950</v>
      </c>
      <c r="M1471" s="1">
        <f>VLOOKUP(B1471,'[1]Срок Годности'!$A$2:$B$4,2,0)</f>
        <v>1000</v>
      </c>
      <c r="N1471" s="60">
        <f t="shared" si="157"/>
        <v>3565</v>
      </c>
      <c r="O1471" s="1" t="str">
        <f t="shared" si="158"/>
        <v>23 2012</v>
      </c>
      <c r="P1471" s="1">
        <f t="shared" si="159"/>
        <v>22</v>
      </c>
      <c r="Q1471" s="1">
        <f t="shared" ca="1" si="160"/>
        <v>4065</v>
      </c>
      <c r="S1471" s="1">
        <f t="shared" si="154"/>
        <v>12304</v>
      </c>
    </row>
    <row r="1472" spans="1:19" x14ac:dyDescent="0.2">
      <c r="A1472" s="57" t="s">
        <v>227</v>
      </c>
      <c r="B1472" s="57" t="s">
        <v>237</v>
      </c>
      <c r="C1472" s="57" t="s">
        <v>238</v>
      </c>
      <c r="D1472" s="58">
        <v>165.05</v>
      </c>
      <c r="E1472" s="59">
        <v>41069</v>
      </c>
      <c r="F1472" s="58">
        <v>12304</v>
      </c>
      <c r="G1472" s="58">
        <v>4746</v>
      </c>
      <c r="H1472" s="58">
        <v>4667</v>
      </c>
      <c r="I1472" s="58">
        <v>12364</v>
      </c>
      <c r="J1472" s="58">
        <v>0</v>
      </c>
      <c r="K1472" s="1">
        <f t="shared" si="155"/>
        <v>770288.35000000009</v>
      </c>
      <c r="L1472" s="1">
        <f t="shared" si="156"/>
        <v>4667</v>
      </c>
      <c r="M1472" s="1">
        <f>VLOOKUP(B1472,'[1]Срок Годности'!$A$2:$B$4,2,0)</f>
        <v>1000</v>
      </c>
      <c r="N1472" s="60">
        <f t="shared" si="157"/>
        <v>4746</v>
      </c>
      <c r="O1472" s="1" t="str">
        <f t="shared" si="158"/>
        <v>23 2012</v>
      </c>
      <c r="P1472" s="1">
        <f t="shared" si="159"/>
        <v>22</v>
      </c>
      <c r="Q1472" s="1">
        <f t="shared" ca="1" si="160"/>
        <v>4064</v>
      </c>
      <c r="S1472" s="1">
        <f t="shared" si="154"/>
        <v>12364</v>
      </c>
    </row>
    <row r="1473" spans="1:19" x14ac:dyDescent="0.2">
      <c r="A1473" s="57" t="s">
        <v>227</v>
      </c>
      <c r="B1473" s="57" t="s">
        <v>237</v>
      </c>
      <c r="C1473" s="57" t="s">
        <v>238</v>
      </c>
      <c r="D1473" s="58">
        <v>165.05</v>
      </c>
      <c r="E1473" s="59">
        <v>41070</v>
      </c>
      <c r="F1473" s="58">
        <v>12364</v>
      </c>
      <c r="G1473" s="58">
        <v>1996</v>
      </c>
      <c r="H1473" s="58">
        <v>4960</v>
      </c>
      <c r="I1473" s="58">
        <v>9375</v>
      </c>
      <c r="J1473" s="58">
        <v>0</v>
      </c>
      <c r="K1473" s="1">
        <f t="shared" si="155"/>
        <v>818648</v>
      </c>
      <c r="L1473" s="1">
        <f t="shared" si="156"/>
        <v>4960</v>
      </c>
      <c r="M1473" s="1">
        <f>VLOOKUP(B1473,'[1]Срок Годности'!$A$2:$B$4,2,0)</f>
        <v>1000</v>
      </c>
      <c r="N1473" s="60">
        <f t="shared" si="157"/>
        <v>0</v>
      </c>
      <c r="O1473" s="1" t="str">
        <f t="shared" si="158"/>
        <v>24 2012</v>
      </c>
      <c r="P1473" s="1">
        <f t="shared" si="159"/>
        <v>22</v>
      </c>
      <c r="Q1473" s="1">
        <f t="shared" ca="1" si="160"/>
        <v>4063</v>
      </c>
      <c r="S1473" s="1">
        <f t="shared" si="154"/>
        <v>9375</v>
      </c>
    </row>
    <row r="1474" spans="1:19" x14ac:dyDescent="0.2">
      <c r="A1474" s="57" t="s">
        <v>227</v>
      </c>
      <c r="B1474" s="57" t="s">
        <v>237</v>
      </c>
      <c r="C1474" s="57" t="s">
        <v>238</v>
      </c>
      <c r="D1474" s="58">
        <v>165.05</v>
      </c>
      <c r="E1474" s="59">
        <v>41071</v>
      </c>
      <c r="F1474" s="58">
        <v>9375</v>
      </c>
      <c r="G1474" s="58">
        <v>4973</v>
      </c>
      <c r="H1474" s="58">
        <v>4483</v>
      </c>
      <c r="I1474" s="58">
        <v>9830</v>
      </c>
      <c r="J1474" s="58">
        <v>0</v>
      </c>
      <c r="K1474" s="1">
        <f t="shared" si="155"/>
        <v>739919.15</v>
      </c>
      <c r="L1474" s="1">
        <f t="shared" si="156"/>
        <v>4483</v>
      </c>
      <c r="M1474" s="1">
        <f>VLOOKUP(B1474,'[1]Срок Годности'!$A$2:$B$4,2,0)</f>
        <v>1000</v>
      </c>
      <c r="N1474" s="60">
        <f t="shared" si="157"/>
        <v>4973</v>
      </c>
      <c r="O1474" s="1" t="str">
        <f t="shared" si="158"/>
        <v>24 2012</v>
      </c>
      <c r="P1474" s="1">
        <f t="shared" si="159"/>
        <v>22</v>
      </c>
      <c r="Q1474" s="1">
        <f t="shared" ca="1" si="160"/>
        <v>4062</v>
      </c>
      <c r="S1474" s="1">
        <f t="shared" si="154"/>
        <v>9830</v>
      </c>
    </row>
    <row r="1475" spans="1:19" x14ac:dyDescent="0.2">
      <c r="A1475" s="57" t="s">
        <v>227</v>
      </c>
      <c r="B1475" s="57" t="s">
        <v>237</v>
      </c>
      <c r="C1475" s="57" t="s">
        <v>238</v>
      </c>
      <c r="D1475" s="58">
        <v>165.05</v>
      </c>
      <c r="E1475" s="59">
        <v>41072</v>
      </c>
      <c r="F1475" s="58">
        <v>9830</v>
      </c>
      <c r="G1475" s="58">
        <v>4914</v>
      </c>
      <c r="H1475" s="58">
        <v>4469</v>
      </c>
      <c r="I1475" s="58">
        <v>10220</v>
      </c>
      <c r="J1475" s="58">
        <v>1</v>
      </c>
      <c r="K1475" s="1">
        <f t="shared" si="155"/>
        <v>737608.45000000007</v>
      </c>
      <c r="L1475" s="1">
        <f t="shared" si="156"/>
        <v>4469</v>
      </c>
      <c r="M1475" s="1">
        <f>VLOOKUP(B1475,'[1]Срок Годности'!$A$2:$B$4,2,0)</f>
        <v>1000</v>
      </c>
      <c r="N1475" s="60">
        <f t="shared" si="157"/>
        <v>4914</v>
      </c>
      <c r="O1475" s="1" t="str">
        <f t="shared" si="158"/>
        <v>24 2012</v>
      </c>
      <c r="P1475" s="1">
        <f t="shared" si="159"/>
        <v>22</v>
      </c>
      <c r="Q1475" s="1">
        <f t="shared" ca="1" si="160"/>
        <v>4061</v>
      </c>
      <c r="S1475" s="1">
        <f t="shared" si="154"/>
        <v>10219</v>
      </c>
    </row>
    <row r="1476" spans="1:19" x14ac:dyDescent="0.2">
      <c r="A1476" s="57" t="s">
        <v>227</v>
      </c>
      <c r="B1476" s="57" t="s">
        <v>237</v>
      </c>
      <c r="C1476" s="57" t="s">
        <v>238</v>
      </c>
      <c r="D1476" s="58">
        <v>165.05</v>
      </c>
      <c r="E1476" s="59">
        <v>41073</v>
      </c>
      <c r="F1476" s="58">
        <v>10220</v>
      </c>
      <c r="G1476" s="58">
        <v>4467</v>
      </c>
      <c r="H1476" s="58">
        <v>3914</v>
      </c>
      <c r="I1476" s="58">
        <v>10731</v>
      </c>
      <c r="J1476" s="58">
        <v>0</v>
      </c>
      <c r="K1476" s="1">
        <f t="shared" si="155"/>
        <v>646005.70000000007</v>
      </c>
      <c r="L1476" s="1">
        <f t="shared" si="156"/>
        <v>3914</v>
      </c>
      <c r="M1476" s="1">
        <f>VLOOKUP(B1476,'[1]Срок Годности'!$A$2:$B$4,2,0)</f>
        <v>1000</v>
      </c>
      <c r="N1476" s="60">
        <f t="shared" si="157"/>
        <v>4467</v>
      </c>
      <c r="O1476" s="1" t="str">
        <f t="shared" si="158"/>
        <v>24 2012</v>
      </c>
      <c r="P1476" s="1">
        <f t="shared" si="159"/>
        <v>22</v>
      </c>
      <c r="Q1476" s="1">
        <f t="shared" ca="1" si="160"/>
        <v>4060</v>
      </c>
      <c r="S1476" s="1">
        <f t="shared" si="154"/>
        <v>10731</v>
      </c>
    </row>
    <row r="1477" spans="1:19" x14ac:dyDescent="0.2">
      <c r="A1477" s="57" t="s">
        <v>227</v>
      </c>
      <c r="B1477" s="57" t="s">
        <v>237</v>
      </c>
      <c r="C1477" s="57" t="s">
        <v>238</v>
      </c>
      <c r="D1477" s="58">
        <v>165.05</v>
      </c>
      <c r="E1477" s="59">
        <v>41074</v>
      </c>
      <c r="F1477" s="58">
        <v>10731</v>
      </c>
      <c r="G1477" s="58">
        <v>73</v>
      </c>
      <c r="H1477" s="58">
        <v>3947</v>
      </c>
      <c r="I1477" s="58">
        <v>6884</v>
      </c>
      <c r="J1477" s="58">
        <v>0</v>
      </c>
      <c r="K1477" s="1">
        <f t="shared" si="155"/>
        <v>651452.35000000009</v>
      </c>
      <c r="L1477" s="1">
        <f t="shared" si="156"/>
        <v>3947</v>
      </c>
      <c r="M1477" s="1">
        <f>VLOOKUP(B1477,'[1]Срок Годности'!$A$2:$B$4,2,0)</f>
        <v>1000</v>
      </c>
      <c r="N1477" s="60">
        <f t="shared" si="157"/>
        <v>73</v>
      </c>
      <c r="O1477" s="1" t="str">
        <f t="shared" si="158"/>
        <v>24 2012</v>
      </c>
      <c r="P1477" s="1">
        <f t="shared" si="159"/>
        <v>22</v>
      </c>
      <c r="Q1477" s="1">
        <f t="shared" ca="1" si="160"/>
        <v>4059</v>
      </c>
      <c r="S1477" s="1">
        <f t="shared" si="154"/>
        <v>6884</v>
      </c>
    </row>
    <row r="1478" spans="1:19" x14ac:dyDescent="0.2">
      <c r="A1478" s="57" t="s">
        <v>227</v>
      </c>
      <c r="B1478" s="57" t="s">
        <v>237</v>
      </c>
      <c r="C1478" s="57" t="s">
        <v>238</v>
      </c>
      <c r="D1478" s="58">
        <v>165.05</v>
      </c>
      <c r="E1478" s="59">
        <v>41075</v>
      </c>
      <c r="F1478" s="58">
        <v>6884</v>
      </c>
      <c r="G1478" s="58">
        <v>3434</v>
      </c>
      <c r="H1478" s="58">
        <v>3358</v>
      </c>
      <c r="I1478" s="58">
        <v>6961</v>
      </c>
      <c r="J1478" s="58">
        <v>0</v>
      </c>
      <c r="K1478" s="1">
        <f t="shared" si="155"/>
        <v>554237.9</v>
      </c>
      <c r="L1478" s="1">
        <f t="shared" si="156"/>
        <v>3358</v>
      </c>
      <c r="M1478" s="1">
        <f>VLOOKUP(B1478,'[1]Срок Годности'!$A$2:$B$4,2,0)</f>
        <v>1000</v>
      </c>
      <c r="N1478" s="60">
        <f t="shared" si="157"/>
        <v>3434</v>
      </c>
      <c r="O1478" s="1" t="str">
        <f t="shared" si="158"/>
        <v>24 2012</v>
      </c>
      <c r="P1478" s="1">
        <f t="shared" si="159"/>
        <v>22</v>
      </c>
      <c r="Q1478" s="1">
        <f t="shared" ca="1" si="160"/>
        <v>4058</v>
      </c>
      <c r="S1478" s="1">
        <f t="shared" si="154"/>
        <v>6961</v>
      </c>
    </row>
    <row r="1479" spans="1:19" x14ac:dyDescent="0.2">
      <c r="A1479" s="57" t="s">
        <v>227</v>
      </c>
      <c r="B1479" s="57" t="s">
        <v>237</v>
      </c>
      <c r="C1479" s="57" t="s">
        <v>238</v>
      </c>
      <c r="D1479" s="58">
        <v>165.05</v>
      </c>
      <c r="E1479" s="59">
        <v>41076</v>
      </c>
      <c r="F1479" s="58">
        <v>6961</v>
      </c>
      <c r="G1479" s="58">
        <v>7419</v>
      </c>
      <c r="H1479" s="58">
        <v>4101</v>
      </c>
      <c r="I1479" s="58">
        <v>10267</v>
      </c>
      <c r="J1479" s="58">
        <v>0</v>
      </c>
      <c r="K1479" s="1">
        <f t="shared" si="155"/>
        <v>676870.05</v>
      </c>
      <c r="L1479" s="1">
        <f t="shared" si="156"/>
        <v>4101</v>
      </c>
      <c r="M1479" s="1">
        <f>VLOOKUP(B1479,'[1]Срок Годности'!$A$2:$B$4,2,0)</f>
        <v>1000</v>
      </c>
      <c r="N1479" s="60">
        <f t="shared" si="157"/>
        <v>7419</v>
      </c>
      <c r="O1479" s="1" t="str">
        <f t="shared" si="158"/>
        <v>24 2012</v>
      </c>
      <c r="P1479" s="1">
        <f t="shared" si="159"/>
        <v>22</v>
      </c>
      <c r="Q1479" s="1">
        <f t="shared" ca="1" si="160"/>
        <v>4057</v>
      </c>
      <c r="S1479" s="1">
        <f t="shared" ref="S1479:S1542" si="161">I1479-J1479</f>
        <v>10267</v>
      </c>
    </row>
    <row r="1480" spans="1:19" x14ac:dyDescent="0.2">
      <c r="A1480" s="57" t="s">
        <v>227</v>
      </c>
      <c r="B1480" s="57" t="s">
        <v>237</v>
      </c>
      <c r="C1480" s="57" t="s">
        <v>238</v>
      </c>
      <c r="D1480" s="58">
        <v>165.05</v>
      </c>
      <c r="E1480" s="59">
        <v>41077</v>
      </c>
      <c r="F1480" s="58">
        <v>10267</v>
      </c>
      <c r="G1480" s="58">
        <v>3480</v>
      </c>
      <c r="H1480" s="58">
        <v>5032</v>
      </c>
      <c r="I1480" s="58">
        <v>8696</v>
      </c>
      <c r="J1480" s="58">
        <v>0</v>
      </c>
      <c r="K1480" s="1">
        <f t="shared" ref="K1480:K1543" si="162">H1480*D1480</f>
        <v>830531.60000000009</v>
      </c>
      <c r="L1480" s="1">
        <f t="shared" ref="L1480:L1543" si="163">IF(H1480&gt;1000,H1480,"")</f>
        <v>5032</v>
      </c>
      <c r="M1480" s="1">
        <f>VLOOKUP(B1480,'[1]Срок Годности'!$A$2:$B$4,2,0)</f>
        <v>1000</v>
      </c>
      <c r="N1480" s="60">
        <f t="shared" ref="N1480:N1543" si="164">IF(WEEKDAY(E1480) = 1, 0, G1480)</f>
        <v>0</v>
      </c>
      <c r="O1480" s="1" t="str">
        <f t="shared" ref="O1480:O1543" si="165">WEEKNUM(E1480) &amp; " " &amp; YEAR(E1480)</f>
        <v>25 2012</v>
      </c>
      <c r="P1480" s="1">
        <f t="shared" ref="P1480:P1543" si="166">LEN(C1480)</f>
        <v>22</v>
      </c>
      <c r="Q1480" s="1">
        <f t="shared" ref="Q1480:Q1543" ca="1" si="167">DATEDIF(E1480,NOW(),"D")</f>
        <v>4056</v>
      </c>
      <c r="S1480" s="1">
        <f t="shared" si="161"/>
        <v>8696</v>
      </c>
    </row>
    <row r="1481" spans="1:19" x14ac:dyDescent="0.2">
      <c r="A1481" s="57" t="s">
        <v>227</v>
      </c>
      <c r="B1481" s="57" t="s">
        <v>237</v>
      </c>
      <c r="C1481" s="57" t="s">
        <v>238</v>
      </c>
      <c r="D1481" s="58">
        <v>165.05</v>
      </c>
      <c r="E1481" s="59">
        <v>41078</v>
      </c>
      <c r="F1481" s="58">
        <v>8696</v>
      </c>
      <c r="G1481" s="58">
        <v>4564</v>
      </c>
      <c r="H1481" s="58">
        <v>4695</v>
      </c>
      <c r="I1481" s="58">
        <v>8505</v>
      </c>
      <c r="J1481" s="58">
        <v>0</v>
      </c>
      <c r="K1481" s="1">
        <f t="shared" si="162"/>
        <v>774909.75</v>
      </c>
      <c r="L1481" s="1">
        <f t="shared" si="163"/>
        <v>4695</v>
      </c>
      <c r="M1481" s="1">
        <f>VLOOKUP(B1481,'[1]Срок Годности'!$A$2:$B$4,2,0)</f>
        <v>1000</v>
      </c>
      <c r="N1481" s="60">
        <f t="shared" si="164"/>
        <v>4564</v>
      </c>
      <c r="O1481" s="1" t="str">
        <f t="shared" si="165"/>
        <v>25 2012</v>
      </c>
      <c r="P1481" s="1">
        <f t="shared" si="166"/>
        <v>22</v>
      </c>
      <c r="Q1481" s="1">
        <f t="shared" ca="1" si="167"/>
        <v>4055</v>
      </c>
      <c r="S1481" s="1">
        <f t="shared" si="161"/>
        <v>8505</v>
      </c>
    </row>
    <row r="1482" spans="1:19" x14ac:dyDescent="0.2">
      <c r="A1482" s="57" t="s">
        <v>227</v>
      </c>
      <c r="B1482" s="57" t="s">
        <v>237</v>
      </c>
      <c r="C1482" s="57" t="s">
        <v>238</v>
      </c>
      <c r="D1482" s="58">
        <v>165.05</v>
      </c>
      <c r="E1482" s="59">
        <v>41079</v>
      </c>
      <c r="F1482" s="58">
        <v>8505</v>
      </c>
      <c r="G1482" s="58">
        <v>9133</v>
      </c>
      <c r="H1482" s="58">
        <v>4142</v>
      </c>
      <c r="I1482" s="58">
        <v>13431</v>
      </c>
      <c r="J1482" s="58">
        <v>0</v>
      </c>
      <c r="K1482" s="1">
        <f t="shared" si="162"/>
        <v>683637.10000000009</v>
      </c>
      <c r="L1482" s="1">
        <f t="shared" si="163"/>
        <v>4142</v>
      </c>
      <c r="M1482" s="1">
        <f>VLOOKUP(B1482,'[1]Срок Годности'!$A$2:$B$4,2,0)</f>
        <v>1000</v>
      </c>
      <c r="N1482" s="60">
        <f t="shared" si="164"/>
        <v>9133</v>
      </c>
      <c r="O1482" s="1" t="str">
        <f t="shared" si="165"/>
        <v>25 2012</v>
      </c>
      <c r="P1482" s="1">
        <f t="shared" si="166"/>
        <v>22</v>
      </c>
      <c r="Q1482" s="1">
        <f t="shared" ca="1" si="167"/>
        <v>4054</v>
      </c>
      <c r="S1482" s="1">
        <f t="shared" si="161"/>
        <v>13431</v>
      </c>
    </row>
    <row r="1483" spans="1:19" x14ac:dyDescent="0.2">
      <c r="A1483" s="57" t="s">
        <v>227</v>
      </c>
      <c r="B1483" s="57" t="s">
        <v>237</v>
      </c>
      <c r="C1483" s="57" t="s">
        <v>238</v>
      </c>
      <c r="D1483" s="58">
        <v>165.05</v>
      </c>
      <c r="E1483" s="59">
        <v>41080</v>
      </c>
      <c r="F1483" s="58">
        <v>13431</v>
      </c>
      <c r="G1483" s="58">
        <v>6850</v>
      </c>
      <c r="H1483" s="58">
        <v>4526</v>
      </c>
      <c r="I1483" s="58">
        <v>15711</v>
      </c>
      <c r="J1483" s="58">
        <v>5</v>
      </c>
      <c r="K1483" s="1">
        <f t="shared" si="162"/>
        <v>747016.3</v>
      </c>
      <c r="L1483" s="1">
        <f t="shared" si="163"/>
        <v>4526</v>
      </c>
      <c r="M1483" s="1">
        <f>VLOOKUP(B1483,'[1]Срок Годности'!$A$2:$B$4,2,0)</f>
        <v>1000</v>
      </c>
      <c r="N1483" s="60">
        <f t="shared" si="164"/>
        <v>6850</v>
      </c>
      <c r="O1483" s="1" t="str">
        <f t="shared" si="165"/>
        <v>25 2012</v>
      </c>
      <c r="P1483" s="1">
        <f t="shared" si="166"/>
        <v>22</v>
      </c>
      <c r="Q1483" s="1">
        <f t="shared" ca="1" si="167"/>
        <v>4053</v>
      </c>
      <c r="S1483" s="1">
        <f t="shared" si="161"/>
        <v>15706</v>
      </c>
    </row>
    <row r="1484" spans="1:19" x14ac:dyDescent="0.2">
      <c r="A1484" s="57" t="s">
        <v>227</v>
      </c>
      <c r="B1484" s="57" t="s">
        <v>237</v>
      </c>
      <c r="C1484" s="57" t="s">
        <v>238</v>
      </c>
      <c r="D1484" s="58">
        <v>165.05</v>
      </c>
      <c r="E1484" s="59">
        <v>41081</v>
      </c>
      <c r="F1484" s="58">
        <v>15711</v>
      </c>
      <c r="G1484" s="58">
        <v>5001</v>
      </c>
      <c r="H1484" s="58">
        <v>4539</v>
      </c>
      <c r="I1484" s="58">
        <v>16161</v>
      </c>
      <c r="J1484" s="58">
        <v>0</v>
      </c>
      <c r="K1484" s="1">
        <f t="shared" si="162"/>
        <v>749161.95000000007</v>
      </c>
      <c r="L1484" s="1">
        <f t="shared" si="163"/>
        <v>4539</v>
      </c>
      <c r="M1484" s="1">
        <f>VLOOKUP(B1484,'[1]Срок Годности'!$A$2:$B$4,2,0)</f>
        <v>1000</v>
      </c>
      <c r="N1484" s="60">
        <f t="shared" si="164"/>
        <v>5001</v>
      </c>
      <c r="O1484" s="1" t="str">
        <f t="shared" si="165"/>
        <v>25 2012</v>
      </c>
      <c r="P1484" s="1">
        <f t="shared" si="166"/>
        <v>22</v>
      </c>
      <c r="Q1484" s="1">
        <f t="shared" ca="1" si="167"/>
        <v>4052</v>
      </c>
      <c r="S1484" s="1">
        <f t="shared" si="161"/>
        <v>16161</v>
      </c>
    </row>
    <row r="1485" spans="1:19" x14ac:dyDescent="0.2">
      <c r="A1485" s="57" t="s">
        <v>227</v>
      </c>
      <c r="B1485" s="57" t="s">
        <v>237</v>
      </c>
      <c r="C1485" s="57" t="s">
        <v>238</v>
      </c>
      <c r="D1485" s="58">
        <v>165.05</v>
      </c>
      <c r="E1485" s="59">
        <v>41082</v>
      </c>
      <c r="F1485" s="58">
        <v>16161</v>
      </c>
      <c r="G1485" s="58">
        <v>5154</v>
      </c>
      <c r="H1485" s="58">
        <v>4785</v>
      </c>
      <c r="I1485" s="58">
        <v>16490</v>
      </c>
      <c r="J1485" s="58">
        <v>0</v>
      </c>
      <c r="K1485" s="1">
        <f t="shared" si="162"/>
        <v>789764.25</v>
      </c>
      <c r="L1485" s="1">
        <f t="shared" si="163"/>
        <v>4785</v>
      </c>
      <c r="M1485" s="1">
        <f>VLOOKUP(B1485,'[1]Срок Годности'!$A$2:$B$4,2,0)</f>
        <v>1000</v>
      </c>
      <c r="N1485" s="60">
        <f t="shared" si="164"/>
        <v>5154</v>
      </c>
      <c r="O1485" s="1" t="str">
        <f t="shared" si="165"/>
        <v>25 2012</v>
      </c>
      <c r="P1485" s="1">
        <f t="shared" si="166"/>
        <v>22</v>
      </c>
      <c r="Q1485" s="1">
        <f t="shared" ca="1" si="167"/>
        <v>4051</v>
      </c>
      <c r="S1485" s="1">
        <f t="shared" si="161"/>
        <v>16490</v>
      </c>
    </row>
    <row r="1486" spans="1:19" x14ac:dyDescent="0.2">
      <c r="A1486" s="57" t="s">
        <v>227</v>
      </c>
      <c r="B1486" s="57" t="s">
        <v>237</v>
      </c>
      <c r="C1486" s="57" t="s">
        <v>238</v>
      </c>
      <c r="D1486" s="58">
        <v>165.05</v>
      </c>
      <c r="E1486" s="59">
        <v>41083</v>
      </c>
      <c r="F1486" s="58">
        <v>16490</v>
      </c>
      <c r="G1486" s="58">
        <v>6354</v>
      </c>
      <c r="H1486" s="58">
        <v>4991</v>
      </c>
      <c r="I1486" s="58">
        <v>17802</v>
      </c>
      <c r="J1486" s="58">
        <v>0</v>
      </c>
      <c r="K1486" s="1">
        <f t="shared" si="162"/>
        <v>823764.55</v>
      </c>
      <c r="L1486" s="1">
        <f t="shared" si="163"/>
        <v>4991</v>
      </c>
      <c r="M1486" s="1">
        <f>VLOOKUP(B1486,'[1]Срок Годности'!$A$2:$B$4,2,0)</f>
        <v>1000</v>
      </c>
      <c r="N1486" s="60">
        <f t="shared" si="164"/>
        <v>6354</v>
      </c>
      <c r="O1486" s="1" t="str">
        <f t="shared" si="165"/>
        <v>25 2012</v>
      </c>
      <c r="P1486" s="1">
        <f t="shared" si="166"/>
        <v>22</v>
      </c>
      <c r="Q1486" s="1">
        <f t="shared" ca="1" si="167"/>
        <v>4050</v>
      </c>
      <c r="S1486" s="1">
        <f t="shared" si="161"/>
        <v>17802</v>
      </c>
    </row>
    <row r="1487" spans="1:19" x14ac:dyDescent="0.2">
      <c r="A1487" s="57" t="s">
        <v>227</v>
      </c>
      <c r="B1487" s="57" t="s">
        <v>237</v>
      </c>
      <c r="C1487" s="57" t="s">
        <v>238</v>
      </c>
      <c r="D1487" s="58">
        <v>165.05</v>
      </c>
      <c r="E1487" s="59">
        <v>41084</v>
      </c>
      <c r="F1487" s="58">
        <v>17802</v>
      </c>
      <c r="G1487" s="58">
        <v>5387</v>
      </c>
      <c r="H1487" s="58">
        <v>5461</v>
      </c>
      <c r="I1487" s="58">
        <v>17683</v>
      </c>
      <c r="J1487" s="58">
        <v>0</v>
      </c>
      <c r="K1487" s="1">
        <f t="shared" si="162"/>
        <v>901338.05</v>
      </c>
      <c r="L1487" s="1">
        <f t="shared" si="163"/>
        <v>5461</v>
      </c>
      <c r="M1487" s="1">
        <f>VLOOKUP(B1487,'[1]Срок Годности'!$A$2:$B$4,2,0)</f>
        <v>1000</v>
      </c>
      <c r="N1487" s="60">
        <f t="shared" si="164"/>
        <v>0</v>
      </c>
      <c r="O1487" s="1" t="str">
        <f t="shared" si="165"/>
        <v>26 2012</v>
      </c>
      <c r="P1487" s="1">
        <f t="shared" si="166"/>
        <v>22</v>
      </c>
      <c r="Q1487" s="1">
        <f t="shared" ca="1" si="167"/>
        <v>4049</v>
      </c>
      <c r="S1487" s="1">
        <f t="shared" si="161"/>
        <v>17683</v>
      </c>
    </row>
    <row r="1488" spans="1:19" x14ac:dyDescent="0.2">
      <c r="A1488" s="57" t="s">
        <v>227</v>
      </c>
      <c r="B1488" s="57" t="s">
        <v>237</v>
      </c>
      <c r="C1488" s="57" t="s">
        <v>238</v>
      </c>
      <c r="D1488" s="58">
        <v>165.05</v>
      </c>
      <c r="E1488" s="59">
        <v>41085</v>
      </c>
      <c r="F1488" s="58">
        <v>17683</v>
      </c>
      <c r="G1488" s="58">
        <v>6584</v>
      </c>
      <c r="H1488" s="58">
        <v>5115</v>
      </c>
      <c r="I1488" s="58">
        <v>19132</v>
      </c>
      <c r="J1488" s="58">
        <v>0</v>
      </c>
      <c r="K1488" s="1">
        <f t="shared" si="162"/>
        <v>844230.75</v>
      </c>
      <c r="L1488" s="1">
        <f t="shared" si="163"/>
        <v>5115</v>
      </c>
      <c r="M1488" s="1">
        <f>VLOOKUP(B1488,'[1]Срок Годности'!$A$2:$B$4,2,0)</f>
        <v>1000</v>
      </c>
      <c r="N1488" s="60">
        <f t="shared" si="164"/>
        <v>6584</v>
      </c>
      <c r="O1488" s="1" t="str">
        <f t="shared" si="165"/>
        <v>26 2012</v>
      </c>
      <c r="P1488" s="1">
        <f t="shared" si="166"/>
        <v>22</v>
      </c>
      <c r="Q1488" s="1">
        <f t="shared" ca="1" si="167"/>
        <v>4048</v>
      </c>
      <c r="S1488" s="1">
        <f t="shared" si="161"/>
        <v>19132</v>
      </c>
    </row>
    <row r="1489" spans="1:19" x14ac:dyDescent="0.2">
      <c r="A1489" s="57" t="s">
        <v>227</v>
      </c>
      <c r="B1489" s="57" t="s">
        <v>237</v>
      </c>
      <c r="C1489" s="57" t="s">
        <v>238</v>
      </c>
      <c r="D1489" s="58">
        <v>165.05</v>
      </c>
      <c r="E1489" s="59">
        <v>41086</v>
      </c>
      <c r="F1489" s="58">
        <v>19132</v>
      </c>
      <c r="G1489" s="58">
        <v>4190</v>
      </c>
      <c r="H1489" s="58">
        <v>4626</v>
      </c>
      <c r="I1489" s="58">
        <v>18656</v>
      </c>
      <c r="J1489" s="58">
        <v>0</v>
      </c>
      <c r="K1489" s="1">
        <f t="shared" si="162"/>
        <v>763521.3</v>
      </c>
      <c r="L1489" s="1">
        <f t="shared" si="163"/>
        <v>4626</v>
      </c>
      <c r="M1489" s="1">
        <f>VLOOKUP(B1489,'[1]Срок Годности'!$A$2:$B$4,2,0)</f>
        <v>1000</v>
      </c>
      <c r="N1489" s="60">
        <f t="shared" si="164"/>
        <v>4190</v>
      </c>
      <c r="O1489" s="1" t="str">
        <f t="shared" si="165"/>
        <v>26 2012</v>
      </c>
      <c r="P1489" s="1">
        <f t="shared" si="166"/>
        <v>22</v>
      </c>
      <c r="Q1489" s="1">
        <f t="shared" ca="1" si="167"/>
        <v>4047</v>
      </c>
      <c r="S1489" s="1">
        <f t="shared" si="161"/>
        <v>18656</v>
      </c>
    </row>
    <row r="1490" spans="1:19" x14ac:dyDescent="0.2">
      <c r="A1490" s="57" t="s">
        <v>227</v>
      </c>
      <c r="B1490" s="57" t="s">
        <v>237</v>
      </c>
      <c r="C1490" s="57" t="s">
        <v>238</v>
      </c>
      <c r="D1490" s="58">
        <v>165.05</v>
      </c>
      <c r="E1490" s="59">
        <v>41087</v>
      </c>
      <c r="F1490" s="58">
        <v>18656</v>
      </c>
      <c r="G1490" s="58">
        <v>7683</v>
      </c>
      <c r="H1490" s="58">
        <v>4602</v>
      </c>
      <c r="I1490" s="58">
        <v>21696</v>
      </c>
      <c r="J1490" s="58">
        <v>0</v>
      </c>
      <c r="K1490" s="1">
        <f t="shared" si="162"/>
        <v>759560.10000000009</v>
      </c>
      <c r="L1490" s="1">
        <f t="shared" si="163"/>
        <v>4602</v>
      </c>
      <c r="M1490" s="1">
        <f>VLOOKUP(B1490,'[1]Срок Годности'!$A$2:$B$4,2,0)</f>
        <v>1000</v>
      </c>
      <c r="N1490" s="60">
        <f t="shared" si="164"/>
        <v>7683</v>
      </c>
      <c r="O1490" s="1" t="str">
        <f t="shared" si="165"/>
        <v>26 2012</v>
      </c>
      <c r="P1490" s="1">
        <f t="shared" si="166"/>
        <v>22</v>
      </c>
      <c r="Q1490" s="1">
        <f t="shared" ca="1" si="167"/>
        <v>4046</v>
      </c>
      <c r="S1490" s="1">
        <f t="shared" si="161"/>
        <v>21696</v>
      </c>
    </row>
    <row r="1491" spans="1:19" x14ac:dyDescent="0.2">
      <c r="A1491" s="57" t="s">
        <v>227</v>
      </c>
      <c r="B1491" s="57" t="s">
        <v>237</v>
      </c>
      <c r="C1491" s="57" t="s">
        <v>238</v>
      </c>
      <c r="D1491" s="58">
        <v>165.05</v>
      </c>
      <c r="E1491" s="59">
        <v>41088</v>
      </c>
      <c r="F1491" s="58">
        <v>21696</v>
      </c>
      <c r="G1491" s="58">
        <v>4209</v>
      </c>
      <c r="H1491" s="58">
        <v>4911</v>
      </c>
      <c r="I1491" s="58">
        <v>20949</v>
      </c>
      <c r="J1491" s="58">
        <v>0</v>
      </c>
      <c r="K1491" s="1">
        <f t="shared" si="162"/>
        <v>810560.55</v>
      </c>
      <c r="L1491" s="1">
        <f t="shared" si="163"/>
        <v>4911</v>
      </c>
      <c r="M1491" s="1">
        <f>VLOOKUP(B1491,'[1]Срок Годности'!$A$2:$B$4,2,0)</f>
        <v>1000</v>
      </c>
      <c r="N1491" s="60">
        <f t="shared" si="164"/>
        <v>4209</v>
      </c>
      <c r="O1491" s="1" t="str">
        <f t="shared" si="165"/>
        <v>26 2012</v>
      </c>
      <c r="P1491" s="1">
        <f t="shared" si="166"/>
        <v>22</v>
      </c>
      <c r="Q1491" s="1">
        <f t="shared" ca="1" si="167"/>
        <v>4045</v>
      </c>
      <c r="S1491" s="1">
        <f t="shared" si="161"/>
        <v>20949</v>
      </c>
    </row>
    <row r="1492" spans="1:19" x14ac:dyDescent="0.2">
      <c r="A1492" s="57" t="s">
        <v>227</v>
      </c>
      <c r="B1492" s="57" t="s">
        <v>237</v>
      </c>
      <c r="C1492" s="57" t="s">
        <v>238</v>
      </c>
      <c r="D1492" s="58">
        <v>165.05</v>
      </c>
      <c r="E1492" s="59">
        <v>41089</v>
      </c>
      <c r="F1492" s="58">
        <v>20949</v>
      </c>
      <c r="G1492" s="58">
        <v>2</v>
      </c>
      <c r="H1492" s="58">
        <v>5062</v>
      </c>
      <c r="I1492" s="58">
        <v>15868</v>
      </c>
      <c r="J1492" s="58">
        <v>0</v>
      </c>
      <c r="K1492" s="1">
        <f t="shared" si="162"/>
        <v>835483.10000000009</v>
      </c>
      <c r="L1492" s="1">
        <f t="shared" si="163"/>
        <v>5062</v>
      </c>
      <c r="M1492" s="1">
        <f>VLOOKUP(B1492,'[1]Срок Годности'!$A$2:$B$4,2,0)</f>
        <v>1000</v>
      </c>
      <c r="N1492" s="60">
        <f t="shared" si="164"/>
        <v>2</v>
      </c>
      <c r="O1492" s="1" t="str">
        <f t="shared" si="165"/>
        <v>26 2012</v>
      </c>
      <c r="P1492" s="1">
        <f t="shared" si="166"/>
        <v>22</v>
      </c>
      <c r="Q1492" s="1">
        <f t="shared" ca="1" si="167"/>
        <v>4044</v>
      </c>
      <c r="S1492" s="1">
        <f t="shared" si="161"/>
        <v>15868</v>
      </c>
    </row>
    <row r="1493" spans="1:19" x14ac:dyDescent="0.2">
      <c r="A1493" s="57" t="s">
        <v>227</v>
      </c>
      <c r="B1493" s="57" t="s">
        <v>237</v>
      </c>
      <c r="C1493" s="57" t="s">
        <v>238</v>
      </c>
      <c r="D1493" s="58">
        <v>165.05</v>
      </c>
      <c r="E1493" s="59">
        <v>41090</v>
      </c>
      <c r="F1493" s="58">
        <v>15868</v>
      </c>
      <c r="G1493" s="58">
        <v>0</v>
      </c>
      <c r="H1493" s="58">
        <v>5250</v>
      </c>
      <c r="I1493" s="58">
        <v>10630</v>
      </c>
      <c r="J1493" s="58">
        <v>0</v>
      </c>
      <c r="K1493" s="1">
        <f t="shared" si="162"/>
        <v>866512.50000000012</v>
      </c>
      <c r="L1493" s="1">
        <f t="shared" si="163"/>
        <v>5250</v>
      </c>
      <c r="M1493" s="1">
        <f>VLOOKUP(B1493,'[1]Срок Годности'!$A$2:$B$4,2,0)</f>
        <v>1000</v>
      </c>
      <c r="N1493" s="60">
        <f t="shared" si="164"/>
        <v>0</v>
      </c>
      <c r="O1493" s="1" t="str">
        <f t="shared" si="165"/>
        <v>26 2012</v>
      </c>
      <c r="P1493" s="1">
        <f t="shared" si="166"/>
        <v>22</v>
      </c>
      <c r="Q1493" s="1">
        <f t="shared" ca="1" si="167"/>
        <v>4043</v>
      </c>
      <c r="S1493" s="1">
        <f t="shared" si="161"/>
        <v>10630</v>
      </c>
    </row>
    <row r="1494" spans="1:19" x14ac:dyDescent="0.2">
      <c r="A1494" s="57" t="s">
        <v>227</v>
      </c>
      <c r="B1494" s="57" t="s">
        <v>237</v>
      </c>
      <c r="C1494" s="57" t="s">
        <v>238</v>
      </c>
      <c r="D1494" s="58">
        <v>165.05</v>
      </c>
      <c r="E1494" s="59">
        <v>41091</v>
      </c>
      <c r="F1494" s="58">
        <v>10630</v>
      </c>
      <c r="G1494" s="58">
        <v>10</v>
      </c>
      <c r="H1494" s="58">
        <v>3963</v>
      </c>
      <c r="I1494" s="58">
        <v>6686</v>
      </c>
      <c r="J1494" s="58">
        <v>0</v>
      </c>
      <c r="K1494" s="1">
        <f t="shared" si="162"/>
        <v>654093.15</v>
      </c>
      <c r="L1494" s="1">
        <f t="shared" si="163"/>
        <v>3963</v>
      </c>
      <c r="M1494" s="1">
        <f>VLOOKUP(B1494,'[1]Срок Годности'!$A$2:$B$4,2,0)</f>
        <v>1000</v>
      </c>
      <c r="N1494" s="60">
        <f t="shared" si="164"/>
        <v>0</v>
      </c>
      <c r="O1494" s="1" t="str">
        <f t="shared" si="165"/>
        <v>27 2012</v>
      </c>
      <c r="P1494" s="1">
        <f t="shared" si="166"/>
        <v>22</v>
      </c>
      <c r="Q1494" s="1">
        <f t="shared" ca="1" si="167"/>
        <v>4042</v>
      </c>
      <c r="S1494" s="1">
        <f t="shared" si="161"/>
        <v>6686</v>
      </c>
    </row>
    <row r="1495" spans="1:19" x14ac:dyDescent="0.2">
      <c r="A1495" s="57" t="s">
        <v>227</v>
      </c>
      <c r="B1495" s="57" t="s">
        <v>237</v>
      </c>
      <c r="C1495" s="57" t="s">
        <v>238</v>
      </c>
      <c r="D1495" s="58">
        <v>165.05</v>
      </c>
      <c r="E1495" s="59">
        <v>41092</v>
      </c>
      <c r="F1495" s="58">
        <v>6686</v>
      </c>
      <c r="G1495" s="58">
        <v>2292</v>
      </c>
      <c r="H1495" s="58">
        <v>3277</v>
      </c>
      <c r="I1495" s="58">
        <v>5639</v>
      </c>
      <c r="J1495" s="58">
        <v>0</v>
      </c>
      <c r="K1495" s="1">
        <f t="shared" si="162"/>
        <v>540868.85000000009</v>
      </c>
      <c r="L1495" s="1">
        <f t="shared" si="163"/>
        <v>3277</v>
      </c>
      <c r="M1495" s="1">
        <f>VLOOKUP(B1495,'[1]Срок Годности'!$A$2:$B$4,2,0)</f>
        <v>1000</v>
      </c>
      <c r="N1495" s="60">
        <f t="shared" si="164"/>
        <v>2292</v>
      </c>
      <c r="O1495" s="1" t="str">
        <f t="shared" si="165"/>
        <v>27 2012</v>
      </c>
      <c r="P1495" s="1">
        <f t="shared" si="166"/>
        <v>22</v>
      </c>
      <c r="Q1495" s="1">
        <f t="shared" ca="1" si="167"/>
        <v>4041</v>
      </c>
      <c r="S1495" s="1">
        <f t="shared" si="161"/>
        <v>5639</v>
      </c>
    </row>
    <row r="1496" spans="1:19" x14ac:dyDescent="0.2">
      <c r="A1496" s="57" t="s">
        <v>227</v>
      </c>
      <c r="B1496" s="57" t="s">
        <v>237</v>
      </c>
      <c r="C1496" s="57" t="s">
        <v>238</v>
      </c>
      <c r="D1496" s="58">
        <v>165.05</v>
      </c>
      <c r="E1496" s="59">
        <v>41093</v>
      </c>
      <c r="F1496" s="58">
        <v>5639</v>
      </c>
      <c r="G1496" s="58">
        <v>7388</v>
      </c>
      <c r="H1496" s="58">
        <v>4283</v>
      </c>
      <c r="I1496" s="58">
        <v>8686</v>
      </c>
      <c r="J1496" s="58">
        <v>0</v>
      </c>
      <c r="K1496" s="1">
        <f t="shared" si="162"/>
        <v>706909.15</v>
      </c>
      <c r="L1496" s="1">
        <f t="shared" si="163"/>
        <v>4283</v>
      </c>
      <c r="M1496" s="1">
        <f>VLOOKUP(B1496,'[1]Срок Годности'!$A$2:$B$4,2,0)</f>
        <v>1000</v>
      </c>
      <c r="N1496" s="60">
        <f t="shared" si="164"/>
        <v>7388</v>
      </c>
      <c r="O1496" s="1" t="str">
        <f t="shared" si="165"/>
        <v>27 2012</v>
      </c>
      <c r="P1496" s="1">
        <f t="shared" si="166"/>
        <v>22</v>
      </c>
      <c r="Q1496" s="1">
        <f t="shared" ca="1" si="167"/>
        <v>4040</v>
      </c>
      <c r="S1496" s="1">
        <f t="shared" si="161"/>
        <v>8686</v>
      </c>
    </row>
    <row r="1497" spans="1:19" x14ac:dyDescent="0.2">
      <c r="A1497" s="57" t="s">
        <v>227</v>
      </c>
      <c r="B1497" s="57" t="s">
        <v>237</v>
      </c>
      <c r="C1497" s="57" t="s">
        <v>238</v>
      </c>
      <c r="D1497" s="58">
        <v>165.05</v>
      </c>
      <c r="E1497" s="59">
        <v>41094</v>
      </c>
      <c r="F1497" s="58">
        <v>8686</v>
      </c>
      <c r="G1497" s="58">
        <v>10659</v>
      </c>
      <c r="H1497" s="58">
        <v>5561</v>
      </c>
      <c r="I1497" s="58">
        <v>13716</v>
      </c>
      <c r="J1497" s="58">
        <v>0</v>
      </c>
      <c r="K1497" s="1">
        <f t="shared" si="162"/>
        <v>917843.05</v>
      </c>
      <c r="L1497" s="1">
        <f t="shared" si="163"/>
        <v>5561</v>
      </c>
      <c r="M1497" s="1">
        <f>VLOOKUP(B1497,'[1]Срок Годности'!$A$2:$B$4,2,0)</f>
        <v>1000</v>
      </c>
      <c r="N1497" s="60">
        <f t="shared" si="164"/>
        <v>10659</v>
      </c>
      <c r="O1497" s="1" t="str">
        <f t="shared" si="165"/>
        <v>27 2012</v>
      </c>
      <c r="P1497" s="1">
        <f t="shared" si="166"/>
        <v>22</v>
      </c>
      <c r="Q1497" s="1">
        <f t="shared" ca="1" si="167"/>
        <v>4039</v>
      </c>
      <c r="S1497" s="1">
        <f t="shared" si="161"/>
        <v>13716</v>
      </c>
    </row>
    <row r="1498" spans="1:19" x14ac:dyDescent="0.2">
      <c r="A1498" s="57" t="s">
        <v>227</v>
      </c>
      <c r="B1498" s="57" t="s">
        <v>237</v>
      </c>
      <c r="C1498" s="57" t="s">
        <v>238</v>
      </c>
      <c r="D1498" s="58">
        <v>165.05</v>
      </c>
      <c r="E1498" s="59">
        <v>41095</v>
      </c>
      <c r="F1498" s="58">
        <v>13716</v>
      </c>
      <c r="G1498" s="58">
        <v>7486</v>
      </c>
      <c r="H1498" s="58">
        <v>5930</v>
      </c>
      <c r="I1498" s="58">
        <v>15232</v>
      </c>
      <c r="J1498" s="58">
        <v>0</v>
      </c>
      <c r="K1498" s="1">
        <f t="shared" si="162"/>
        <v>978746.50000000012</v>
      </c>
      <c r="L1498" s="1">
        <f t="shared" si="163"/>
        <v>5930</v>
      </c>
      <c r="M1498" s="1">
        <f>VLOOKUP(B1498,'[1]Срок Годности'!$A$2:$B$4,2,0)</f>
        <v>1000</v>
      </c>
      <c r="N1498" s="60">
        <f t="shared" si="164"/>
        <v>7486</v>
      </c>
      <c r="O1498" s="1" t="str">
        <f t="shared" si="165"/>
        <v>27 2012</v>
      </c>
      <c r="P1498" s="1">
        <f t="shared" si="166"/>
        <v>22</v>
      </c>
      <c r="Q1498" s="1">
        <f t="shared" ca="1" si="167"/>
        <v>4038</v>
      </c>
      <c r="S1498" s="1">
        <f t="shared" si="161"/>
        <v>15232</v>
      </c>
    </row>
    <row r="1499" spans="1:19" x14ac:dyDescent="0.2">
      <c r="A1499" s="57" t="s">
        <v>227</v>
      </c>
      <c r="B1499" s="57" t="s">
        <v>237</v>
      </c>
      <c r="C1499" s="57" t="s">
        <v>238</v>
      </c>
      <c r="D1499" s="58">
        <v>165.05</v>
      </c>
      <c r="E1499" s="59">
        <v>41096</v>
      </c>
      <c r="F1499" s="58">
        <v>15232</v>
      </c>
      <c r="G1499" s="58">
        <v>-15</v>
      </c>
      <c r="H1499" s="58">
        <v>5976</v>
      </c>
      <c r="I1499" s="58">
        <v>9227</v>
      </c>
      <c r="J1499" s="58">
        <v>0</v>
      </c>
      <c r="K1499" s="1">
        <f t="shared" si="162"/>
        <v>986338.8</v>
      </c>
      <c r="L1499" s="1">
        <f t="shared" si="163"/>
        <v>5976</v>
      </c>
      <c r="M1499" s="1">
        <f>VLOOKUP(B1499,'[1]Срок Годности'!$A$2:$B$4,2,0)</f>
        <v>1000</v>
      </c>
      <c r="N1499" s="60">
        <f t="shared" si="164"/>
        <v>-15</v>
      </c>
      <c r="O1499" s="1" t="str">
        <f t="shared" si="165"/>
        <v>27 2012</v>
      </c>
      <c r="P1499" s="1">
        <f t="shared" si="166"/>
        <v>22</v>
      </c>
      <c r="Q1499" s="1">
        <f t="shared" ca="1" si="167"/>
        <v>4037</v>
      </c>
      <c r="S1499" s="1">
        <f t="shared" si="161"/>
        <v>9227</v>
      </c>
    </row>
    <row r="1500" spans="1:19" x14ac:dyDescent="0.2">
      <c r="A1500" s="57" t="s">
        <v>227</v>
      </c>
      <c r="B1500" s="57" t="s">
        <v>237</v>
      </c>
      <c r="C1500" s="57" t="s">
        <v>238</v>
      </c>
      <c r="D1500" s="58">
        <v>165.05</v>
      </c>
      <c r="E1500" s="59">
        <v>41097</v>
      </c>
      <c r="F1500" s="58">
        <v>9227</v>
      </c>
      <c r="G1500" s="58">
        <v>0</v>
      </c>
      <c r="H1500" s="58">
        <v>4707</v>
      </c>
      <c r="I1500" s="58">
        <v>4540</v>
      </c>
      <c r="J1500" s="58">
        <v>0</v>
      </c>
      <c r="K1500" s="1">
        <f t="shared" si="162"/>
        <v>776890.35000000009</v>
      </c>
      <c r="L1500" s="1">
        <f t="shared" si="163"/>
        <v>4707</v>
      </c>
      <c r="M1500" s="1">
        <f>VLOOKUP(B1500,'[1]Срок Годности'!$A$2:$B$4,2,0)</f>
        <v>1000</v>
      </c>
      <c r="N1500" s="60">
        <f t="shared" si="164"/>
        <v>0</v>
      </c>
      <c r="O1500" s="1" t="str">
        <f t="shared" si="165"/>
        <v>27 2012</v>
      </c>
      <c r="P1500" s="1">
        <f t="shared" si="166"/>
        <v>22</v>
      </c>
      <c r="Q1500" s="1">
        <f t="shared" ca="1" si="167"/>
        <v>4036</v>
      </c>
      <c r="S1500" s="1">
        <f t="shared" si="161"/>
        <v>4540</v>
      </c>
    </row>
    <row r="1501" spans="1:19" x14ac:dyDescent="0.2">
      <c r="A1501" s="57" t="s">
        <v>227</v>
      </c>
      <c r="B1501" s="57" t="s">
        <v>237</v>
      </c>
      <c r="C1501" s="57" t="s">
        <v>238</v>
      </c>
      <c r="D1501" s="58">
        <v>165.05</v>
      </c>
      <c r="E1501" s="59">
        <v>41098</v>
      </c>
      <c r="F1501" s="58">
        <v>4540</v>
      </c>
      <c r="G1501" s="58">
        <v>0</v>
      </c>
      <c r="H1501" s="58">
        <v>2279</v>
      </c>
      <c r="I1501" s="58">
        <v>2255</v>
      </c>
      <c r="J1501" s="58">
        <v>0</v>
      </c>
      <c r="K1501" s="1">
        <f t="shared" si="162"/>
        <v>376148.95</v>
      </c>
      <c r="L1501" s="1">
        <f t="shared" si="163"/>
        <v>2279</v>
      </c>
      <c r="M1501" s="1">
        <f>VLOOKUP(B1501,'[1]Срок Годности'!$A$2:$B$4,2,0)</f>
        <v>1000</v>
      </c>
      <c r="N1501" s="60">
        <f t="shared" si="164"/>
        <v>0</v>
      </c>
      <c r="O1501" s="1" t="str">
        <f t="shared" si="165"/>
        <v>28 2012</v>
      </c>
      <c r="P1501" s="1">
        <f t="shared" si="166"/>
        <v>22</v>
      </c>
      <c r="Q1501" s="1">
        <f t="shared" ca="1" si="167"/>
        <v>4035</v>
      </c>
      <c r="S1501" s="1">
        <f t="shared" si="161"/>
        <v>2255</v>
      </c>
    </row>
    <row r="1502" spans="1:19" x14ac:dyDescent="0.2">
      <c r="A1502" s="57" t="s">
        <v>227</v>
      </c>
      <c r="B1502" s="57" t="s">
        <v>237</v>
      </c>
      <c r="C1502" s="57" t="s">
        <v>238</v>
      </c>
      <c r="D1502" s="58">
        <v>165.05</v>
      </c>
      <c r="E1502" s="59">
        <v>41099</v>
      </c>
      <c r="F1502" s="58">
        <v>2255</v>
      </c>
      <c r="G1502" s="58">
        <v>0</v>
      </c>
      <c r="H1502" s="58">
        <v>835</v>
      </c>
      <c r="I1502" s="58">
        <v>1389</v>
      </c>
      <c r="J1502" s="58">
        <v>0</v>
      </c>
      <c r="K1502" s="1">
        <f t="shared" si="162"/>
        <v>137816.75</v>
      </c>
      <c r="L1502" s="1" t="str">
        <f t="shared" si="163"/>
        <v/>
      </c>
      <c r="M1502" s="1">
        <f>VLOOKUP(B1502,'[1]Срок Годности'!$A$2:$B$4,2,0)</f>
        <v>1000</v>
      </c>
      <c r="N1502" s="60">
        <f t="shared" si="164"/>
        <v>0</v>
      </c>
      <c r="O1502" s="1" t="str">
        <f t="shared" si="165"/>
        <v>28 2012</v>
      </c>
      <c r="P1502" s="1">
        <f t="shared" si="166"/>
        <v>22</v>
      </c>
      <c r="Q1502" s="1">
        <f t="shared" ca="1" si="167"/>
        <v>4034</v>
      </c>
      <c r="S1502" s="1">
        <f t="shared" si="161"/>
        <v>1389</v>
      </c>
    </row>
    <row r="1503" spans="1:19" x14ac:dyDescent="0.2">
      <c r="A1503" s="57" t="s">
        <v>227</v>
      </c>
      <c r="B1503" s="57" t="s">
        <v>237</v>
      </c>
      <c r="C1503" s="57" t="s">
        <v>238</v>
      </c>
      <c r="D1503" s="58">
        <v>165.05</v>
      </c>
      <c r="E1503" s="59">
        <v>41100</v>
      </c>
      <c r="F1503" s="58">
        <v>1389</v>
      </c>
      <c r="G1503" s="58">
        <v>0</v>
      </c>
      <c r="H1503" s="58">
        <v>338</v>
      </c>
      <c r="I1503" s="58">
        <v>1054</v>
      </c>
      <c r="J1503" s="58">
        <v>0</v>
      </c>
      <c r="K1503" s="1">
        <f t="shared" si="162"/>
        <v>55786.9</v>
      </c>
      <c r="L1503" s="1" t="str">
        <f t="shared" si="163"/>
        <v/>
      </c>
      <c r="M1503" s="1">
        <f>VLOOKUP(B1503,'[1]Срок Годности'!$A$2:$B$4,2,0)</f>
        <v>1000</v>
      </c>
      <c r="N1503" s="60">
        <f t="shared" si="164"/>
        <v>0</v>
      </c>
      <c r="O1503" s="1" t="str">
        <f t="shared" si="165"/>
        <v>28 2012</v>
      </c>
      <c r="P1503" s="1">
        <f t="shared" si="166"/>
        <v>22</v>
      </c>
      <c r="Q1503" s="1">
        <f t="shared" ca="1" si="167"/>
        <v>4033</v>
      </c>
      <c r="S1503" s="1">
        <f t="shared" si="161"/>
        <v>1054</v>
      </c>
    </row>
    <row r="1504" spans="1:19" x14ac:dyDescent="0.2">
      <c r="A1504" s="57" t="s">
        <v>227</v>
      </c>
      <c r="B1504" s="57" t="s">
        <v>237</v>
      </c>
      <c r="C1504" s="57" t="s">
        <v>238</v>
      </c>
      <c r="D1504" s="58">
        <v>165.05</v>
      </c>
      <c r="E1504" s="59">
        <v>41101</v>
      </c>
      <c r="F1504" s="58">
        <v>1054</v>
      </c>
      <c r="G1504" s="58">
        <v>0</v>
      </c>
      <c r="H1504" s="58">
        <v>199</v>
      </c>
      <c r="I1504" s="58">
        <v>852</v>
      </c>
      <c r="J1504" s="58">
        <v>3</v>
      </c>
      <c r="K1504" s="1">
        <f t="shared" si="162"/>
        <v>32844.950000000004</v>
      </c>
      <c r="L1504" s="1" t="str">
        <f t="shared" si="163"/>
        <v/>
      </c>
      <c r="M1504" s="1">
        <f>VLOOKUP(B1504,'[1]Срок Годности'!$A$2:$B$4,2,0)</f>
        <v>1000</v>
      </c>
      <c r="N1504" s="60">
        <f t="shared" si="164"/>
        <v>0</v>
      </c>
      <c r="O1504" s="1" t="str">
        <f t="shared" si="165"/>
        <v>28 2012</v>
      </c>
      <c r="P1504" s="1">
        <f t="shared" si="166"/>
        <v>22</v>
      </c>
      <c r="Q1504" s="1">
        <f t="shared" ca="1" si="167"/>
        <v>4032</v>
      </c>
      <c r="S1504" s="1">
        <f t="shared" si="161"/>
        <v>849</v>
      </c>
    </row>
    <row r="1505" spans="1:19" x14ac:dyDescent="0.2">
      <c r="A1505" s="57" t="s">
        <v>227</v>
      </c>
      <c r="B1505" s="57" t="s">
        <v>237</v>
      </c>
      <c r="C1505" s="57" t="s">
        <v>238</v>
      </c>
      <c r="D1505" s="58">
        <v>165.05</v>
      </c>
      <c r="E1505" s="59">
        <v>41102</v>
      </c>
      <c r="F1505" s="58">
        <v>852</v>
      </c>
      <c r="G1505" s="58">
        <v>7532</v>
      </c>
      <c r="H1505" s="58">
        <v>970</v>
      </c>
      <c r="I1505" s="58">
        <v>7343</v>
      </c>
      <c r="J1505" s="58">
        <v>0</v>
      </c>
      <c r="K1505" s="1">
        <f t="shared" si="162"/>
        <v>160098.5</v>
      </c>
      <c r="L1505" s="1" t="str">
        <f t="shared" si="163"/>
        <v/>
      </c>
      <c r="M1505" s="1">
        <f>VLOOKUP(B1505,'[1]Срок Годности'!$A$2:$B$4,2,0)</f>
        <v>1000</v>
      </c>
      <c r="N1505" s="60">
        <f t="shared" si="164"/>
        <v>7532</v>
      </c>
      <c r="O1505" s="1" t="str">
        <f t="shared" si="165"/>
        <v>28 2012</v>
      </c>
      <c r="P1505" s="1">
        <f t="shared" si="166"/>
        <v>22</v>
      </c>
      <c r="Q1505" s="1">
        <f t="shared" ca="1" si="167"/>
        <v>4031</v>
      </c>
      <c r="S1505" s="1">
        <f t="shared" si="161"/>
        <v>7343</v>
      </c>
    </row>
    <row r="1506" spans="1:19" x14ac:dyDescent="0.2">
      <c r="A1506" s="57" t="s">
        <v>227</v>
      </c>
      <c r="B1506" s="57" t="s">
        <v>237</v>
      </c>
      <c r="C1506" s="57" t="s">
        <v>238</v>
      </c>
      <c r="D1506" s="58">
        <v>165.05</v>
      </c>
      <c r="E1506" s="59">
        <v>41103</v>
      </c>
      <c r="F1506" s="58">
        <v>7343</v>
      </c>
      <c r="G1506" s="58">
        <v>7620</v>
      </c>
      <c r="H1506" s="58">
        <v>3054</v>
      </c>
      <c r="I1506" s="58">
        <v>11822</v>
      </c>
      <c r="J1506" s="58">
        <v>0</v>
      </c>
      <c r="K1506" s="1">
        <f t="shared" si="162"/>
        <v>504062.7</v>
      </c>
      <c r="L1506" s="1">
        <f t="shared" si="163"/>
        <v>3054</v>
      </c>
      <c r="M1506" s="1">
        <f>VLOOKUP(B1506,'[1]Срок Годности'!$A$2:$B$4,2,0)</f>
        <v>1000</v>
      </c>
      <c r="N1506" s="60">
        <f t="shared" si="164"/>
        <v>7620</v>
      </c>
      <c r="O1506" s="1" t="str">
        <f t="shared" si="165"/>
        <v>28 2012</v>
      </c>
      <c r="P1506" s="1">
        <f t="shared" si="166"/>
        <v>22</v>
      </c>
      <c r="Q1506" s="1">
        <f t="shared" ca="1" si="167"/>
        <v>4030</v>
      </c>
      <c r="S1506" s="1">
        <f t="shared" si="161"/>
        <v>11822</v>
      </c>
    </row>
    <row r="1507" spans="1:19" x14ac:dyDescent="0.2">
      <c r="A1507" s="57" t="s">
        <v>227</v>
      </c>
      <c r="B1507" s="57" t="s">
        <v>237</v>
      </c>
      <c r="C1507" s="57" t="s">
        <v>238</v>
      </c>
      <c r="D1507" s="58">
        <v>165.05</v>
      </c>
      <c r="E1507" s="59">
        <v>41104</v>
      </c>
      <c r="F1507" s="58">
        <v>11822</v>
      </c>
      <c r="G1507" s="58">
        <v>4077</v>
      </c>
      <c r="H1507" s="58">
        <v>3825</v>
      </c>
      <c r="I1507" s="58">
        <v>12025</v>
      </c>
      <c r="J1507" s="58">
        <v>0</v>
      </c>
      <c r="K1507" s="1">
        <f t="shared" si="162"/>
        <v>631316.25</v>
      </c>
      <c r="L1507" s="1">
        <f t="shared" si="163"/>
        <v>3825</v>
      </c>
      <c r="M1507" s="1">
        <f>VLOOKUP(B1507,'[1]Срок Годности'!$A$2:$B$4,2,0)</f>
        <v>1000</v>
      </c>
      <c r="N1507" s="60">
        <f t="shared" si="164"/>
        <v>4077</v>
      </c>
      <c r="O1507" s="1" t="str">
        <f t="shared" si="165"/>
        <v>28 2012</v>
      </c>
      <c r="P1507" s="1">
        <f t="shared" si="166"/>
        <v>22</v>
      </c>
      <c r="Q1507" s="1">
        <f t="shared" ca="1" si="167"/>
        <v>4029</v>
      </c>
      <c r="S1507" s="1">
        <f t="shared" si="161"/>
        <v>12025</v>
      </c>
    </row>
    <row r="1508" spans="1:19" x14ac:dyDescent="0.2">
      <c r="A1508" s="57" t="s">
        <v>227</v>
      </c>
      <c r="B1508" s="57" t="s">
        <v>237</v>
      </c>
      <c r="C1508" s="57" t="s">
        <v>238</v>
      </c>
      <c r="D1508" s="58">
        <v>165.05</v>
      </c>
      <c r="E1508" s="59">
        <v>41105</v>
      </c>
      <c r="F1508" s="58">
        <v>12025</v>
      </c>
      <c r="G1508" s="58">
        <v>11123</v>
      </c>
      <c r="H1508" s="58">
        <v>3182</v>
      </c>
      <c r="I1508" s="58">
        <v>19898</v>
      </c>
      <c r="J1508" s="58">
        <v>0</v>
      </c>
      <c r="K1508" s="1">
        <f t="shared" si="162"/>
        <v>525189.10000000009</v>
      </c>
      <c r="L1508" s="1">
        <f t="shared" si="163"/>
        <v>3182</v>
      </c>
      <c r="M1508" s="1">
        <f>VLOOKUP(B1508,'[1]Срок Годности'!$A$2:$B$4,2,0)</f>
        <v>1000</v>
      </c>
      <c r="N1508" s="60">
        <f t="shared" si="164"/>
        <v>0</v>
      </c>
      <c r="O1508" s="1" t="str">
        <f t="shared" si="165"/>
        <v>29 2012</v>
      </c>
      <c r="P1508" s="1">
        <f t="shared" si="166"/>
        <v>22</v>
      </c>
      <c r="Q1508" s="1">
        <f t="shared" ca="1" si="167"/>
        <v>4028</v>
      </c>
      <c r="S1508" s="1">
        <f t="shared" si="161"/>
        <v>19898</v>
      </c>
    </row>
    <row r="1509" spans="1:19" x14ac:dyDescent="0.2">
      <c r="A1509" s="57" t="s">
        <v>227</v>
      </c>
      <c r="B1509" s="57" t="s">
        <v>237</v>
      </c>
      <c r="C1509" s="57" t="s">
        <v>238</v>
      </c>
      <c r="D1509" s="58">
        <v>165.05</v>
      </c>
      <c r="E1509" s="59">
        <v>41106</v>
      </c>
      <c r="F1509" s="58">
        <v>19898</v>
      </c>
      <c r="G1509" s="58">
        <v>5244</v>
      </c>
      <c r="H1509" s="58">
        <v>3037</v>
      </c>
      <c r="I1509" s="58">
        <v>22000</v>
      </c>
      <c r="J1509" s="58">
        <v>0</v>
      </c>
      <c r="K1509" s="1">
        <f t="shared" si="162"/>
        <v>501256.85000000003</v>
      </c>
      <c r="L1509" s="1">
        <f t="shared" si="163"/>
        <v>3037</v>
      </c>
      <c r="M1509" s="1">
        <f>VLOOKUP(B1509,'[1]Срок Годности'!$A$2:$B$4,2,0)</f>
        <v>1000</v>
      </c>
      <c r="N1509" s="60">
        <f t="shared" si="164"/>
        <v>5244</v>
      </c>
      <c r="O1509" s="1" t="str">
        <f t="shared" si="165"/>
        <v>29 2012</v>
      </c>
      <c r="P1509" s="1">
        <f t="shared" si="166"/>
        <v>22</v>
      </c>
      <c r="Q1509" s="1">
        <f t="shared" ca="1" si="167"/>
        <v>4027</v>
      </c>
      <c r="S1509" s="1">
        <f t="shared" si="161"/>
        <v>22000</v>
      </c>
    </row>
    <row r="1510" spans="1:19" x14ac:dyDescent="0.2">
      <c r="A1510" s="57" t="s">
        <v>227</v>
      </c>
      <c r="B1510" s="57" t="s">
        <v>237</v>
      </c>
      <c r="C1510" s="57" t="s">
        <v>238</v>
      </c>
      <c r="D1510" s="58">
        <v>165.05</v>
      </c>
      <c r="E1510" s="59">
        <v>41107</v>
      </c>
      <c r="F1510" s="58">
        <v>22000</v>
      </c>
      <c r="G1510" s="58">
        <v>2673</v>
      </c>
      <c r="H1510" s="58">
        <v>2650</v>
      </c>
      <c r="I1510" s="58">
        <v>21918</v>
      </c>
      <c r="J1510" s="58">
        <v>1</v>
      </c>
      <c r="K1510" s="1">
        <f t="shared" si="162"/>
        <v>437382.50000000006</v>
      </c>
      <c r="L1510" s="1">
        <f t="shared" si="163"/>
        <v>2650</v>
      </c>
      <c r="M1510" s="1">
        <f>VLOOKUP(B1510,'[1]Срок Годности'!$A$2:$B$4,2,0)</f>
        <v>1000</v>
      </c>
      <c r="N1510" s="60">
        <f t="shared" si="164"/>
        <v>2673</v>
      </c>
      <c r="O1510" s="1" t="str">
        <f t="shared" si="165"/>
        <v>29 2012</v>
      </c>
      <c r="P1510" s="1">
        <f t="shared" si="166"/>
        <v>22</v>
      </c>
      <c r="Q1510" s="1">
        <f t="shared" ca="1" si="167"/>
        <v>4026</v>
      </c>
      <c r="S1510" s="1">
        <f t="shared" si="161"/>
        <v>21917</v>
      </c>
    </row>
    <row r="1511" spans="1:19" x14ac:dyDescent="0.2">
      <c r="A1511" s="57" t="s">
        <v>229</v>
      </c>
      <c r="B1511" s="57" t="s">
        <v>225</v>
      </c>
      <c r="C1511" s="57" t="s">
        <v>226</v>
      </c>
      <c r="D1511" s="58">
        <v>317.08</v>
      </c>
      <c r="E1511" s="59">
        <v>41061</v>
      </c>
      <c r="F1511" s="58">
        <v>0</v>
      </c>
      <c r="G1511" s="58">
        <v>0</v>
      </c>
      <c r="H1511" s="58">
        <v>0</v>
      </c>
      <c r="I1511" s="58">
        <v>0</v>
      </c>
      <c r="J1511" s="58">
        <v>0</v>
      </c>
      <c r="K1511" s="1">
        <f t="shared" si="162"/>
        <v>0</v>
      </c>
      <c r="L1511" s="1" t="str">
        <f t="shared" si="163"/>
        <v/>
      </c>
      <c r="M1511" s="1">
        <f>VLOOKUP(B1511,'[1]Срок Годности'!$A$2:$B$4,2,0)</f>
        <v>500</v>
      </c>
      <c r="N1511" s="60">
        <f t="shared" si="164"/>
        <v>0</v>
      </c>
      <c r="O1511" s="1" t="str">
        <f t="shared" si="165"/>
        <v>22 2012</v>
      </c>
      <c r="P1511" s="1">
        <f t="shared" si="166"/>
        <v>23</v>
      </c>
      <c r="Q1511" s="1">
        <f t="shared" ca="1" si="167"/>
        <v>4072</v>
      </c>
      <c r="S1511" s="1">
        <f t="shared" si="161"/>
        <v>0</v>
      </c>
    </row>
    <row r="1512" spans="1:19" x14ac:dyDescent="0.2">
      <c r="A1512" s="57" t="s">
        <v>229</v>
      </c>
      <c r="B1512" s="57" t="s">
        <v>225</v>
      </c>
      <c r="C1512" s="57" t="s">
        <v>226</v>
      </c>
      <c r="D1512" s="58">
        <v>317.08</v>
      </c>
      <c r="E1512" s="59">
        <v>41062</v>
      </c>
      <c r="F1512" s="58">
        <v>0</v>
      </c>
      <c r="G1512" s="58">
        <v>0</v>
      </c>
      <c r="H1512" s="58">
        <v>0</v>
      </c>
      <c r="I1512" s="58">
        <v>0</v>
      </c>
      <c r="J1512" s="58">
        <v>0</v>
      </c>
      <c r="K1512" s="1">
        <f t="shared" si="162"/>
        <v>0</v>
      </c>
      <c r="L1512" s="1" t="str">
        <f t="shared" si="163"/>
        <v/>
      </c>
      <c r="M1512" s="1">
        <f>VLOOKUP(B1512,'[1]Срок Годности'!$A$2:$B$4,2,0)</f>
        <v>500</v>
      </c>
      <c r="N1512" s="60">
        <f t="shared" si="164"/>
        <v>0</v>
      </c>
      <c r="O1512" s="1" t="str">
        <f t="shared" si="165"/>
        <v>22 2012</v>
      </c>
      <c r="P1512" s="1">
        <f t="shared" si="166"/>
        <v>23</v>
      </c>
      <c r="Q1512" s="1">
        <f t="shared" ca="1" si="167"/>
        <v>4071</v>
      </c>
      <c r="S1512" s="1">
        <f t="shared" si="161"/>
        <v>0</v>
      </c>
    </row>
    <row r="1513" spans="1:19" x14ac:dyDescent="0.2">
      <c r="A1513" s="57" t="s">
        <v>229</v>
      </c>
      <c r="B1513" s="57" t="s">
        <v>225</v>
      </c>
      <c r="C1513" s="57" t="s">
        <v>226</v>
      </c>
      <c r="D1513" s="58">
        <v>317.08</v>
      </c>
      <c r="E1513" s="59">
        <v>41063</v>
      </c>
      <c r="F1513" s="58">
        <v>0</v>
      </c>
      <c r="G1513" s="58">
        <v>0</v>
      </c>
      <c r="H1513" s="58">
        <v>0</v>
      </c>
      <c r="I1513" s="58">
        <v>6</v>
      </c>
      <c r="J1513" s="58">
        <v>0</v>
      </c>
      <c r="K1513" s="1">
        <f t="shared" si="162"/>
        <v>0</v>
      </c>
      <c r="L1513" s="1" t="str">
        <f t="shared" si="163"/>
        <v/>
      </c>
      <c r="M1513" s="1">
        <f>VLOOKUP(B1513,'[1]Срок Годности'!$A$2:$B$4,2,0)</f>
        <v>500</v>
      </c>
      <c r="N1513" s="60">
        <f t="shared" si="164"/>
        <v>0</v>
      </c>
      <c r="O1513" s="1" t="str">
        <f t="shared" si="165"/>
        <v>23 2012</v>
      </c>
      <c r="P1513" s="1">
        <f t="shared" si="166"/>
        <v>23</v>
      </c>
      <c r="Q1513" s="1">
        <f t="shared" ca="1" si="167"/>
        <v>4070</v>
      </c>
      <c r="S1513" s="1">
        <f t="shared" si="161"/>
        <v>6</v>
      </c>
    </row>
    <row r="1514" spans="1:19" x14ac:dyDescent="0.2">
      <c r="A1514" s="57" t="s">
        <v>229</v>
      </c>
      <c r="B1514" s="57" t="s">
        <v>225</v>
      </c>
      <c r="C1514" s="57" t="s">
        <v>226</v>
      </c>
      <c r="D1514" s="58">
        <v>317.08</v>
      </c>
      <c r="E1514" s="59">
        <v>41064</v>
      </c>
      <c r="F1514" s="58">
        <v>6</v>
      </c>
      <c r="G1514" s="58">
        <v>3</v>
      </c>
      <c r="H1514" s="58">
        <v>1</v>
      </c>
      <c r="I1514" s="58">
        <v>7</v>
      </c>
      <c r="J1514" s="58">
        <v>0</v>
      </c>
      <c r="K1514" s="1">
        <f t="shared" si="162"/>
        <v>317.08</v>
      </c>
      <c r="L1514" s="1" t="str">
        <f t="shared" si="163"/>
        <v/>
      </c>
      <c r="M1514" s="1">
        <f>VLOOKUP(B1514,'[1]Срок Годности'!$A$2:$B$4,2,0)</f>
        <v>500</v>
      </c>
      <c r="N1514" s="60">
        <f t="shared" si="164"/>
        <v>3</v>
      </c>
      <c r="O1514" s="1" t="str">
        <f t="shared" si="165"/>
        <v>23 2012</v>
      </c>
      <c r="P1514" s="1">
        <f t="shared" si="166"/>
        <v>23</v>
      </c>
      <c r="Q1514" s="1">
        <f t="shared" ca="1" si="167"/>
        <v>4069</v>
      </c>
      <c r="S1514" s="1">
        <f t="shared" si="161"/>
        <v>7</v>
      </c>
    </row>
    <row r="1515" spans="1:19" x14ac:dyDescent="0.2">
      <c r="A1515" s="57" t="s">
        <v>229</v>
      </c>
      <c r="B1515" s="57" t="s">
        <v>225</v>
      </c>
      <c r="C1515" s="57" t="s">
        <v>226</v>
      </c>
      <c r="D1515" s="58">
        <v>317.08</v>
      </c>
      <c r="E1515" s="59">
        <v>41065</v>
      </c>
      <c r="F1515" s="58">
        <v>7</v>
      </c>
      <c r="G1515" s="58">
        <v>0</v>
      </c>
      <c r="H1515" s="58">
        <v>3</v>
      </c>
      <c r="I1515" s="58">
        <v>4</v>
      </c>
      <c r="J1515" s="58">
        <v>0</v>
      </c>
      <c r="K1515" s="1">
        <f t="shared" si="162"/>
        <v>951.24</v>
      </c>
      <c r="L1515" s="1" t="str">
        <f t="shared" si="163"/>
        <v/>
      </c>
      <c r="M1515" s="1">
        <f>VLOOKUP(B1515,'[1]Срок Годности'!$A$2:$B$4,2,0)</f>
        <v>500</v>
      </c>
      <c r="N1515" s="60">
        <f t="shared" si="164"/>
        <v>0</v>
      </c>
      <c r="O1515" s="1" t="str">
        <f t="shared" si="165"/>
        <v>23 2012</v>
      </c>
      <c r="P1515" s="1">
        <f t="shared" si="166"/>
        <v>23</v>
      </c>
      <c r="Q1515" s="1">
        <f t="shared" ca="1" si="167"/>
        <v>4068</v>
      </c>
      <c r="S1515" s="1">
        <f t="shared" si="161"/>
        <v>4</v>
      </c>
    </row>
    <row r="1516" spans="1:19" x14ac:dyDescent="0.2">
      <c r="A1516" s="57" t="s">
        <v>229</v>
      </c>
      <c r="B1516" s="57" t="s">
        <v>225</v>
      </c>
      <c r="C1516" s="57" t="s">
        <v>226</v>
      </c>
      <c r="D1516" s="58">
        <v>317.08</v>
      </c>
      <c r="E1516" s="59">
        <v>41066</v>
      </c>
      <c r="F1516" s="58">
        <v>4</v>
      </c>
      <c r="G1516" s="58">
        <v>0</v>
      </c>
      <c r="H1516" s="58">
        <v>1</v>
      </c>
      <c r="I1516" s="58">
        <v>3</v>
      </c>
      <c r="J1516" s="58">
        <v>0</v>
      </c>
      <c r="K1516" s="1">
        <f t="shared" si="162"/>
        <v>317.08</v>
      </c>
      <c r="L1516" s="1" t="str">
        <f t="shared" si="163"/>
        <v/>
      </c>
      <c r="M1516" s="1">
        <f>VLOOKUP(B1516,'[1]Срок Годности'!$A$2:$B$4,2,0)</f>
        <v>500</v>
      </c>
      <c r="N1516" s="60">
        <f t="shared" si="164"/>
        <v>0</v>
      </c>
      <c r="O1516" s="1" t="str">
        <f t="shared" si="165"/>
        <v>23 2012</v>
      </c>
      <c r="P1516" s="1">
        <f t="shared" si="166"/>
        <v>23</v>
      </c>
      <c r="Q1516" s="1">
        <f t="shared" ca="1" si="167"/>
        <v>4067</v>
      </c>
      <c r="S1516" s="1">
        <f t="shared" si="161"/>
        <v>3</v>
      </c>
    </row>
    <row r="1517" spans="1:19" x14ac:dyDescent="0.2">
      <c r="A1517" s="57" t="s">
        <v>229</v>
      </c>
      <c r="B1517" s="57" t="s">
        <v>225</v>
      </c>
      <c r="C1517" s="57" t="s">
        <v>226</v>
      </c>
      <c r="D1517" s="58">
        <v>317.08</v>
      </c>
      <c r="E1517" s="59">
        <v>41067</v>
      </c>
      <c r="F1517" s="58">
        <v>3</v>
      </c>
      <c r="G1517" s="58">
        <v>0</v>
      </c>
      <c r="H1517" s="58">
        <v>0</v>
      </c>
      <c r="I1517" s="58">
        <v>3</v>
      </c>
      <c r="J1517" s="58">
        <v>0</v>
      </c>
      <c r="K1517" s="1">
        <f t="shared" si="162"/>
        <v>0</v>
      </c>
      <c r="L1517" s="1" t="str">
        <f t="shared" si="163"/>
        <v/>
      </c>
      <c r="M1517" s="1">
        <f>VLOOKUP(B1517,'[1]Срок Годности'!$A$2:$B$4,2,0)</f>
        <v>500</v>
      </c>
      <c r="N1517" s="60">
        <f t="shared" si="164"/>
        <v>0</v>
      </c>
      <c r="O1517" s="1" t="str">
        <f t="shared" si="165"/>
        <v>23 2012</v>
      </c>
      <c r="P1517" s="1">
        <f t="shared" si="166"/>
        <v>23</v>
      </c>
      <c r="Q1517" s="1">
        <f t="shared" ca="1" si="167"/>
        <v>4066</v>
      </c>
      <c r="S1517" s="1">
        <f t="shared" si="161"/>
        <v>3</v>
      </c>
    </row>
    <row r="1518" spans="1:19" x14ac:dyDescent="0.2">
      <c r="A1518" s="57" t="s">
        <v>229</v>
      </c>
      <c r="B1518" s="57" t="s">
        <v>225</v>
      </c>
      <c r="C1518" s="57" t="s">
        <v>226</v>
      </c>
      <c r="D1518" s="58">
        <v>317.08</v>
      </c>
      <c r="E1518" s="59">
        <v>41068</v>
      </c>
      <c r="F1518" s="58">
        <v>3</v>
      </c>
      <c r="G1518" s="58">
        <v>0</v>
      </c>
      <c r="H1518" s="58">
        <v>0</v>
      </c>
      <c r="I1518" s="58">
        <v>3</v>
      </c>
      <c r="J1518" s="58">
        <v>0</v>
      </c>
      <c r="K1518" s="1">
        <f t="shared" si="162"/>
        <v>0</v>
      </c>
      <c r="L1518" s="1" t="str">
        <f t="shared" si="163"/>
        <v/>
      </c>
      <c r="M1518" s="1">
        <f>VLOOKUP(B1518,'[1]Срок Годности'!$A$2:$B$4,2,0)</f>
        <v>500</v>
      </c>
      <c r="N1518" s="60">
        <f t="shared" si="164"/>
        <v>0</v>
      </c>
      <c r="O1518" s="1" t="str">
        <f t="shared" si="165"/>
        <v>23 2012</v>
      </c>
      <c r="P1518" s="1">
        <f t="shared" si="166"/>
        <v>23</v>
      </c>
      <c r="Q1518" s="1">
        <f t="shared" ca="1" si="167"/>
        <v>4065</v>
      </c>
      <c r="S1518" s="1">
        <f t="shared" si="161"/>
        <v>3</v>
      </c>
    </row>
    <row r="1519" spans="1:19" x14ac:dyDescent="0.2">
      <c r="A1519" s="57" t="s">
        <v>229</v>
      </c>
      <c r="B1519" s="57" t="s">
        <v>225</v>
      </c>
      <c r="C1519" s="57" t="s">
        <v>226</v>
      </c>
      <c r="D1519" s="58">
        <v>317.08</v>
      </c>
      <c r="E1519" s="59">
        <v>41069</v>
      </c>
      <c r="F1519" s="58">
        <v>3</v>
      </c>
      <c r="G1519" s="58">
        <v>0</v>
      </c>
      <c r="H1519" s="58">
        <v>0</v>
      </c>
      <c r="I1519" s="58">
        <v>3</v>
      </c>
      <c r="J1519" s="58">
        <v>0</v>
      </c>
      <c r="K1519" s="1">
        <f t="shared" si="162"/>
        <v>0</v>
      </c>
      <c r="L1519" s="1" t="str">
        <f t="shared" si="163"/>
        <v/>
      </c>
      <c r="M1519" s="1">
        <f>VLOOKUP(B1519,'[1]Срок Годности'!$A$2:$B$4,2,0)</f>
        <v>500</v>
      </c>
      <c r="N1519" s="60">
        <f t="shared" si="164"/>
        <v>0</v>
      </c>
      <c r="O1519" s="1" t="str">
        <f t="shared" si="165"/>
        <v>23 2012</v>
      </c>
      <c r="P1519" s="1">
        <f t="shared" si="166"/>
        <v>23</v>
      </c>
      <c r="Q1519" s="1">
        <f t="shared" ca="1" si="167"/>
        <v>4064</v>
      </c>
      <c r="S1519" s="1">
        <f t="shared" si="161"/>
        <v>3</v>
      </c>
    </row>
    <row r="1520" spans="1:19" x14ac:dyDescent="0.2">
      <c r="A1520" s="57" t="s">
        <v>229</v>
      </c>
      <c r="B1520" s="57" t="s">
        <v>225</v>
      </c>
      <c r="C1520" s="57" t="s">
        <v>226</v>
      </c>
      <c r="D1520" s="58">
        <v>317.08</v>
      </c>
      <c r="E1520" s="59">
        <v>41070</v>
      </c>
      <c r="F1520" s="58">
        <v>3</v>
      </c>
      <c r="G1520" s="58">
        <v>0</v>
      </c>
      <c r="H1520" s="58">
        <v>0</v>
      </c>
      <c r="I1520" s="58">
        <v>3</v>
      </c>
      <c r="J1520" s="58">
        <v>0</v>
      </c>
      <c r="K1520" s="1">
        <f t="shared" si="162"/>
        <v>0</v>
      </c>
      <c r="L1520" s="1" t="str">
        <f t="shared" si="163"/>
        <v/>
      </c>
      <c r="M1520" s="1">
        <f>VLOOKUP(B1520,'[1]Срок Годности'!$A$2:$B$4,2,0)</f>
        <v>500</v>
      </c>
      <c r="N1520" s="60">
        <f t="shared" si="164"/>
        <v>0</v>
      </c>
      <c r="O1520" s="1" t="str">
        <f t="shared" si="165"/>
        <v>24 2012</v>
      </c>
      <c r="P1520" s="1">
        <f t="shared" si="166"/>
        <v>23</v>
      </c>
      <c r="Q1520" s="1">
        <f t="shared" ca="1" si="167"/>
        <v>4063</v>
      </c>
      <c r="S1520" s="1">
        <f t="shared" si="161"/>
        <v>3</v>
      </c>
    </row>
    <row r="1521" spans="1:19" x14ac:dyDescent="0.2">
      <c r="A1521" s="57" t="s">
        <v>229</v>
      </c>
      <c r="B1521" s="57" t="s">
        <v>225</v>
      </c>
      <c r="C1521" s="57" t="s">
        <v>226</v>
      </c>
      <c r="D1521" s="58">
        <v>317.08</v>
      </c>
      <c r="E1521" s="59">
        <v>41071</v>
      </c>
      <c r="F1521" s="58">
        <v>3</v>
      </c>
      <c r="G1521" s="58">
        <v>3</v>
      </c>
      <c r="H1521" s="58">
        <v>5</v>
      </c>
      <c r="I1521" s="58">
        <v>6</v>
      </c>
      <c r="J1521" s="58">
        <v>0</v>
      </c>
      <c r="K1521" s="1">
        <f t="shared" si="162"/>
        <v>1585.3999999999999</v>
      </c>
      <c r="L1521" s="1" t="str">
        <f t="shared" si="163"/>
        <v/>
      </c>
      <c r="M1521" s="1">
        <f>VLOOKUP(B1521,'[1]Срок Годности'!$A$2:$B$4,2,0)</f>
        <v>500</v>
      </c>
      <c r="N1521" s="60">
        <f t="shared" si="164"/>
        <v>3</v>
      </c>
      <c r="O1521" s="1" t="str">
        <f t="shared" si="165"/>
        <v>24 2012</v>
      </c>
      <c r="P1521" s="1">
        <f t="shared" si="166"/>
        <v>23</v>
      </c>
      <c r="Q1521" s="1">
        <f t="shared" ca="1" si="167"/>
        <v>4062</v>
      </c>
      <c r="S1521" s="1">
        <f t="shared" si="161"/>
        <v>6</v>
      </c>
    </row>
    <row r="1522" spans="1:19" x14ac:dyDescent="0.2">
      <c r="A1522" s="57" t="s">
        <v>229</v>
      </c>
      <c r="B1522" s="57" t="s">
        <v>225</v>
      </c>
      <c r="C1522" s="57" t="s">
        <v>226</v>
      </c>
      <c r="D1522" s="58">
        <v>317.08</v>
      </c>
      <c r="E1522" s="59">
        <v>41072</v>
      </c>
      <c r="F1522" s="58">
        <v>6</v>
      </c>
      <c r="G1522" s="58">
        <v>1309</v>
      </c>
      <c r="H1522" s="58">
        <v>82</v>
      </c>
      <c r="I1522" s="58">
        <v>1232</v>
      </c>
      <c r="J1522" s="58">
        <v>0</v>
      </c>
      <c r="K1522" s="1">
        <f t="shared" si="162"/>
        <v>26000.559999999998</v>
      </c>
      <c r="L1522" s="1" t="str">
        <f t="shared" si="163"/>
        <v/>
      </c>
      <c r="M1522" s="1">
        <f>VLOOKUP(B1522,'[1]Срок Годности'!$A$2:$B$4,2,0)</f>
        <v>500</v>
      </c>
      <c r="N1522" s="60">
        <f t="shared" si="164"/>
        <v>1309</v>
      </c>
      <c r="O1522" s="1" t="str">
        <f t="shared" si="165"/>
        <v>24 2012</v>
      </c>
      <c r="P1522" s="1">
        <f t="shared" si="166"/>
        <v>23</v>
      </c>
      <c r="Q1522" s="1">
        <f t="shared" ca="1" si="167"/>
        <v>4061</v>
      </c>
      <c r="S1522" s="1">
        <f t="shared" si="161"/>
        <v>1232</v>
      </c>
    </row>
    <row r="1523" spans="1:19" x14ac:dyDescent="0.2">
      <c r="A1523" s="57" t="s">
        <v>229</v>
      </c>
      <c r="B1523" s="57" t="s">
        <v>225</v>
      </c>
      <c r="C1523" s="57" t="s">
        <v>226</v>
      </c>
      <c r="D1523" s="58">
        <v>317.08</v>
      </c>
      <c r="E1523" s="59">
        <v>41073</v>
      </c>
      <c r="F1523" s="58">
        <v>1232</v>
      </c>
      <c r="G1523" s="58">
        <v>1455</v>
      </c>
      <c r="H1523" s="58">
        <v>352</v>
      </c>
      <c r="I1523" s="58">
        <v>2333</v>
      </c>
      <c r="J1523" s="58">
        <v>0</v>
      </c>
      <c r="K1523" s="1">
        <f t="shared" si="162"/>
        <v>111612.15999999999</v>
      </c>
      <c r="L1523" s="1" t="str">
        <f t="shared" si="163"/>
        <v/>
      </c>
      <c r="M1523" s="1">
        <f>VLOOKUP(B1523,'[1]Срок Годности'!$A$2:$B$4,2,0)</f>
        <v>500</v>
      </c>
      <c r="N1523" s="60">
        <f t="shared" si="164"/>
        <v>1455</v>
      </c>
      <c r="O1523" s="1" t="str">
        <f t="shared" si="165"/>
        <v>24 2012</v>
      </c>
      <c r="P1523" s="1">
        <f t="shared" si="166"/>
        <v>23</v>
      </c>
      <c r="Q1523" s="1">
        <f t="shared" ca="1" si="167"/>
        <v>4060</v>
      </c>
      <c r="S1523" s="1">
        <f t="shared" si="161"/>
        <v>2333</v>
      </c>
    </row>
    <row r="1524" spans="1:19" x14ac:dyDescent="0.2">
      <c r="A1524" s="57" t="s">
        <v>229</v>
      </c>
      <c r="B1524" s="57" t="s">
        <v>225</v>
      </c>
      <c r="C1524" s="57" t="s">
        <v>226</v>
      </c>
      <c r="D1524" s="58">
        <v>317.08</v>
      </c>
      <c r="E1524" s="59">
        <v>41074</v>
      </c>
      <c r="F1524" s="58">
        <v>2333</v>
      </c>
      <c r="G1524" s="58">
        <v>178</v>
      </c>
      <c r="H1524" s="58">
        <v>430</v>
      </c>
      <c r="I1524" s="58">
        <v>2078</v>
      </c>
      <c r="J1524" s="58">
        <v>0</v>
      </c>
      <c r="K1524" s="1">
        <f t="shared" si="162"/>
        <v>136344.4</v>
      </c>
      <c r="L1524" s="1" t="str">
        <f t="shared" si="163"/>
        <v/>
      </c>
      <c r="M1524" s="1">
        <f>VLOOKUP(B1524,'[1]Срок Годности'!$A$2:$B$4,2,0)</f>
        <v>500</v>
      </c>
      <c r="N1524" s="60">
        <f t="shared" si="164"/>
        <v>178</v>
      </c>
      <c r="O1524" s="1" t="str">
        <f t="shared" si="165"/>
        <v>24 2012</v>
      </c>
      <c r="P1524" s="1">
        <f t="shared" si="166"/>
        <v>23</v>
      </c>
      <c r="Q1524" s="1">
        <f t="shared" ca="1" si="167"/>
        <v>4059</v>
      </c>
      <c r="S1524" s="1">
        <f t="shared" si="161"/>
        <v>2078</v>
      </c>
    </row>
    <row r="1525" spans="1:19" x14ac:dyDescent="0.2">
      <c r="A1525" s="57" t="s">
        <v>229</v>
      </c>
      <c r="B1525" s="57" t="s">
        <v>225</v>
      </c>
      <c r="C1525" s="57" t="s">
        <v>226</v>
      </c>
      <c r="D1525" s="58">
        <v>317.08</v>
      </c>
      <c r="E1525" s="59">
        <v>41075</v>
      </c>
      <c r="F1525" s="58">
        <v>2078</v>
      </c>
      <c r="G1525" s="58">
        <v>242</v>
      </c>
      <c r="H1525" s="58">
        <v>392</v>
      </c>
      <c r="I1525" s="58">
        <v>1928</v>
      </c>
      <c r="J1525" s="58">
        <v>0</v>
      </c>
      <c r="K1525" s="1">
        <f t="shared" si="162"/>
        <v>124295.36</v>
      </c>
      <c r="L1525" s="1" t="str">
        <f t="shared" si="163"/>
        <v/>
      </c>
      <c r="M1525" s="1">
        <f>VLOOKUP(B1525,'[1]Срок Годности'!$A$2:$B$4,2,0)</f>
        <v>500</v>
      </c>
      <c r="N1525" s="60">
        <f t="shared" si="164"/>
        <v>242</v>
      </c>
      <c r="O1525" s="1" t="str">
        <f t="shared" si="165"/>
        <v>24 2012</v>
      </c>
      <c r="P1525" s="1">
        <f t="shared" si="166"/>
        <v>23</v>
      </c>
      <c r="Q1525" s="1">
        <f t="shared" ca="1" si="167"/>
        <v>4058</v>
      </c>
      <c r="S1525" s="1">
        <f t="shared" si="161"/>
        <v>1928</v>
      </c>
    </row>
    <row r="1526" spans="1:19" x14ac:dyDescent="0.2">
      <c r="A1526" s="57" t="s">
        <v>229</v>
      </c>
      <c r="B1526" s="57" t="s">
        <v>225</v>
      </c>
      <c r="C1526" s="57" t="s">
        <v>226</v>
      </c>
      <c r="D1526" s="58">
        <v>317.08</v>
      </c>
      <c r="E1526" s="59">
        <v>41076</v>
      </c>
      <c r="F1526" s="58">
        <v>1928</v>
      </c>
      <c r="G1526" s="58">
        <v>160</v>
      </c>
      <c r="H1526" s="58">
        <v>446</v>
      </c>
      <c r="I1526" s="58">
        <v>1641</v>
      </c>
      <c r="J1526" s="58">
        <v>0</v>
      </c>
      <c r="K1526" s="1">
        <f t="shared" si="162"/>
        <v>141417.68</v>
      </c>
      <c r="L1526" s="1" t="str">
        <f t="shared" si="163"/>
        <v/>
      </c>
      <c r="M1526" s="1">
        <f>VLOOKUP(B1526,'[1]Срок Годности'!$A$2:$B$4,2,0)</f>
        <v>500</v>
      </c>
      <c r="N1526" s="60">
        <f t="shared" si="164"/>
        <v>160</v>
      </c>
      <c r="O1526" s="1" t="str">
        <f t="shared" si="165"/>
        <v>24 2012</v>
      </c>
      <c r="P1526" s="1">
        <f t="shared" si="166"/>
        <v>23</v>
      </c>
      <c r="Q1526" s="1">
        <f t="shared" ca="1" si="167"/>
        <v>4057</v>
      </c>
      <c r="S1526" s="1">
        <f t="shared" si="161"/>
        <v>1641</v>
      </c>
    </row>
    <row r="1527" spans="1:19" x14ac:dyDescent="0.2">
      <c r="A1527" s="57" t="s">
        <v>229</v>
      </c>
      <c r="B1527" s="57" t="s">
        <v>225</v>
      </c>
      <c r="C1527" s="57" t="s">
        <v>226</v>
      </c>
      <c r="D1527" s="58">
        <v>317.08</v>
      </c>
      <c r="E1527" s="59">
        <v>41077</v>
      </c>
      <c r="F1527" s="58">
        <v>1641</v>
      </c>
      <c r="G1527" s="58">
        <v>173</v>
      </c>
      <c r="H1527" s="58">
        <v>427</v>
      </c>
      <c r="I1527" s="58">
        <v>1382</v>
      </c>
      <c r="J1527" s="58">
        <v>0</v>
      </c>
      <c r="K1527" s="1">
        <f t="shared" si="162"/>
        <v>135393.16</v>
      </c>
      <c r="L1527" s="1" t="str">
        <f t="shared" si="163"/>
        <v/>
      </c>
      <c r="M1527" s="1">
        <f>VLOOKUP(B1527,'[1]Срок Годности'!$A$2:$B$4,2,0)</f>
        <v>500</v>
      </c>
      <c r="N1527" s="60">
        <f t="shared" si="164"/>
        <v>0</v>
      </c>
      <c r="O1527" s="1" t="str">
        <f t="shared" si="165"/>
        <v>25 2012</v>
      </c>
      <c r="P1527" s="1">
        <f t="shared" si="166"/>
        <v>23</v>
      </c>
      <c r="Q1527" s="1">
        <f t="shared" ca="1" si="167"/>
        <v>4056</v>
      </c>
      <c r="S1527" s="1">
        <f t="shared" si="161"/>
        <v>1382</v>
      </c>
    </row>
    <row r="1528" spans="1:19" x14ac:dyDescent="0.2">
      <c r="A1528" s="57" t="s">
        <v>229</v>
      </c>
      <c r="B1528" s="57" t="s">
        <v>225</v>
      </c>
      <c r="C1528" s="57" t="s">
        <v>226</v>
      </c>
      <c r="D1528" s="58">
        <v>317.08</v>
      </c>
      <c r="E1528" s="59">
        <v>41078</v>
      </c>
      <c r="F1528" s="58">
        <v>1382</v>
      </c>
      <c r="G1528" s="58">
        <v>274</v>
      </c>
      <c r="H1528" s="58">
        <v>326</v>
      </c>
      <c r="I1528" s="58">
        <v>1329</v>
      </c>
      <c r="J1528" s="58">
        <v>0</v>
      </c>
      <c r="K1528" s="1">
        <f t="shared" si="162"/>
        <v>103368.08</v>
      </c>
      <c r="L1528" s="1" t="str">
        <f t="shared" si="163"/>
        <v/>
      </c>
      <c r="M1528" s="1">
        <f>VLOOKUP(B1528,'[1]Срок Годности'!$A$2:$B$4,2,0)</f>
        <v>500</v>
      </c>
      <c r="N1528" s="60">
        <f t="shared" si="164"/>
        <v>274</v>
      </c>
      <c r="O1528" s="1" t="str">
        <f t="shared" si="165"/>
        <v>25 2012</v>
      </c>
      <c r="P1528" s="1">
        <f t="shared" si="166"/>
        <v>23</v>
      </c>
      <c r="Q1528" s="1">
        <f t="shared" ca="1" si="167"/>
        <v>4055</v>
      </c>
      <c r="S1528" s="1">
        <f t="shared" si="161"/>
        <v>1329</v>
      </c>
    </row>
    <row r="1529" spans="1:19" x14ac:dyDescent="0.2">
      <c r="A1529" s="57" t="s">
        <v>229</v>
      </c>
      <c r="B1529" s="57" t="s">
        <v>225</v>
      </c>
      <c r="C1529" s="57" t="s">
        <v>226</v>
      </c>
      <c r="D1529" s="58">
        <v>317.08</v>
      </c>
      <c r="E1529" s="59">
        <v>41079</v>
      </c>
      <c r="F1529" s="58">
        <v>1329</v>
      </c>
      <c r="G1529" s="58">
        <v>419</v>
      </c>
      <c r="H1529" s="58">
        <v>391</v>
      </c>
      <c r="I1529" s="58">
        <v>1356</v>
      </c>
      <c r="J1529" s="58">
        <v>0</v>
      </c>
      <c r="K1529" s="1">
        <f t="shared" si="162"/>
        <v>123978.28</v>
      </c>
      <c r="L1529" s="1" t="str">
        <f t="shared" si="163"/>
        <v/>
      </c>
      <c r="M1529" s="1">
        <f>VLOOKUP(B1529,'[1]Срок Годности'!$A$2:$B$4,2,0)</f>
        <v>500</v>
      </c>
      <c r="N1529" s="60">
        <f t="shared" si="164"/>
        <v>419</v>
      </c>
      <c r="O1529" s="1" t="str">
        <f t="shared" si="165"/>
        <v>25 2012</v>
      </c>
      <c r="P1529" s="1">
        <f t="shared" si="166"/>
        <v>23</v>
      </c>
      <c r="Q1529" s="1">
        <f t="shared" ca="1" si="167"/>
        <v>4054</v>
      </c>
      <c r="S1529" s="1">
        <f t="shared" si="161"/>
        <v>1356</v>
      </c>
    </row>
    <row r="1530" spans="1:19" x14ac:dyDescent="0.2">
      <c r="A1530" s="57" t="s">
        <v>229</v>
      </c>
      <c r="B1530" s="57" t="s">
        <v>225</v>
      </c>
      <c r="C1530" s="57" t="s">
        <v>226</v>
      </c>
      <c r="D1530" s="58">
        <v>317.08</v>
      </c>
      <c r="E1530" s="59">
        <v>41080</v>
      </c>
      <c r="F1530" s="58">
        <v>1356</v>
      </c>
      <c r="G1530" s="58">
        <v>252</v>
      </c>
      <c r="H1530" s="58">
        <v>385</v>
      </c>
      <c r="I1530" s="58">
        <v>1220</v>
      </c>
      <c r="J1530" s="58">
        <v>0</v>
      </c>
      <c r="K1530" s="1">
        <f t="shared" si="162"/>
        <v>122075.79999999999</v>
      </c>
      <c r="L1530" s="1" t="str">
        <f t="shared" si="163"/>
        <v/>
      </c>
      <c r="M1530" s="1">
        <f>VLOOKUP(B1530,'[1]Срок Годности'!$A$2:$B$4,2,0)</f>
        <v>500</v>
      </c>
      <c r="N1530" s="60">
        <f t="shared" si="164"/>
        <v>252</v>
      </c>
      <c r="O1530" s="1" t="str">
        <f t="shared" si="165"/>
        <v>25 2012</v>
      </c>
      <c r="P1530" s="1">
        <f t="shared" si="166"/>
        <v>23</v>
      </c>
      <c r="Q1530" s="1">
        <f t="shared" ca="1" si="167"/>
        <v>4053</v>
      </c>
      <c r="S1530" s="1">
        <f t="shared" si="161"/>
        <v>1220</v>
      </c>
    </row>
    <row r="1531" spans="1:19" x14ac:dyDescent="0.2">
      <c r="A1531" s="57" t="s">
        <v>229</v>
      </c>
      <c r="B1531" s="57" t="s">
        <v>225</v>
      </c>
      <c r="C1531" s="57" t="s">
        <v>226</v>
      </c>
      <c r="D1531" s="58">
        <v>317.08</v>
      </c>
      <c r="E1531" s="59">
        <v>41081</v>
      </c>
      <c r="F1531" s="58">
        <v>1220</v>
      </c>
      <c r="G1531" s="58">
        <v>400</v>
      </c>
      <c r="H1531" s="58">
        <v>359</v>
      </c>
      <c r="I1531" s="58">
        <v>1253</v>
      </c>
      <c r="J1531" s="58">
        <v>0</v>
      </c>
      <c r="K1531" s="1">
        <f t="shared" si="162"/>
        <v>113831.72</v>
      </c>
      <c r="L1531" s="1" t="str">
        <f t="shared" si="163"/>
        <v/>
      </c>
      <c r="M1531" s="1">
        <f>VLOOKUP(B1531,'[1]Срок Годности'!$A$2:$B$4,2,0)</f>
        <v>500</v>
      </c>
      <c r="N1531" s="60">
        <f t="shared" si="164"/>
        <v>400</v>
      </c>
      <c r="O1531" s="1" t="str">
        <f t="shared" si="165"/>
        <v>25 2012</v>
      </c>
      <c r="P1531" s="1">
        <f t="shared" si="166"/>
        <v>23</v>
      </c>
      <c r="Q1531" s="1">
        <f t="shared" ca="1" si="167"/>
        <v>4052</v>
      </c>
      <c r="S1531" s="1">
        <f t="shared" si="161"/>
        <v>1253</v>
      </c>
    </row>
    <row r="1532" spans="1:19" x14ac:dyDescent="0.2">
      <c r="A1532" s="57" t="s">
        <v>229</v>
      </c>
      <c r="B1532" s="57" t="s">
        <v>225</v>
      </c>
      <c r="C1532" s="57" t="s">
        <v>226</v>
      </c>
      <c r="D1532" s="58">
        <v>317.08</v>
      </c>
      <c r="E1532" s="59">
        <v>41082</v>
      </c>
      <c r="F1532" s="58">
        <v>1253</v>
      </c>
      <c r="G1532" s="58">
        <v>356</v>
      </c>
      <c r="H1532" s="58">
        <v>337</v>
      </c>
      <c r="I1532" s="58">
        <v>1270</v>
      </c>
      <c r="J1532" s="58">
        <v>0</v>
      </c>
      <c r="K1532" s="1">
        <f t="shared" si="162"/>
        <v>106855.95999999999</v>
      </c>
      <c r="L1532" s="1" t="str">
        <f t="shared" si="163"/>
        <v/>
      </c>
      <c r="M1532" s="1">
        <f>VLOOKUP(B1532,'[1]Срок Годности'!$A$2:$B$4,2,0)</f>
        <v>500</v>
      </c>
      <c r="N1532" s="60">
        <f t="shared" si="164"/>
        <v>356</v>
      </c>
      <c r="O1532" s="1" t="str">
        <f t="shared" si="165"/>
        <v>25 2012</v>
      </c>
      <c r="P1532" s="1">
        <f t="shared" si="166"/>
        <v>23</v>
      </c>
      <c r="Q1532" s="1">
        <f t="shared" ca="1" si="167"/>
        <v>4051</v>
      </c>
      <c r="S1532" s="1">
        <f t="shared" si="161"/>
        <v>1270</v>
      </c>
    </row>
    <row r="1533" spans="1:19" x14ac:dyDescent="0.2">
      <c r="A1533" s="57" t="s">
        <v>229</v>
      </c>
      <c r="B1533" s="57" t="s">
        <v>225</v>
      </c>
      <c r="C1533" s="57" t="s">
        <v>226</v>
      </c>
      <c r="D1533" s="58">
        <v>317.08</v>
      </c>
      <c r="E1533" s="59">
        <v>41083</v>
      </c>
      <c r="F1533" s="58">
        <v>1270</v>
      </c>
      <c r="G1533" s="58">
        <v>516</v>
      </c>
      <c r="H1533" s="58">
        <v>367</v>
      </c>
      <c r="I1533" s="58">
        <v>1419</v>
      </c>
      <c r="J1533" s="58">
        <v>0</v>
      </c>
      <c r="K1533" s="1">
        <f t="shared" si="162"/>
        <v>116368.36</v>
      </c>
      <c r="L1533" s="1" t="str">
        <f t="shared" si="163"/>
        <v/>
      </c>
      <c r="M1533" s="1">
        <f>VLOOKUP(B1533,'[1]Срок Годности'!$A$2:$B$4,2,0)</f>
        <v>500</v>
      </c>
      <c r="N1533" s="60">
        <f t="shared" si="164"/>
        <v>516</v>
      </c>
      <c r="O1533" s="1" t="str">
        <f t="shared" si="165"/>
        <v>25 2012</v>
      </c>
      <c r="P1533" s="1">
        <f t="shared" si="166"/>
        <v>23</v>
      </c>
      <c r="Q1533" s="1">
        <f t="shared" ca="1" si="167"/>
        <v>4050</v>
      </c>
      <c r="S1533" s="1">
        <f t="shared" si="161"/>
        <v>1419</v>
      </c>
    </row>
    <row r="1534" spans="1:19" x14ac:dyDescent="0.2">
      <c r="A1534" s="57" t="s">
        <v>229</v>
      </c>
      <c r="B1534" s="57" t="s">
        <v>225</v>
      </c>
      <c r="C1534" s="57" t="s">
        <v>226</v>
      </c>
      <c r="D1534" s="58">
        <v>317.08</v>
      </c>
      <c r="E1534" s="59">
        <v>41084</v>
      </c>
      <c r="F1534" s="58">
        <v>1419</v>
      </c>
      <c r="G1534" s="58">
        <v>336</v>
      </c>
      <c r="H1534" s="58">
        <v>363</v>
      </c>
      <c r="I1534" s="58">
        <v>1386</v>
      </c>
      <c r="J1534" s="58">
        <v>0</v>
      </c>
      <c r="K1534" s="1">
        <f t="shared" si="162"/>
        <v>115100.04</v>
      </c>
      <c r="L1534" s="1" t="str">
        <f t="shared" si="163"/>
        <v/>
      </c>
      <c r="M1534" s="1">
        <f>VLOOKUP(B1534,'[1]Срок Годности'!$A$2:$B$4,2,0)</f>
        <v>500</v>
      </c>
      <c r="N1534" s="60">
        <f t="shared" si="164"/>
        <v>0</v>
      </c>
      <c r="O1534" s="1" t="str">
        <f t="shared" si="165"/>
        <v>26 2012</v>
      </c>
      <c r="P1534" s="1">
        <f t="shared" si="166"/>
        <v>23</v>
      </c>
      <c r="Q1534" s="1">
        <f t="shared" ca="1" si="167"/>
        <v>4049</v>
      </c>
      <c r="S1534" s="1">
        <f t="shared" si="161"/>
        <v>1386</v>
      </c>
    </row>
    <row r="1535" spans="1:19" x14ac:dyDescent="0.2">
      <c r="A1535" s="57" t="s">
        <v>229</v>
      </c>
      <c r="B1535" s="57" t="s">
        <v>225</v>
      </c>
      <c r="C1535" s="57" t="s">
        <v>226</v>
      </c>
      <c r="D1535" s="58">
        <v>317.08</v>
      </c>
      <c r="E1535" s="59">
        <v>41085</v>
      </c>
      <c r="F1535" s="58">
        <v>1386</v>
      </c>
      <c r="G1535" s="58">
        <v>355</v>
      </c>
      <c r="H1535" s="58">
        <v>321</v>
      </c>
      <c r="I1535" s="58">
        <v>1418</v>
      </c>
      <c r="J1535" s="58">
        <v>0</v>
      </c>
      <c r="K1535" s="1">
        <f t="shared" si="162"/>
        <v>101782.68</v>
      </c>
      <c r="L1535" s="1" t="str">
        <f t="shared" si="163"/>
        <v/>
      </c>
      <c r="M1535" s="1">
        <f>VLOOKUP(B1535,'[1]Срок Годности'!$A$2:$B$4,2,0)</f>
        <v>500</v>
      </c>
      <c r="N1535" s="60">
        <f t="shared" si="164"/>
        <v>355</v>
      </c>
      <c r="O1535" s="1" t="str">
        <f t="shared" si="165"/>
        <v>26 2012</v>
      </c>
      <c r="P1535" s="1">
        <f t="shared" si="166"/>
        <v>23</v>
      </c>
      <c r="Q1535" s="1">
        <f t="shared" ca="1" si="167"/>
        <v>4048</v>
      </c>
      <c r="S1535" s="1">
        <f t="shared" si="161"/>
        <v>1418</v>
      </c>
    </row>
    <row r="1536" spans="1:19" x14ac:dyDescent="0.2">
      <c r="A1536" s="57" t="s">
        <v>229</v>
      </c>
      <c r="B1536" s="57" t="s">
        <v>225</v>
      </c>
      <c r="C1536" s="57" t="s">
        <v>226</v>
      </c>
      <c r="D1536" s="58">
        <v>317.08</v>
      </c>
      <c r="E1536" s="59">
        <v>41086</v>
      </c>
      <c r="F1536" s="58">
        <v>1418</v>
      </c>
      <c r="G1536" s="58">
        <v>442</v>
      </c>
      <c r="H1536" s="58">
        <v>305</v>
      </c>
      <c r="I1536" s="58">
        <v>1552</v>
      </c>
      <c r="J1536" s="58">
        <v>0</v>
      </c>
      <c r="K1536" s="1">
        <f t="shared" si="162"/>
        <v>96709.4</v>
      </c>
      <c r="L1536" s="1" t="str">
        <f t="shared" si="163"/>
        <v/>
      </c>
      <c r="M1536" s="1">
        <f>VLOOKUP(B1536,'[1]Срок Годности'!$A$2:$B$4,2,0)</f>
        <v>500</v>
      </c>
      <c r="N1536" s="60">
        <f t="shared" si="164"/>
        <v>442</v>
      </c>
      <c r="O1536" s="1" t="str">
        <f t="shared" si="165"/>
        <v>26 2012</v>
      </c>
      <c r="P1536" s="1">
        <f t="shared" si="166"/>
        <v>23</v>
      </c>
      <c r="Q1536" s="1">
        <f t="shared" ca="1" si="167"/>
        <v>4047</v>
      </c>
      <c r="S1536" s="1">
        <f t="shared" si="161"/>
        <v>1552</v>
      </c>
    </row>
    <row r="1537" spans="1:19" x14ac:dyDescent="0.2">
      <c r="A1537" s="57" t="s">
        <v>229</v>
      </c>
      <c r="B1537" s="57" t="s">
        <v>225</v>
      </c>
      <c r="C1537" s="57" t="s">
        <v>226</v>
      </c>
      <c r="D1537" s="58">
        <v>317.08</v>
      </c>
      <c r="E1537" s="59">
        <v>41087</v>
      </c>
      <c r="F1537" s="58">
        <v>1552</v>
      </c>
      <c r="G1537" s="58">
        <v>387</v>
      </c>
      <c r="H1537" s="58">
        <v>370</v>
      </c>
      <c r="I1537" s="58">
        <v>1567</v>
      </c>
      <c r="J1537" s="58">
        <v>0</v>
      </c>
      <c r="K1537" s="1">
        <f t="shared" si="162"/>
        <v>117319.59999999999</v>
      </c>
      <c r="L1537" s="1" t="str">
        <f t="shared" si="163"/>
        <v/>
      </c>
      <c r="M1537" s="1">
        <f>VLOOKUP(B1537,'[1]Срок Годности'!$A$2:$B$4,2,0)</f>
        <v>500</v>
      </c>
      <c r="N1537" s="60">
        <f t="shared" si="164"/>
        <v>387</v>
      </c>
      <c r="O1537" s="1" t="str">
        <f t="shared" si="165"/>
        <v>26 2012</v>
      </c>
      <c r="P1537" s="1">
        <f t="shared" si="166"/>
        <v>23</v>
      </c>
      <c r="Q1537" s="1">
        <f t="shared" ca="1" si="167"/>
        <v>4046</v>
      </c>
      <c r="S1537" s="1">
        <f t="shared" si="161"/>
        <v>1567</v>
      </c>
    </row>
    <row r="1538" spans="1:19" x14ac:dyDescent="0.2">
      <c r="A1538" s="57" t="s">
        <v>229</v>
      </c>
      <c r="B1538" s="57" t="s">
        <v>225</v>
      </c>
      <c r="C1538" s="57" t="s">
        <v>226</v>
      </c>
      <c r="D1538" s="58">
        <v>317.08</v>
      </c>
      <c r="E1538" s="59">
        <v>41088</v>
      </c>
      <c r="F1538" s="58">
        <v>1567</v>
      </c>
      <c r="G1538" s="58">
        <v>251</v>
      </c>
      <c r="H1538" s="58">
        <v>394</v>
      </c>
      <c r="I1538" s="58">
        <v>1425</v>
      </c>
      <c r="J1538" s="58">
        <v>0</v>
      </c>
      <c r="K1538" s="1">
        <f t="shared" si="162"/>
        <v>124929.51999999999</v>
      </c>
      <c r="L1538" s="1" t="str">
        <f t="shared" si="163"/>
        <v/>
      </c>
      <c r="M1538" s="1">
        <f>VLOOKUP(B1538,'[1]Срок Годности'!$A$2:$B$4,2,0)</f>
        <v>500</v>
      </c>
      <c r="N1538" s="60">
        <f t="shared" si="164"/>
        <v>251</v>
      </c>
      <c r="O1538" s="1" t="str">
        <f t="shared" si="165"/>
        <v>26 2012</v>
      </c>
      <c r="P1538" s="1">
        <f t="shared" si="166"/>
        <v>23</v>
      </c>
      <c r="Q1538" s="1">
        <f t="shared" ca="1" si="167"/>
        <v>4045</v>
      </c>
      <c r="S1538" s="1">
        <f t="shared" si="161"/>
        <v>1425</v>
      </c>
    </row>
    <row r="1539" spans="1:19" x14ac:dyDescent="0.2">
      <c r="A1539" s="57" t="s">
        <v>229</v>
      </c>
      <c r="B1539" s="57" t="s">
        <v>225</v>
      </c>
      <c r="C1539" s="57" t="s">
        <v>226</v>
      </c>
      <c r="D1539" s="58">
        <v>317.08</v>
      </c>
      <c r="E1539" s="59">
        <v>41089</v>
      </c>
      <c r="F1539" s="58">
        <v>1425</v>
      </c>
      <c r="G1539" s="58">
        <v>230</v>
      </c>
      <c r="H1539" s="58">
        <v>317</v>
      </c>
      <c r="I1539" s="58">
        <v>1337</v>
      </c>
      <c r="J1539" s="58">
        <v>0</v>
      </c>
      <c r="K1539" s="1">
        <f t="shared" si="162"/>
        <v>100514.36</v>
      </c>
      <c r="L1539" s="1" t="str">
        <f t="shared" si="163"/>
        <v/>
      </c>
      <c r="M1539" s="1">
        <f>VLOOKUP(B1539,'[1]Срок Годности'!$A$2:$B$4,2,0)</f>
        <v>500</v>
      </c>
      <c r="N1539" s="60">
        <f t="shared" si="164"/>
        <v>230</v>
      </c>
      <c r="O1539" s="1" t="str">
        <f t="shared" si="165"/>
        <v>26 2012</v>
      </c>
      <c r="P1539" s="1">
        <f t="shared" si="166"/>
        <v>23</v>
      </c>
      <c r="Q1539" s="1">
        <f t="shared" ca="1" si="167"/>
        <v>4044</v>
      </c>
      <c r="S1539" s="1">
        <f t="shared" si="161"/>
        <v>1337</v>
      </c>
    </row>
    <row r="1540" spans="1:19" x14ac:dyDescent="0.2">
      <c r="A1540" s="57" t="s">
        <v>229</v>
      </c>
      <c r="B1540" s="57" t="s">
        <v>225</v>
      </c>
      <c r="C1540" s="57" t="s">
        <v>226</v>
      </c>
      <c r="D1540" s="58">
        <v>317.08</v>
      </c>
      <c r="E1540" s="59">
        <v>41090</v>
      </c>
      <c r="F1540" s="58">
        <v>1337</v>
      </c>
      <c r="G1540" s="58">
        <v>359</v>
      </c>
      <c r="H1540" s="58">
        <v>439</v>
      </c>
      <c r="I1540" s="58">
        <v>1245</v>
      </c>
      <c r="J1540" s="58">
        <v>0</v>
      </c>
      <c r="K1540" s="1">
        <f t="shared" si="162"/>
        <v>139198.12</v>
      </c>
      <c r="L1540" s="1" t="str">
        <f t="shared" si="163"/>
        <v/>
      </c>
      <c r="M1540" s="1">
        <f>VLOOKUP(B1540,'[1]Срок Годности'!$A$2:$B$4,2,0)</f>
        <v>500</v>
      </c>
      <c r="N1540" s="60">
        <f t="shared" si="164"/>
        <v>359</v>
      </c>
      <c r="O1540" s="1" t="str">
        <f t="shared" si="165"/>
        <v>26 2012</v>
      </c>
      <c r="P1540" s="1">
        <f t="shared" si="166"/>
        <v>23</v>
      </c>
      <c r="Q1540" s="1">
        <f t="shared" ca="1" si="167"/>
        <v>4043</v>
      </c>
      <c r="S1540" s="1">
        <f t="shared" si="161"/>
        <v>1245</v>
      </c>
    </row>
    <row r="1541" spans="1:19" x14ac:dyDescent="0.2">
      <c r="A1541" s="57" t="s">
        <v>229</v>
      </c>
      <c r="B1541" s="57" t="s">
        <v>225</v>
      </c>
      <c r="C1541" s="57" t="s">
        <v>226</v>
      </c>
      <c r="D1541" s="58">
        <v>317.08</v>
      </c>
      <c r="E1541" s="59">
        <v>41091</v>
      </c>
      <c r="F1541" s="58">
        <v>1245</v>
      </c>
      <c r="G1541" s="58">
        <v>375</v>
      </c>
      <c r="H1541" s="58">
        <v>362</v>
      </c>
      <c r="I1541" s="58">
        <v>1258</v>
      </c>
      <c r="J1541" s="58">
        <v>0</v>
      </c>
      <c r="K1541" s="1">
        <f t="shared" si="162"/>
        <v>114782.95999999999</v>
      </c>
      <c r="L1541" s="1" t="str">
        <f t="shared" si="163"/>
        <v/>
      </c>
      <c r="M1541" s="1">
        <f>VLOOKUP(B1541,'[1]Срок Годности'!$A$2:$B$4,2,0)</f>
        <v>500</v>
      </c>
      <c r="N1541" s="60">
        <f t="shared" si="164"/>
        <v>0</v>
      </c>
      <c r="O1541" s="1" t="str">
        <f t="shared" si="165"/>
        <v>27 2012</v>
      </c>
      <c r="P1541" s="1">
        <f t="shared" si="166"/>
        <v>23</v>
      </c>
      <c r="Q1541" s="1">
        <f t="shared" ca="1" si="167"/>
        <v>4042</v>
      </c>
      <c r="S1541" s="1">
        <f t="shared" si="161"/>
        <v>1258</v>
      </c>
    </row>
    <row r="1542" spans="1:19" x14ac:dyDescent="0.2">
      <c r="A1542" s="57" t="s">
        <v>229</v>
      </c>
      <c r="B1542" s="57" t="s">
        <v>225</v>
      </c>
      <c r="C1542" s="57" t="s">
        <v>226</v>
      </c>
      <c r="D1542" s="58">
        <v>317.08</v>
      </c>
      <c r="E1542" s="59">
        <v>41092</v>
      </c>
      <c r="F1542" s="58">
        <v>1258</v>
      </c>
      <c r="G1542" s="58">
        <v>326</v>
      </c>
      <c r="H1542" s="58">
        <v>350</v>
      </c>
      <c r="I1542" s="58">
        <v>1226</v>
      </c>
      <c r="J1542" s="58">
        <v>0</v>
      </c>
      <c r="K1542" s="1">
        <f t="shared" si="162"/>
        <v>110978</v>
      </c>
      <c r="L1542" s="1" t="str">
        <f t="shared" si="163"/>
        <v/>
      </c>
      <c r="M1542" s="1">
        <f>VLOOKUP(B1542,'[1]Срок Годности'!$A$2:$B$4,2,0)</f>
        <v>500</v>
      </c>
      <c r="N1542" s="60">
        <f t="shared" si="164"/>
        <v>326</v>
      </c>
      <c r="O1542" s="1" t="str">
        <f t="shared" si="165"/>
        <v>27 2012</v>
      </c>
      <c r="P1542" s="1">
        <f t="shared" si="166"/>
        <v>23</v>
      </c>
      <c r="Q1542" s="1">
        <f t="shared" ca="1" si="167"/>
        <v>4041</v>
      </c>
      <c r="S1542" s="1">
        <f t="shared" si="161"/>
        <v>1226</v>
      </c>
    </row>
    <row r="1543" spans="1:19" x14ac:dyDescent="0.2">
      <c r="A1543" s="57" t="s">
        <v>229</v>
      </c>
      <c r="B1543" s="57" t="s">
        <v>225</v>
      </c>
      <c r="C1543" s="57" t="s">
        <v>226</v>
      </c>
      <c r="D1543" s="58">
        <v>317.08</v>
      </c>
      <c r="E1543" s="59">
        <v>41093</v>
      </c>
      <c r="F1543" s="58">
        <v>1226</v>
      </c>
      <c r="G1543" s="58">
        <v>465</v>
      </c>
      <c r="H1543" s="58">
        <v>388</v>
      </c>
      <c r="I1543" s="58">
        <v>1307</v>
      </c>
      <c r="J1543" s="58">
        <v>0</v>
      </c>
      <c r="K1543" s="1">
        <f t="shared" si="162"/>
        <v>123027.04</v>
      </c>
      <c r="L1543" s="1" t="str">
        <f t="shared" si="163"/>
        <v/>
      </c>
      <c r="M1543" s="1">
        <f>VLOOKUP(B1543,'[1]Срок Годности'!$A$2:$B$4,2,0)</f>
        <v>500</v>
      </c>
      <c r="N1543" s="60">
        <f t="shared" si="164"/>
        <v>465</v>
      </c>
      <c r="O1543" s="1" t="str">
        <f t="shared" si="165"/>
        <v>27 2012</v>
      </c>
      <c r="P1543" s="1">
        <f t="shared" si="166"/>
        <v>23</v>
      </c>
      <c r="Q1543" s="1">
        <f t="shared" ca="1" si="167"/>
        <v>4040</v>
      </c>
      <c r="S1543" s="1">
        <f t="shared" ref="S1543:S1606" si="168">I1543-J1543</f>
        <v>1307</v>
      </c>
    </row>
    <row r="1544" spans="1:19" x14ac:dyDescent="0.2">
      <c r="A1544" s="57" t="s">
        <v>229</v>
      </c>
      <c r="B1544" s="57" t="s">
        <v>225</v>
      </c>
      <c r="C1544" s="57" t="s">
        <v>226</v>
      </c>
      <c r="D1544" s="58">
        <v>317.08</v>
      </c>
      <c r="E1544" s="59">
        <v>41094</v>
      </c>
      <c r="F1544" s="58">
        <v>1307</v>
      </c>
      <c r="G1544" s="58">
        <v>456</v>
      </c>
      <c r="H1544" s="58">
        <v>342</v>
      </c>
      <c r="I1544" s="58">
        <v>1411</v>
      </c>
      <c r="J1544" s="58">
        <v>0</v>
      </c>
      <c r="K1544" s="1">
        <f t="shared" ref="K1544:K1607" si="169">H1544*D1544</f>
        <v>108441.36</v>
      </c>
      <c r="L1544" s="1" t="str">
        <f t="shared" ref="L1544:L1607" si="170">IF(H1544&gt;1000,H1544,"")</f>
        <v/>
      </c>
      <c r="M1544" s="1">
        <f>VLOOKUP(B1544,'[1]Срок Годности'!$A$2:$B$4,2,0)</f>
        <v>500</v>
      </c>
      <c r="N1544" s="60">
        <f t="shared" ref="N1544:N1607" si="171">IF(WEEKDAY(E1544) = 1, 0, G1544)</f>
        <v>456</v>
      </c>
      <c r="O1544" s="1" t="str">
        <f t="shared" ref="O1544:O1607" si="172">WEEKNUM(E1544) &amp; " " &amp; YEAR(E1544)</f>
        <v>27 2012</v>
      </c>
      <c r="P1544" s="1">
        <f t="shared" ref="P1544:P1607" si="173">LEN(C1544)</f>
        <v>23</v>
      </c>
      <c r="Q1544" s="1">
        <f t="shared" ref="Q1544:Q1607" ca="1" si="174">DATEDIF(E1544,NOW(),"D")</f>
        <v>4039</v>
      </c>
      <c r="S1544" s="1">
        <f t="shared" si="168"/>
        <v>1411</v>
      </c>
    </row>
    <row r="1545" spans="1:19" x14ac:dyDescent="0.2">
      <c r="A1545" s="57" t="s">
        <v>229</v>
      </c>
      <c r="B1545" s="57" t="s">
        <v>225</v>
      </c>
      <c r="C1545" s="57" t="s">
        <v>226</v>
      </c>
      <c r="D1545" s="58">
        <v>317.08</v>
      </c>
      <c r="E1545" s="59">
        <v>41095</v>
      </c>
      <c r="F1545" s="58">
        <v>1411</v>
      </c>
      <c r="G1545" s="58">
        <v>484</v>
      </c>
      <c r="H1545" s="58">
        <v>397</v>
      </c>
      <c r="I1545" s="58">
        <v>1496</v>
      </c>
      <c r="J1545" s="58">
        <v>0</v>
      </c>
      <c r="K1545" s="1">
        <f t="shared" si="169"/>
        <v>125880.76</v>
      </c>
      <c r="L1545" s="1" t="str">
        <f t="shared" si="170"/>
        <v/>
      </c>
      <c r="M1545" s="1">
        <f>VLOOKUP(B1545,'[1]Срок Годности'!$A$2:$B$4,2,0)</f>
        <v>500</v>
      </c>
      <c r="N1545" s="60">
        <f t="shared" si="171"/>
        <v>484</v>
      </c>
      <c r="O1545" s="1" t="str">
        <f t="shared" si="172"/>
        <v>27 2012</v>
      </c>
      <c r="P1545" s="1">
        <f t="shared" si="173"/>
        <v>23</v>
      </c>
      <c r="Q1545" s="1">
        <f t="shared" ca="1" si="174"/>
        <v>4038</v>
      </c>
      <c r="S1545" s="1">
        <f t="shared" si="168"/>
        <v>1496</v>
      </c>
    </row>
    <row r="1546" spans="1:19" x14ac:dyDescent="0.2">
      <c r="A1546" s="57" t="s">
        <v>229</v>
      </c>
      <c r="B1546" s="57" t="s">
        <v>225</v>
      </c>
      <c r="C1546" s="57" t="s">
        <v>226</v>
      </c>
      <c r="D1546" s="58">
        <v>317.08</v>
      </c>
      <c r="E1546" s="59">
        <v>41096</v>
      </c>
      <c r="F1546" s="58">
        <v>1496</v>
      </c>
      <c r="G1546" s="58">
        <v>279</v>
      </c>
      <c r="H1546" s="58">
        <v>346</v>
      </c>
      <c r="I1546" s="58">
        <v>1415</v>
      </c>
      <c r="J1546" s="58">
        <v>0</v>
      </c>
      <c r="K1546" s="1">
        <f t="shared" si="169"/>
        <v>109709.68</v>
      </c>
      <c r="L1546" s="1" t="str">
        <f t="shared" si="170"/>
        <v/>
      </c>
      <c r="M1546" s="1">
        <f>VLOOKUP(B1546,'[1]Срок Годности'!$A$2:$B$4,2,0)</f>
        <v>500</v>
      </c>
      <c r="N1546" s="60">
        <f t="shared" si="171"/>
        <v>279</v>
      </c>
      <c r="O1546" s="1" t="str">
        <f t="shared" si="172"/>
        <v>27 2012</v>
      </c>
      <c r="P1546" s="1">
        <f t="shared" si="173"/>
        <v>23</v>
      </c>
      <c r="Q1546" s="1">
        <f t="shared" ca="1" si="174"/>
        <v>4037</v>
      </c>
      <c r="S1546" s="1">
        <f t="shared" si="168"/>
        <v>1415</v>
      </c>
    </row>
    <row r="1547" spans="1:19" x14ac:dyDescent="0.2">
      <c r="A1547" s="57" t="s">
        <v>229</v>
      </c>
      <c r="B1547" s="57" t="s">
        <v>225</v>
      </c>
      <c r="C1547" s="57" t="s">
        <v>226</v>
      </c>
      <c r="D1547" s="58">
        <v>317.08</v>
      </c>
      <c r="E1547" s="59">
        <v>41097</v>
      </c>
      <c r="F1547" s="58">
        <v>1415</v>
      </c>
      <c r="G1547" s="58">
        <v>365</v>
      </c>
      <c r="H1547" s="58">
        <v>401</v>
      </c>
      <c r="I1547" s="58">
        <v>1378</v>
      </c>
      <c r="J1547" s="58">
        <v>0</v>
      </c>
      <c r="K1547" s="1">
        <f t="shared" si="169"/>
        <v>127149.07999999999</v>
      </c>
      <c r="L1547" s="1" t="str">
        <f t="shared" si="170"/>
        <v/>
      </c>
      <c r="M1547" s="1">
        <f>VLOOKUP(B1547,'[1]Срок Годности'!$A$2:$B$4,2,0)</f>
        <v>500</v>
      </c>
      <c r="N1547" s="60">
        <f t="shared" si="171"/>
        <v>365</v>
      </c>
      <c r="O1547" s="1" t="str">
        <f t="shared" si="172"/>
        <v>27 2012</v>
      </c>
      <c r="P1547" s="1">
        <f t="shared" si="173"/>
        <v>23</v>
      </c>
      <c r="Q1547" s="1">
        <f t="shared" ca="1" si="174"/>
        <v>4036</v>
      </c>
      <c r="S1547" s="1">
        <f t="shared" si="168"/>
        <v>1378</v>
      </c>
    </row>
    <row r="1548" spans="1:19" x14ac:dyDescent="0.2">
      <c r="A1548" s="57" t="s">
        <v>229</v>
      </c>
      <c r="B1548" s="57" t="s">
        <v>225</v>
      </c>
      <c r="C1548" s="57" t="s">
        <v>226</v>
      </c>
      <c r="D1548" s="58">
        <v>317.08</v>
      </c>
      <c r="E1548" s="59">
        <v>41098</v>
      </c>
      <c r="F1548" s="58">
        <v>1378</v>
      </c>
      <c r="G1548" s="58">
        <v>367</v>
      </c>
      <c r="H1548" s="58">
        <v>353</v>
      </c>
      <c r="I1548" s="58">
        <v>1391</v>
      </c>
      <c r="J1548" s="58">
        <v>0</v>
      </c>
      <c r="K1548" s="1">
        <f t="shared" si="169"/>
        <v>111929.23999999999</v>
      </c>
      <c r="L1548" s="1" t="str">
        <f t="shared" si="170"/>
        <v/>
      </c>
      <c r="M1548" s="1">
        <f>VLOOKUP(B1548,'[1]Срок Годности'!$A$2:$B$4,2,0)</f>
        <v>500</v>
      </c>
      <c r="N1548" s="60">
        <f t="shared" si="171"/>
        <v>0</v>
      </c>
      <c r="O1548" s="1" t="str">
        <f t="shared" si="172"/>
        <v>28 2012</v>
      </c>
      <c r="P1548" s="1">
        <f t="shared" si="173"/>
        <v>23</v>
      </c>
      <c r="Q1548" s="1">
        <f t="shared" ca="1" si="174"/>
        <v>4035</v>
      </c>
      <c r="S1548" s="1">
        <f t="shared" si="168"/>
        <v>1391</v>
      </c>
    </row>
    <row r="1549" spans="1:19" x14ac:dyDescent="0.2">
      <c r="A1549" s="57" t="s">
        <v>229</v>
      </c>
      <c r="B1549" s="57" t="s">
        <v>225</v>
      </c>
      <c r="C1549" s="57" t="s">
        <v>226</v>
      </c>
      <c r="D1549" s="58">
        <v>317.08</v>
      </c>
      <c r="E1549" s="59">
        <v>41099</v>
      </c>
      <c r="F1549" s="58">
        <v>1391</v>
      </c>
      <c r="G1549" s="58">
        <v>424</v>
      </c>
      <c r="H1549" s="58">
        <v>375</v>
      </c>
      <c r="I1549" s="58">
        <v>1421</v>
      </c>
      <c r="J1549" s="58">
        <v>0</v>
      </c>
      <c r="K1549" s="1">
        <f t="shared" si="169"/>
        <v>118905</v>
      </c>
      <c r="L1549" s="1" t="str">
        <f t="shared" si="170"/>
        <v/>
      </c>
      <c r="M1549" s="1">
        <f>VLOOKUP(B1549,'[1]Срок Годности'!$A$2:$B$4,2,0)</f>
        <v>500</v>
      </c>
      <c r="N1549" s="60">
        <f t="shared" si="171"/>
        <v>424</v>
      </c>
      <c r="O1549" s="1" t="str">
        <f t="shared" si="172"/>
        <v>28 2012</v>
      </c>
      <c r="P1549" s="1">
        <f t="shared" si="173"/>
        <v>23</v>
      </c>
      <c r="Q1549" s="1">
        <f t="shared" ca="1" si="174"/>
        <v>4034</v>
      </c>
      <c r="S1549" s="1">
        <f t="shared" si="168"/>
        <v>1421</v>
      </c>
    </row>
    <row r="1550" spans="1:19" x14ac:dyDescent="0.2">
      <c r="A1550" s="57" t="s">
        <v>229</v>
      </c>
      <c r="B1550" s="57" t="s">
        <v>225</v>
      </c>
      <c r="C1550" s="57" t="s">
        <v>226</v>
      </c>
      <c r="D1550" s="58">
        <v>317.08</v>
      </c>
      <c r="E1550" s="59">
        <v>41100</v>
      </c>
      <c r="F1550" s="58">
        <v>1421</v>
      </c>
      <c r="G1550" s="58">
        <v>302</v>
      </c>
      <c r="H1550" s="58">
        <v>307</v>
      </c>
      <c r="I1550" s="58">
        <v>1408</v>
      </c>
      <c r="J1550" s="58">
        <v>0</v>
      </c>
      <c r="K1550" s="1">
        <f t="shared" si="169"/>
        <v>97343.56</v>
      </c>
      <c r="L1550" s="1" t="str">
        <f t="shared" si="170"/>
        <v/>
      </c>
      <c r="M1550" s="1">
        <f>VLOOKUP(B1550,'[1]Срок Годности'!$A$2:$B$4,2,0)</f>
        <v>500</v>
      </c>
      <c r="N1550" s="60">
        <f t="shared" si="171"/>
        <v>302</v>
      </c>
      <c r="O1550" s="1" t="str">
        <f t="shared" si="172"/>
        <v>28 2012</v>
      </c>
      <c r="P1550" s="1">
        <f t="shared" si="173"/>
        <v>23</v>
      </c>
      <c r="Q1550" s="1">
        <f t="shared" ca="1" si="174"/>
        <v>4033</v>
      </c>
      <c r="S1550" s="1">
        <f t="shared" si="168"/>
        <v>1408</v>
      </c>
    </row>
    <row r="1551" spans="1:19" x14ac:dyDescent="0.2">
      <c r="A1551" s="57" t="s">
        <v>229</v>
      </c>
      <c r="B1551" s="57" t="s">
        <v>225</v>
      </c>
      <c r="C1551" s="57" t="s">
        <v>226</v>
      </c>
      <c r="D1551" s="58">
        <v>317.08</v>
      </c>
      <c r="E1551" s="59">
        <v>41101</v>
      </c>
      <c r="F1551" s="58">
        <v>1408</v>
      </c>
      <c r="G1551" s="58">
        <v>327</v>
      </c>
      <c r="H1551" s="58">
        <v>365</v>
      </c>
      <c r="I1551" s="58">
        <v>1356</v>
      </c>
      <c r="J1551" s="58">
        <v>0</v>
      </c>
      <c r="K1551" s="1">
        <f t="shared" si="169"/>
        <v>115734.2</v>
      </c>
      <c r="L1551" s="1" t="str">
        <f t="shared" si="170"/>
        <v/>
      </c>
      <c r="M1551" s="1">
        <f>VLOOKUP(B1551,'[1]Срок Годности'!$A$2:$B$4,2,0)</f>
        <v>500</v>
      </c>
      <c r="N1551" s="60">
        <f t="shared" si="171"/>
        <v>327</v>
      </c>
      <c r="O1551" s="1" t="str">
        <f t="shared" si="172"/>
        <v>28 2012</v>
      </c>
      <c r="P1551" s="1">
        <f t="shared" si="173"/>
        <v>23</v>
      </c>
      <c r="Q1551" s="1">
        <f t="shared" ca="1" si="174"/>
        <v>4032</v>
      </c>
      <c r="S1551" s="1">
        <f t="shared" si="168"/>
        <v>1356</v>
      </c>
    </row>
    <row r="1552" spans="1:19" x14ac:dyDescent="0.2">
      <c r="A1552" s="57" t="s">
        <v>229</v>
      </c>
      <c r="B1552" s="57" t="s">
        <v>225</v>
      </c>
      <c r="C1552" s="57" t="s">
        <v>226</v>
      </c>
      <c r="D1552" s="58">
        <v>317.08</v>
      </c>
      <c r="E1552" s="59">
        <v>41102</v>
      </c>
      <c r="F1552" s="58">
        <v>1356</v>
      </c>
      <c r="G1552" s="58">
        <v>292</v>
      </c>
      <c r="H1552" s="58">
        <v>417</v>
      </c>
      <c r="I1552" s="58">
        <v>1249</v>
      </c>
      <c r="J1552" s="58">
        <v>0</v>
      </c>
      <c r="K1552" s="1">
        <f t="shared" si="169"/>
        <v>132222.35999999999</v>
      </c>
      <c r="L1552" s="1" t="str">
        <f t="shared" si="170"/>
        <v/>
      </c>
      <c r="M1552" s="1">
        <f>VLOOKUP(B1552,'[1]Срок Годности'!$A$2:$B$4,2,0)</f>
        <v>500</v>
      </c>
      <c r="N1552" s="60">
        <f t="shared" si="171"/>
        <v>292</v>
      </c>
      <c r="O1552" s="1" t="str">
        <f t="shared" si="172"/>
        <v>28 2012</v>
      </c>
      <c r="P1552" s="1">
        <f t="shared" si="173"/>
        <v>23</v>
      </c>
      <c r="Q1552" s="1">
        <f t="shared" ca="1" si="174"/>
        <v>4031</v>
      </c>
      <c r="S1552" s="1">
        <f t="shared" si="168"/>
        <v>1249</v>
      </c>
    </row>
    <row r="1553" spans="1:19" x14ac:dyDescent="0.2">
      <c r="A1553" s="57" t="s">
        <v>229</v>
      </c>
      <c r="B1553" s="57" t="s">
        <v>225</v>
      </c>
      <c r="C1553" s="57" t="s">
        <v>226</v>
      </c>
      <c r="D1553" s="58">
        <v>317.08</v>
      </c>
      <c r="E1553" s="59">
        <v>41103</v>
      </c>
      <c r="F1553" s="58">
        <v>1249</v>
      </c>
      <c r="G1553" s="58">
        <v>244</v>
      </c>
      <c r="H1553" s="58">
        <v>306</v>
      </c>
      <c r="I1553" s="58">
        <v>1153</v>
      </c>
      <c r="J1553" s="58">
        <v>0</v>
      </c>
      <c r="K1553" s="1">
        <f t="shared" si="169"/>
        <v>97026.48</v>
      </c>
      <c r="L1553" s="1" t="str">
        <f t="shared" si="170"/>
        <v/>
      </c>
      <c r="M1553" s="1">
        <f>VLOOKUP(B1553,'[1]Срок Годности'!$A$2:$B$4,2,0)</f>
        <v>500</v>
      </c>
      <c r="N1553" s="60">
        <f t="shared" si="171"/>
        <v>244</v>
      </c>
      <c r="O1553" s="1" t="str">
        <f t="shared" si="172"/>
        <v>28 2012</v>
      </c>
      <c r="P1553" s="1">
        <f t="shared" si="173"/>
        <v>23</v>
      </c>
      <c r="Q1553" s="1">
        <f t="shared" ca="1" si="174"/>
        <v>4030</v>
      </c>
      <c r="S1553" s="1">
        <f t="shared" si="168"/>
        <v>1153</v>
      </c>
    </row>
    <row r="1554" spans="1:19" x14ac:dyDescent="0.2">
      <c r="A1554" s="57" t="s">
        <v>229</v>
      </c>
      <c r="B1554" s="57" t="s">
        <v>225</v>
      </c>
      <c r="C1554" s="57" t="s">
        <v>226</v>
      </c>
      <c r="D1554" s="58">
        <v>317.08</v>
      </c>
      <c r="E1554" s="59">
        <v>41104</v>
      </c>
      <c r="F1554" s="58">
        <v>1153</v>
      </c>
      <c r="G1554" s="58">
        <v>406</v>
      </c>
      <c r="H1554" s="58">
        <v>317</v>
      </c>
      <c r="I1554" s="58">
        <v>1240</v>
      </c>
      <c r="J1554" s="58">
        <v>0</v>
      </c>
      <c r="K1554" s="1">
        <f t="shared" si="169"/>
        <v>100514.36</v>
      </c>
      <c r="L1554" s="1" t="str">
        <f t="shared" si="170"/>
        <v/>
      </c>
      <c r="M1554" s="1">
        <f>VLOOKUP(B1554,'[1]Срок Годности'!$A$2:$B$4,2,0)</f>
        <v>500</v>
      </c>
      <c r="N1554" s="60">
        <f t="shared" si="171"/>
        <v>406</v>
      </c>
      <c r="O1554" s="1" t="str">
        <f t="shared" si="172"/>
        <v>28 2012</v>
      </c>
      <c r="P1554" s="1">
        <f t="shared" si="173"/>
        <v>23</v>
      </c>
      <c r="Q1554" s="1">
        <f t="shared" ca="1" si="174"/>
        <v>4029</v>
      </c>
      <c r="S1554" s="1">
        <f t="shared" si="168"/>
        <v>1240</v>
      </c>
    </row>
    <row r="1555" spans="1:19" x14ac:dyDescent="0.2">
      <c r="A1555" s="57" t="s">
        <v>229</v>
      </c>
      <c r="B1555" s="57" t="s">
        <v>225</v>
      </c>
      <c r="C1555" s="57" t="s">
        <v>226</v>
      </c>
      <c r="D1555" s="58">
        <v>317.08</v>
      </c>
      <c r="E1555" s="59">
        <v>41105</v>
      </c>
      <c r="F1555" s="58">
        <v>1240</v>
      </c>
      <c r="G1555" s="58">
        <v>374</v>
      </c>
      <c r="H1555" s="58">
        <v>288</v>
      </c>
      <c r="I1555" s="58">
        <v>1323</v>
      </c>
      <c r="J1555" s="58">
        <v>0</v>
      </c>
      <c r="K1555" s="1">
        <f t="shared" si="169"/>
        <v>91319.039999999994</v>
      </c>
      <c r="L1555" s="1" t="str">
        <f t="shared" si="170"/>
        <v/>
      </c>
      <c r="M1555" s="1">
        <f>VLOOKUP(B1555,'[1]Срок Годности'!$A$2:$B$4,2,0)</f>
        <v>500</v>
      </c>
      <c r="N1555" s="60">
        <f t="shared" si="171"/>
        <v>0</v>
      </c>
      <c r="O1555" s="1" t="str">
        <f t="shared" si="172"/>
        <v>29 2012</v>
      </c>
      <c r="P1555" s="1">
        <f t="shared" si="173"/>
        <v>23</v>
      </c>
      <c r="Q1555" s="1">
        <f t="shared" ca="1" si="174"/>
        <v>4028</v>
      </c>
      <c r="S1555" s="1">
        <f t="shared" si="168"/>
        <v>1323</v>
      </c>
    </row>
    <row r="1556" spans="1:19" x14ac:dyDescent="0.2">
      <c r="A1556" s="57" t="s">
        <v>229</v>
      </c>
      <c r="B1556" s="57" t="s">
        <v>225</v>
      </c>
      <c r="C1556" s="57" t="s">
        <v>226</v>
      </c>
      <c r="D1556" s="58">
        <v>317.08</v>
      </c>
      <c r="E1556" s="59">
        <v>41106</v>
      </c>
      <c r="F1556" s="58">
        <v>1323</v>
      </c>
      <c r="G1556" s="58">
        <v>350</v>
      </c>
      <c r="H1556" s="58">
        <v>273</v>
      </c>
      <c r="I1556" s="58">
        <v>1395</v>
      </c>
      <c r="J1556" s="58">
        <v>0</v>
      </c>
      <c r="K1556" s="1">
        <f t="shared" si="169"/>
        <v>86562.84</v>
      </c>
      <c r="L1556" s="1" t="str">
        <f t="shared" si="170"/>
        <v/>
      </c>
      <c r="M1556" s="1">
        <f>VLOOKUP(B1556,'[1]Срок Годности'!$A$2:$B$4,2,0)</f>
        <v>500</v>
      </c>
      <c r="N1556" s="60">
        <f t="shared" si="171"/>
        <v>350</v>
      </c>
      <c r="O1556" s="1" t="str">
        <f t="shared" si="172"/>
        <v>29 2012</v>
      </c>
      <c r="P1556" s="1">
        <f t="shared" si="173"/>
        <v>23</v>
      </c>
      <c r="Q1556" s="1">
        <f t="shared" ca="1" si="174"/>
        <v>4027</v>
      </c>
      <c r="S1556" s="1">
        <f t="shared" si="168"/>
        <v>1395</v>
      </c>
    </row>
    <row r="1557" spans="1:19" x14ac:dyDescent="0.2">
      <c r="A1557" s="57" t="s">
        <v>229</v>
      </c>
      <c r="B1557" s="57" t="s">
        <v>225</v>
      </c>
      <c r="C1557" s="57" t="s">
        <v>226</v>
      </c>
      <c r="D1557" s="58">
        <v>317.08</v>
      </c>
      <c r="E1557" s="59">
        <v>41107</v>
      </c>
      <c r="F1557" s="58">
        <v>1395</v>
      </c>
      <c r="G1557" s="58">
        <v>326</v>
      </c>
      <c r="H1557" s="58">
        <v>262</v>
      </c>
      <c r="I1557" s="58">
        <v>1451</v>
      </c>
      <c r="J1557" s="58">
        <v>0</v>
      </c>
      <c r="K1557" s="1">
        <f t="shared" si="169"/>
        <v>83074.959999999992</v>
      </c>
      <c r="L1557" s="1" t="str">
        <f t="shared" si="170"/>
        <v/>
      </c>
      <c r="M1557" s="1">
        <f>VLOOKUP(B1557,'[1]Срок Годности'!$A$2:$B$4,2,0)</f>
        <v>500</v>
      </c>
      <c r="N1557" s="60">
        <f t="shared" si="171"/>
        <v>326</v>
      </c>
      <c r="O1557" s="1" t="str">
        <f t="shared" si="172"/>
        <v>29 2012</v>
      </c>
      <c r="P1557" s="1">
        <f t="shared" si="173"/>
        <v>23</v>
      </c>
      <c r="Q1557" s="1">
        <f t="shared" ca="1" si="174"/>
        <v>4026</v>
      </c>
      <c r="S1557" s="1">
        <f t="shared" si="168"/>
        <v>1451</v>
      </c>
    </row>
    <row r="1558" spans="1:19" x14ac:dyDescent="0.2">
      <c r="A1558" s="57" t="s">
        <v>229</v>
      </c>
      <c r="B1558" s="57" t="s">
        <v>244</v>
      </c>
      <c r="C1558" s="57" t="s">
        <v>245</v>
      </c>
      <c r="D1558" s="58">
        <v>33.659999999999997</v>
      </c>
      <c r="E1558" s="59">
        <v>41061</v>
      </c>
      <c r="F1558" s="58">
        <v>62584</v>
      </c>
      <c r="G1558" s="58">
        <v>6114</v>
      </c>
      <c r="H1558" s="58">
        <v>11869</v>
      </c>
      <c r="I1558" s="58">
        <v>56678</v>
      </c>
      <c r="J1558" s="58">
        <v>0</v>
      </c>
      <c r="K1558" s="1">
        <f t="shared" si="169"/>
        <v>399510.54</v>
      </c>
      <c r="L1558" s="1">
        <f t="shared" si="170"/>
        <v>11869</v>
      </c>
      <c r="M1558" s="1">
        <f>VLOOKUP(B1558,'[1]Срок Годности'!$A$2:$B$4,2,0)</f>
        <v>1500</v>
      </c>
      <c r="N1558" s="60">
        <f t="shared" si="171"/>
        <v>6114</v>
      </c>
      <c r="O1558" s="1" t="str">
        <f t="shared" si="172"/>
        <v>22 2012</v>
      </c>
      <c r="P1558" s="1">
        <f t="shared" si="173"/>
        <v>21</v>
      </c>
      <c r="Q1558" s="1">
        <f t="shared" ca="1" si="174"/>
        <v>4072</v>
      </c>
      <c r="S1558" s="1">
        <f t="shared" si="168"/>
        <v>56678</v>
      </c>
    </row>
    <row r="1559" spans="1:19" x14ac:dyDescent="0.2">
      <c r="A1559" s="57" t="s">
        <v>229</v>
      </c>
      <c r="B1559" s="57" t="s">
        <v>244</v>
      </c>
      <c r="C1559" s="57" t="s">
        <v>245</v>
      </c>
      <c r="D1559" s="58">
        <v>33.659999999999997</v>
      </c>
      <c r="E1559" s="59">
        <v>41062</v>
      </c>
      <c r="F1559" s="58">
        <v>56678</v>
      </c>
      <c r="G1559" s="58">
        <v>17544</v>
      </c>
      <c r="H1559" s="58">
        <v>12514</v>
      </c>
      <c r="I1559" s="58">
        <v>61258</v>
      </c>
      <c r="J1559" s="58">
        <v>0</v>
      </c>
      <c r="K1559" s="1">
        <f t="shared" si="169"/>
        <v>421221.23999999993</v>
      </c>
      <c r="L1559" s="1">
        <f t="shared" si="170"/>
        <v>12514</v>
      </c>
      <c r="M1559" s="1">
        <f>VLOOKUP(B1559,'[1]Срок Годности'!$A$2:$B$4,2,0)</f>
        <v>1500</v>
      </c>
      <c r="N1559" s="60">
        <f t="shared" si="171"/>
        <v>17544</v>
      </c>
      <c r="O1559" s="1" t="str">
        <f t="shared" si="172"/>
        <v>22 2012</v>
      </c>
      <c r="P1559" s="1">
        <f t="shared" si="173"/>
        <v>21</v>
      </c>
      <c r="Q1559" s="1">
        <f t="shared" ca="1" si="174"/>
        <v>4071</v>
      </c>
      <c r="S1559" s="1">
        <f t="shared" si="168"/>
        <v>61258</v>
      </c>
    </row>
    <row r="1560" spans="1:19" x14ac:dyDescent="0.2">
      <c r="A1560" s="57" t="s">
        <v>229</v>
      </c>
      <c r="B1560" s="57" t="s">
        <v>244</v>
      </c>
      <c r="C1560" s="57" t="s">
        <v>245</v>
      </c>
      <c r="D1560" s="58">
        <v>33.659999999999997</v>
      </c>
      <c r="E1560" s="59">
        <v>41063</v>
      </c>
      <c r="F1560" s="58">
        <v>61258</v>
      </c>
      <c r="G1560" s="58">
        <v>20106</v>
      </c>
      <c r="H1560" s="58">
        <v>12014</v>
      </c>
      <c r="I1560" s="58">
        <v>69172</v>
      </c>
      <c r="J1560" s="58">
        <v>2</v>
      </c>
      <c r="K1560" s="1">
        <f t="shared" si="169"/>
        <v>404391.23999999993</v>
      </c>
      <c r="L1560" s="1">
        <f t="shared" si="170"/>
        <v>12014</v>
      </c>
      <c r="M1560" s="1">
        <f>VLOOKUP(B1560,'[1]Срок Годности'!$A$2:$B$4,2,0)</f>
        <v>1500</v>
      </c>
      <c r="N1560" s="60">
        <f t="shared" si="171"/>
        <v>0</v>
      </c>
      <c r="O1560" s="1" t="str">
        <f t="shared" si="172"/>
        <v>23 2012</v>
      </c>
      <c r="P1560" s="1">
        <f t="shared" si="173"/>
        <v>21</v>
      </c>
      <c r="Q1560" s="1">
        <f t="shared" ca="1" si="174"/>
        <v>4070</v>
      </c>
      <c r="S1560" s="1">
        <f t="shared" si="168"/>
        <v>69170</v>
      </c>
    </row>
    <row r="1561" spans="1:19" x14ac:dyDescent="0.2">
      <c r="A1561" s="57" t="s">
        <v>229</v>
      </c>
      <c r="B1561" s="57" t="s">
        <v>244</v>
      </c>
      <c r="C1561" s="57" t="s">
        <v>245</v>
      </c>
      <c r="D1561" s="58">
        <v>33.659999999999997</v>
      </c>
      <c r="E1561" s="59">
        <v>41064</v>
      </c>
      <c r="F1561" s="58">
        <v>69172</v>
      </c>
      <c r="G1561" s="58">
        <v>14272</v>
      </c>
      <c r="H1561" s="58">
        <v>13239</v>
      </c>
      <c r="I1561" s="58">
        <v>70079</v>
      </c>
      <c r="J1561" s="58">
        <v>2</v>
      </c>
      <c r="K1561" s="1">
        <f t="shared" si="169"/>
        <v>445624.73999999993</v>
      </c>
      <c r="L1561" s="1">
        <f t="shared" si="170"/>
        <v>13239</v>
      </c>
      <c r="M1561" s="1">
        <f>VLOOKUP(B1561,'[1]Срок Годности'!$A$2:$B$4,2,0)</f>
        <v>1500</v>
      </c>
      <c r="N1561" s="60">
        <f t="shared" si="171"/>
        <v>14272</v>
      </c>
      <c r="O1561" s="1" t="str">
        <f t="shared" si="172"/>
        <v>23 2012</v>
      </c>
      <c r="P1561" s="1">
        <f t="shared" si="173"/>
        <v>21</v>
      </c>
      <c r="Q1561" s="1">
        <f t="shared" ca="1" si="174"/>
        <v>4069</v>
      </c>
      <c r="S1561" s="1">
        <f t="shared" si="168"/>
        <v>70077</v>
      </c>
    </row>
    <row r="1562" spans="1:19" x14ac:dyDescent="0.2">
      <c r="A1562" s="57" t="s">
        <v>229</v>
      </c>
      <c r="B1562" s="57" t="s">
        <v>244</v>
      </c>
      <c r="C1562" s="57" t="s">
        <v>245</v>
      </c>
      <c r="D1562" s="58">
        <v>33.659999999999997</v>
      </c>
      <c r="E1562" s="59">
        <v>41065</v>
      </c>
      <c r="F1562" s="58">
        <v>70079</v>
      </c>
      <c r="G1562" s="58">
        <v>13699</v>
      </c>
      <c r="H1562" s="58">
        <v>13297</v>
      </c>
      <c r="I1562" s="58">
        <v>70397</v>
      </c>
      <c r="J1562" s="58">
        <v>0</v>
      </c>
      <c r="K1562" s="1">
        <f t="shared" si="169"/>
        <v>447577.01999999996</v>
      </c>
      <c r="L1562" s="1">
        <f t="shared" si="170"/>
        <v>13297</v>
      </c>
      <c r="M1562" s="1">
        <f>VLOOKUP(B1562,'[1]Срок Годности'!$A$2:$B$4,2,0)</f>
        <v>1500</v>
      </c>
      <c r="N1562" s="60">
        <f t="shared" si="171"/>
        <v>13699</v>
      </c>
      <c r="O1562" s="1" t="str">
        <f t="shared" si="172"/>
        <v>23 2012</v>
      </c>
      <c r="P1562" s="1">
        <f t="shared" si="173"/>
        <v>21</v>
      </c>
      <c r="Q1562" s="1">
        <f t="shared" ca="1" si="174"/>
        <v>4068</v>
      </c>
      <c r="S1562" s="1">
        <f t="shared" si="168"/>
        <v>70397</v>
      </c>
    </row>
    <row r="1563" spans="1:19" x14ac:dyDescent="0.2">
      <c r="A1563" s="57" t="s">
        <v>229</v>
      </c>
      <c r="B1563" s="57" t="s">
        <v>244</v>
      </c>
      <c r="C1563" s="57" t="s">
        <v>245</v>
      </c>
      <c r="D1563" s="58">
        <v>33.659999999999997</v>
      </c>
      <c r="E1563" s="59">
        <v>41066</v>
      </c>
      <c r="F1563" s="58">
        <v>70397</v>
      </c>
      <c r="G1563" s="58">
        <v>14268</v>
      </c>
      <c r="H1563" s="58">
        <v>12651</v>
      </c>
      <c r="I1563" s="58">
        <v>71909</v>
      </c>
      <c r="J1563" s="58">
        <v>0</v>
      </c>
      <c r="K1563" s="1">
        <f t="shared" si="169"/>
        <v>425832.66</v>
      </c>
      <c r="L1563" s="1">
        <f t="shared" si="170"/>
        <v>12651</v>
      </c>
      <c r="M1563" s="1">
        <f>VLOOKUP(B1563,'[1]Срок Годности'!$A$2:$B$4,2,0)</f>
        <v>1500</v>
      </c>
      <c r="N1563" s="60">
        <f t="shared" si="171"/>
        <v>14268</v>
      </c>
      <c r="O1563" s="1" t="str">
        <f t="shared" si="172"/>
        <v>23 2012</v>
      </c>
      <c r="P1563" s="1">
        <f t="shared" si="173"/>
        <v>21</v>
      </c>
      <c r="Q1563" s="1">
        <f t="shared" ca="1" si="174"/>
        <v>4067</v>
      </c>
      <c r="S1563" s="1">
        <f t="shared" si="168"/>
        <v>71909</v>
      </c>
    </row>
    <row r="1564" spans="1:19" x14ac:dyDescent="0.2">
      <c r="A1564" s="57" t="s">
        <v>229</v>
      </c>
      <c r="B1564" s="57" t="s">
        <v>244</v>
      </c>
      <c r="C1564" s="57" t="s">
        <v>245</v>
      </c>
      <c r="D1564" s="58">
        <v>33.659999999999997</v>
      </c>
      <c r="E1564" s="59">
        <v>41067</v>
      </c>
      <c r="F1564" s="58">
        <v>71909</v>
      </c>
      <c r="G1564" s="58">
        <v>19406</v>
      </c>
      <c r="H1564" s="58">
        <v>13067</v>
      </c>
      <c r="I1564" s="58">
        <v>78068</v>
      </c>
      <c r="J1564" s="58">
        <v>0</v>
      </c>
      <c r="K1564" s="1">
        <f t="shared" si="169"/>
        <v>439835.22</v>
      </c>
      <c r="L1564" s="1">
        <f t="shared" si="170"/>
        <v>13067</v>
      </c>
      <c r="M1564" s="1">
        <f>VLOOKUP(B1564,'[1]Срок Годности'!$A$2:$B$4,2,0)</f>
        <v>1500</v>
      </c>
      <c r="N1564" s="60">
        <f t="shared" si="171"/>
        <v>19406</v>
      </c>
      <c r="O1564" s="1" t="str">
        <f t="shared" si="172"/>
        <v>23 2012</v>
      </c>
      <c r="P1564" s="1">
        <f t="shared" si="173"/>
        <v>21</v>
      </c>
      <c r="Q1564" s="1">
        <f t="shared" ca="1" si="174"/>
        <v>4066</v>
      </c>
      <c r="S1564" s="1">
        <f t="shared" si="168"/>
        <v>78068</v>
      </c>
    </row>
    <row r="1565" spans="1:19" x14ac:dyDescent="0.2">
      <c r="A1565" s="57" t="s">
        <v>229</v>
      </c>
      <c r="B1565" s="57" t="s">
        <v>244</v>
      </c>
      <c r="C1565" s="57" t="s">
        <v>245</v>
      </c>
      <c r="D1565" s="58">
        <v>33.659999999999997</v>
      </c>
      <c r="E1565" s="59">
        <v>41068</v>
      </c>
      <c r="F1565" s="58">
        <v>78068</v>
      </c>
      <c r="G1565" s="58">
        <v>14815</v>
      </c>
      <c r="H1565" s="58">
        <v>12278</v>
      </c>
      <c r="I1565" s="58">
        <v>80282</v>
      </c>
      <c r="J1565" s="58">
        <v>0</v>
      </c>
      <c r="K1565" s="1">
        <f t="shared" si="169"/>
        <v>413277.48</v>
      </c>
      <c r="L1565" s="1">
        <f t="shared" si="170"/>
        <v>12278</v>
      </c>
      <c r="M1565" s="1">
        <f>VLOOKUP(B1565,'[1]Срок Годности'!$A$2:$B$4,2,0)</f>
        <v>1500</v>
      </c>
      <c r="N1565" s="60">
        <f t="shared" si="171"/>
        <v>14815</v>
      </c>
      <c r="O1565" s="1" t="str">
        <f t="shared" si="172"/>
        <v>23 2012</v>
      </c>
      <c r="P1565" s="1">
        <f t="shared" si="173"/>
        <v>21</v>
      </c>
      <c r="Q1565" s="1">
        <f t="shared" ca="1" si="174"/>
        <v>4065</v>
      </c>
      <c r="S1565" s="1">
        <f t="shared" si="168"/>
        <v>80282</v>
      </c>
    </row>
    <row r="1566" spans="1:19" x14ac:dyDescent="0.2">
      <c r="A1566" s="57" t="s">
        <v>229</v>
      </c>
      <c r="B1566" s="57" t="s">
        <v>244</v>
      </c>
      <c r="C1566" s="57" t="s">
        <v>245</v>
      </c>
      <c r="D1566" s="58">
        <v>33.659999999999997</v>
      </c>
      <c r="E1566" s="59">
        <v>41069</v>
      </c>
      <c r="F1566" s="58">
        <v>80282</v>
      </c>
      <c r="G1566" s="58">
        <v>16095</v>
      </c>
      <c r="H1566" s="58">
        <v>13583</v>
      </c>
      <c r="I1566" s="58">
        <v>82516</v>
      </c>
      <c r="J1566" s="58">
        <v>0</v>
      </c>
      <c r="K1566" s="1">
        <f t="shared" si="169"/>
        <v>457203.77999999997</v>
      </c>
      <c r="L1566" s="1">
        <f t="shared" si="170"/>
        <v>13583</v>
      </c>
      <c r="M1566" s="1">
        <f>VLOOKUP(B1566,'[1]Срок Годности'!$A$2:$B$4,2,0)</f>
        <v>1500</v>
      </c>
      <c r="N1566" s="60">
        <f t="shared" si="171"/>
        <v>16095</v>
      </c>
      <c r="O1566" s="1" t="str">
        <f t="shared" si="172"/>
        <v>23 2012</v>
      </c>
      <c r="P1566" s="1">
        <f t="shared" si="173"/>
        <v>21</v>
      </c>
      <c r="Q1566" s="1">
        <f t="shared" ca="1" si="174"/>
        <v>4064</v>
      </c>
      <c r="S1566" s="1">
        <f t="shared" si="168"/>
        <v>82516</v>
      </c>
    </row>
    <row r="1567" spans="1:19" x14ac:dyDescent="0.2">
      <c r="A1567" s="57" t="s">
        <v>229</v>
      </c>
      <c r="B1567" s="57" t="s">
        <v>244</v>
      </c>
      <c r="C1567" s="57" t="s">
        <v>245</v>
      </c>
      <c r="D1567" s="58">
        <v>33.659999999999997</v>
      </c>
      <c r="E1567" s="59">
        <v>41070</v>
      </c>
      <c r="F1567" s="58">
        <v>82516</v>
      </c>
      <c r="G1567" s="58">
        <v>12097</v>
      </c>
      <c r="H1567" s="58">
        <v>14055</v>
      </c>
      <c r="I1567" s="58">
        <v>80347</v>
      </c>
      <c r="J1567" s="58">
        <v>2</v>
      </c>
      <c r="K1567" s="1">
        <f t="shared" si="169"/>
        <v>473091.29999999993</v>
      </c>
      <c r="L1567" s="1">
        <f t="shared" si="170"/>
        <v>14055</v>
      </c>
      <c r="M1567" s="1">
        <f>VLOOKUP(B1567,'[1]Срок Годности'!$A$2:$B$4,2,0)</f>
        <v>1500</v>
      </c>
      <c r="N1567" s="60">
        <f t="shared" si="171"/>
        <v>0</v>
      </c>
      <c r="O1567" s="1" t="str">
        <f t="shared" si="172"/>
        <v>24 2012</v>
      </c>
      <c r="P1567" s="1">
        <f t="shared" si="173"/>
        <v>21</v>
      </c>
      <c r="Q1567" s="1">
        <f t="shared" ca="1" si="174"/>
        <v>4063</v>
      </c>
      <c r="S1567" s="1">
        <f t="shared" si="168"/>
        <v>80345</v>
      </c>
    </row>
    <row r="1568" spans="1:19" x14ac:dyDescent="0.2">
      <c r="A1568" s="57" t="s">
        <v>229</v>
      </c>
      <c r="B1568" s="57" t="s">
        <v>244</v>
      </c>
      <c r="C1568" s="57" t="s">
        <v>245</v>
      </c>
      <c r="D1568" s="58">
        <v>33.659999999999997</v>
      </c>
      <c r="E1568" s="59">
        <v>41071</v>
      </c>
      <c r="F1568" s="58">
        <v>80347</v>
      </c>
      <c r="G1568" s="58">
        <v>11220</v>
      </c>
      <c r="H1568" s="58">
        <v>13813</v>
      </c>
      <c r="I1568" s="58">
        <v>77597</v>
      </c>
      <c r="J1568" s="58">
        <v>2</v>
      </c>
      <c r="K1568" s="1">
        <f t="shared" si="169"/>
        <v>464945.57999999996</v>
      </c>
      <c r="L1568" s="1">
        <f t="shared" si="170"/>
        <v>13813</v>
      </c>
      <c r="M1568" s="1">
        <f>VLOOKUP(B1568,'[1]Срок Годности'!$A$2:$B$4,2,0)</f>
        <v>1500</v>
      </c>
      <c r="N1568" s="60">
        <f t="shared" si="171"/>
        <v>11220</v>
      </c>
      <c r="O1568" s="1" t="str">
        <f t="shared" si="172"/>
        <v>24 2012</v>
      </c>
      <c r="P1568" s="1">
        <f t="shared" si="173"/>
        <v>21</v>
      </c>
      <c r="Q1568" s="1">
        <f t="shared" ca="1" si="174"/>
        <v>4062</v>
      </c>
      <c r="S1568" s="1">
        <f t="shared" si="168"/>
        <v>77595</v>
      </c>
    </row>
    <row r="1569" spans="1:19" x14ac:dyDescent="0.2">
      <c r="A1569" s="57" t="s">
        <v>229</v>
      </c>
      <c r="B1569" s="57" t="s">
        <v>244</v>
      </c>
      <c r="C1569" s="57" t="s">
        <v>245</v>
      </c>
      <c r="D1569" s="58">
        <v>33.659999999999997</v>
      </c>
      <c r="E1569" s="59">
        <v>41072</v>
      </c>
      <c r="F1569" s="58">
        <v>77597</v>
      </c>
      <c r="G1569" s="58">
        <v>12478</v>
      </c>
      <c r="H1569" s="58">
        <v>12889</v>
      </c>
      <c r="I1569" s="58">
        <v>76855</v>
      </c>
      <c r="J1569" s="58">
        <v>1</v>
      </c>
      <c r="K1569" s="1">
        <f t="shared" si="169"/>
        <v>433843.73999999993</v>
      </c>
      <c r="L1569" s="1">
        <f t="shared" si="170"/>
        <v>12889</v>
      </c>
      <c r="M1569" s="1">
        <f>VLOOKUP(B1569,'[1]Срок Годности'!$A$2:$B$4,2,0)</f>
        <v>1500</v>
      </c>
      <c r="N1569" s="60">
        <f t="shared" si="171"/>
        <v>12478</v>
      </c>
      <c r="O1569" s="1" t="str">
        <f t="shared" si="172"/>
        <v>24 2012</v>
      </c>
      <c r="P1569" s="1">
        <f t="shared" si="173"/>
        <v>21</v>
      </c>
      <c r="Q1569" s="1">
        <f t="shared" ca="1" si="174"/>
        <v>4061</v>
      </c>
      <c r="S1569" s="1">
        <f t="shared" si="168"/>
        <v>76854</v>
      </c>
    </row>
    <row r="1570" spans="1:19" x14ac:dyDescent="0.2">
      <c r="A1570" s="57" t="s">
        <v>229</v>
      </c>
      <c r="B1570" s="57" t="s">
        <v>244</v>
      </c>
      <c r="C1570" s="57" t="s">
        <v>245</v>
      </c>
      <c r="D1570" s="58">
        <v>33.659999999999997</v>
      </c>
      <c r="E1570" s="59">
        <v>41073</v>
      </c>
      <c r="F1570" s="58">
        <v>76855</v>
      </c>
      <c r="G1570" s="58">
        <v>14346</v>
      </c>
      <c r="H1570" s="58">
        <v>13039</v>
      </c>
      <c r="I1570" s="58">
        <v>78035</v>
      </c>
      <c r="J1570" s="58">
        <v>0</v>
      </c>
      <c r="K1570" s="1">
        <f t="shared" si="169"/>
        <v>438892.73999999993</v>
      </c>
      <c r="L1570" s="1">
        <f t="shared" si="170"/>
        <v>13039</v>
      </c>
      <c r="M1570" s="1">
        <f>VLOOKUP(B1570,'[1]Срок Годности'!$A$2:$B$4,2,0)</f>
        <v>1500</v>
      </c>
      <c r="N1570" s="60">
        <f t="shared" si="171"/>
        <v>14346</v>
      </c>
      <c r="O1570" s="1" t="str">
        <f t="shared" si="172"/>
        <v>24 2012</v>
      </c>
      <c r="P1570" s="1">
        <f t="shared" si="173"/>
        <v>21</v>
      </c>
      <c r="Q1570" s="1">
        <f t="shared" ca="1" si="174"/>
        <v>4060</v>
      </c>
      <c r="S1570" s="1">
        <f t="shared" si="168"/>
        <v>78035</v>
      </c>
    </row>
    <row r="1571" spans="1:19" x14ac:dyDescent="0.2">
      <c r="A1571" s="57" t="s">
        <v>229</v>
      </c>
      <c r="B1571" s="57" t="s">
        <v>244</v>
      </c>
      <c r="C1571" s="57" t="s">
        <v>245</v>
      </c>
      <c r="D1571" s="58">
        <v>33.659999999999997</v>
      </c>
      <c r="E1571" s="59">
        <v>41074</v>
      </c>
      <c r="F1571" s="58">
        <v>78035</v>
      </c>
      <c r="G1571" s="58">
        <v>12132</v>
      </c>
      <c r="H1571" s="58">
        <v>11825</v>
      </c>
      <c r="I1571" s="58">
        <v>78222</v>
      </c>
      <c r="J1571" s="58">
        <v>0</v>
      </c>
      <c r="K1571" s="1">
        <f t="shared" si="169"/>
        <v>398029.49999999994</v>
      </c>
      <c r="L1571" s="1">
        <f t="shared" si="170"/>
        <v>11825</v>
      </c>
      <c r="M1571" s="1">
        <f>VLOOKUP(B1571,'[1]Срок Годности'!$A$2:$B$4,2,0)</f>
        <v>1500</v>
      </c>
      <c r="N1571" s="60">
        <f t="shared" si="171"/>
        <v>12132</v>
      </c>
      <c r="O1571" s="1" t="str">
        <f t="shared" si="172"/>
        <v>24 2012</v>
      </c>
      <c r="P1571" s="1">
        <f t="shared" si="173"/>
        <v>21</v>
      </c>
      <c r="Q1571" s="1">
        <f t="shared" ca="1" si="174"/>
        <v>4059</v>
      </c>
      <c r="S1571" s="1">
        <f t="shared" si="168"/>
        <v>78222</v>
      </c>
    </row>
    <row r="1572" spans="1:19" x14ac:dyDescent="0.2">
      <c r="A1572" s="57" t="s">
        <v>229</v>
      </c>
      <c r="B1572" s="57" t="s">
        <v>244</v>
      </c>
      <c r="C1572" s="57" t="s">
        <v>245</v>
      </c>
      <c r="D1572" s="58">
        <v>33.659999999999997</v>
      </c>
      <c r="E1572" s="59">
        <v>41075</v>
      </c>
      <c r="F1572" s="58">
        <v>78222</v>
      </c>
      <c r="G1572" s="58">
        <v>14214</v>
      </c>
      <c r="H1572" s="58">
        <v>12669</v>
      </c>
      <c r="I1572" s="58">
        <v>79720</v>
      </c>
      <c r="J1572" s="58">
        <v>0</v>
      </c>
      <c r="K1572" s="1">
        <f t="shared" si="169"/>
        <v>426438.54</v>
      </c>
      <c r="L1572" s="1">
        <f t="shared" si="170"/>
        <v>12669</v>
      </c>
      <c r="M1572" s="1">
        <f>VLOOKUP(B1572,'[1]Срок Годности'!$A$2:$B$4,2,0)</f>
        <v>1500</v>
      </c>
      <c r="N1572" s="60">
        <f t="shared" si="171"/>
        <v>14214</v>
      </c>
      <c r="O1572" s="1" t="str">
        <f t="shared" si="172"/>
        <v>24 2012</v>
      </c>
      <c r="P1572" s="1">
        <f t="shared" si="173"/>
        <v>21</v>
      </c>
      <c r="Q1572" s="1">
        <f t="shared" ca="1" si="174"/>
        <v>4058</v>
      </c>
      <c r="S1572" s="1">
        <f t="shared" si="168"/>
        <v>79720</v>
      </c>
    </row>
    <row r="1573" spans="1:19" x14ac:dyDescent="0.2">
      <c r="A1573" s="57" t="s">
        <v>229</v>
      </c>
      <c r="B1573" s="57" t="s">
        <v>244</v>
      </c>
      <c r="C1573" s="57" t="s">
        <v>245</v>
      </c>
      <c r="D1573" s="58">
        <v>33.659999999999997</v>
      </c>
      <c r="E1573" s="59">
        <v>41076</v>
      </c>
      <c r="F1573" s="58">
        <v>79720</v>
      </c>
      <c r="G1573" s="58">
        <v>9090</v>
      </c>
      <c r="H1573" s="58">
        <v>13509</v>
      </c>
      <c r="I1573" s="58">
        <v>75216</v>
      </c>
      <c r="J1573" s="58">
        <v>0</v>
      </c>
      <c r="K1573" s="1">
        <f t="shared" si="169"/>
        <v>454712.93999999994</v>
      </c>
      <c r="L1573" s="1">
        <f t="shared" si="170"/>
        <v>13509</v>
      </c>
      <c r="M1573" s="1">
        <f>VLOOKUP(B1573,'[1]Срок Годности'!$A$2:$B$4,2,0)</f>
        <v>1500</v>
      </c>
      <c r="N1573" s="60">
        <f t="shared" si="171"/>
        <v>9090</v>
      </c>
      <c r="O1573" s="1" t="str">
        <f t="shared" si="172"/>
        <v>24 2012</v>
      </c>
      <c r="P1573" s="1">
        <f t="shared" si="173"/>
        <v>21</v>
      </c>
      <c r="Q1573" s="1">
        <f t="shared" ca="1" si="174"/>
        <v>4057</v>
      </c>
      <c r="S1573" s="1">
        <f t="shared" si="168"/>
        <v>75216</v>
      </c>
    </row>
    <row r="1574" spans="1:19" x14ac:dyDescent="0.2">
      <c r="A1574" s="57" t="s">
        <v>229</v>
      </c>
      <c r="B1574" s="57" t="s">
        <v>244</v>
      </c>
      <c r="C1574" s="57" t="s">
        <v>245</v>
      </c>
      <c r="D1574" s="58">
        <v>33.659999999999997</v>
      </c>
      <c r="E1574" s="59">
        <v>41077</v>
      </c>
      <c r="F1574" s="58">
        <v>75216</v>
      </c>
      <c r="G1574" s="58">
        <v>6810</v>
      </c>
      <c r="H1574" s="58">
        <v>13698</v>
      </c>
      <c r="I1574" s="58">
        <v>68135</v>
      </c>
      <c r="J1574" s="58">
        <v>0</v>
      </c>
      <c r="K1574" s="1">
        <f t="shared" si="169"/>
        <v>461074.67999999993</v>
      </c>
      <c r="L1574" s="1">
        <f t="shared" si="170"/>
        <v>13698</v>
      </c>
      <c r="M1574" s="1">
        <f>VLOOKUP(B1574,'[1]Срок Годности'!$A$2:$B$4,2,0)</f>
        <v>1500</v>
      </c>
      <c r="N1574" s="60">
        <f t="shared" si="171"/>
        <v>0</v>
      </c>
      <c r="O1574" s="1" t="str">
        <f t="shared" si="172"/>
        <v>25 2012</v>
      </c>
      <c r="P1574" s="1">
        <f t="shared" si="173"/>
        <v>21</v>
      </c>
      <c r="Q1574" s="1">
        <f t="shared" ca="1" si="174"/>
        <v>4056</v>
      </c>
      <c r="S1574" s="1">
        <f t="shared" si="168"/>
        <v>68135</v>
      </c>
    </row>
    <row r="1575" spans="1:19" x14ac:dyDescent="0.2">
      <c r="A1575" s="57" t="s">
        <v>229</v>
      </c>
      <c r="B1575" s="57" t="s">
        <v>244</v>
      </c>
      <c r="C1575" s="57" t="s">
        <v>245</v>
      </c>
      <c r="D1575" s="58">
        <v>33.659999999999997</v>
      </c>
      <c r="E1575" s="59">
        <v>41078</v>
      </c>
      <c r="F1575" s="58">
        <v>68135</v>
      </c>
      <c r="G1575" s="58">
        <v>16674</v>
      </c>
      <c r="H1575" s="58">
        <v>13726</v>
      </c>
      <c r="I1575" s="58">
        <v>70993</v>
      </c>
      <c r="J1575" s="58">
        <v>0</v>
      </c>
      <c r="K1575" s="1">
        <f t="shared" si="169"/>
        <v>462017.16</v>
      </c>
      <c r="L1575" s="1">
        <f t="shared" si="170"/>
        <v>13726</v>
      </c>
      <c r="M1575" s="1">
        <f>VLOOKUP(B1575,'[1]Срок Годности'!$A$2:$B$4,2,0)</f>
        <v>1500</v>
      </c>
      <c r="N1575" s="60">
        <f t="shared" si="171"/>
        <v>16674</v>
      </c>
      <c r="O1575" s="1" t="str">
        <f t="shared" si="172"/>
        <v>25 2012</v>
      </c>
      <c r="P1575" s="1">
        <f t="shared" si="173"/>
        <v>21</v>
      </c>
      <c r="Q1575" s="1">
        <f t="shared" ca="1" si="174"/>
        <v>4055</v>
      </c>
      <c r="S1575" s="1">
        <f t="shared" si="168"/>
        <v>70993</v>
      </c>
    </row>
    <row r="1576" spans="1:19" x14ac:dyDescent="0.2">
      <c r="A1576" s="57" t="s">
        <v>229</v>
      </c>
      <c r="B1576" s="57" t="s">
        <v>244</v>
      </c>
      <c r="C1576" s="57" t="s">
        <v>245</v>
      </c>
      <c r="D1576" s="58">
        <v>33.659999999999997</v>
      </c>
      <c r="E1576" s="59">
        <v>41079</v>
      </c>
      <c r="F1576" s="58">
        <v>70993</v>
      </c>
      <c r="G1576" s="58">
        <v>14136</v>
      </c>
      <c r="H1576" s="58">
        <v>13918</v>
      </c>
      <c r="I1576" s="58">
        <v>71042</v>
      </c>
      <c r="J1576" s="58">
        <v>1</v>
      </c>
      <c r="K1576" s="1">
        <f t="shared" si="169"/>
        <v>468479.87999999995</v>
      </c>
      <c r="L1576" s="1">
        <f t="shared" si="170"/>
        <v>13918</v>
      </c>
      <c r="M1576" s="1">
        <f>VLOOKUP(B1576,'[1]Срок Годности'!$A$2:$B$4,2,0)</f>
        <v>1500</v>
      </c>
      <c r="N1576" s="60">
        <f t="shared" si="171"/>
        <v>14136</v>
      </c>
      <c r="O1576" s="1" t="str">
        <f t="shared" si="172"/>
        <v>25 2012</v>
      </c>
      <c r="P1576" s="1">
        <f t="shared" si="173"/>
        <v>21</v>
      </c>
      <c r="Q1576" s="1">
        <f t="shared" ca="1" si="174"/>
        <v>4054</v>
      </c>
      <c r="S1576" s="1">
        <f t="shared" si="168"/>
        <v>71041</v>
      </c>
    </row>
    <row r="1577" spans="1:19" x14ac:dyDescent="0.2">
      <c r="A1577" s="57" t="s">
        <v>229</v>
      </c>
      <c r="B1577" s="57" t="s">
        <v>244</v>
      </c>
      <c r="C1577" s="57" t="s">
        <v>245</v>
      </c>
      <c r="D1577" s="58">
        <v>33.659999999999997</v>
      </c>
      <c r="E1577" s="59">
        <v>41080</v>
      </c>
      <c r="F1577" s="58">
        <v>71042</v>
      </c>
      <c r="G1577" s="58">
        <v>13249</v>
      </c>
      <c r="H1577" s="58">
        <v>14210</v>
      </c>
      <c r="I1577" s="58">
        <v>69922</v>
      </c>
      <c r="J1577" s="58">
        <v>1</v>
      </c>
      <c r="K1577" s="1">
        <f t="shared" si="169"/>
        <v>478308.6</v>
      </c>
      <c r="L1577" s="1">
        <f t="shared" si="170"/>
        <v>14210</v>
      </c>
      <c r="M1577" s="1">
        <f>VLOOKUP(B1577,'[1]Срок Годности'!$A$2:$B$4,2,0)</f>
        <v>1500</v>
      </c>
      <c r="N1577" s="60">
        <f t="shared" si="171"/>
        <v>13249</v>
      </c>
      <c r="O1577" s="1" t="str">
        <f t="shared" si="172"/>
        <v>25 2012</v>
      </c>
      <c r="P1577" s="1">
        <f t="shared" si="173"/>
        <v>21</v>
      </c>
      <c r="Q1577" s="1">
        <f t="shared" ca="1" si="174"/>
        <v>4053</v>
      </c>
      <c r="S1577" s="1">
        <f t="shared" si="168"/>
        <v>69921</v>
      </c>
    </row>
    <row r="1578" spans="1:19" x14ac:dyDescent="0.2">
      <c r="A1578" s="57" t="s">
        <v>229</v>
      </c>
      <c r="B1578" s="57" t="s">
        <v>244</v>
      </c>
      <c r="C1578" s="57" t="s">
        <v>245</v>
      </c>
      <c r="D1578" s="58">
        <v>33.659999999999997</v>
      </c>
      <c r="E1578" s="59">
        <v>41081</v>
      </c>
      <c r="F1578" s="58">
        <v>69922</v>
      </c>
      <c r="G1578" s="58">
        <v>14628</v>
      </c>
      <c r="H1578" s="58">
        <v>13552</v>
      </c>
      <c r="I1578" s="58">
        <v>70907</v>
      </c>
      <c r="J1578" s="58">
        <v>1</v>
      </c>
      <c r="K1578" s="1">
        <f t="shared" si="169"/>
        <v>456160.31999999995</v>
      </c>
      <c r="L1578" s="1">
        <f t="shared" si="170"/>
        <v>13552</v>
      </c>
      <c r="M1578" s="1">
        <f>VLOOKUP(B1578,'[1]Срок Годности'!$A$2:$B$4,2,0)</f>
        <v>1500</v>
      </c>
      <c r="N1578" s="60">
        <f t="shared" si="171"/>
        <v>14628</v>
      </c>
      <c r="O1578" s="1" t="str">
        <f t="shared" si="172"/>
        <v>25 2012</v>
      </c>
      <c r="P1578" s="1">
        <f t="shared" si="173"/>
        <v>21</v>
      </c>
      <c r="Q1578" s="1">
        <f t="shared" ca="1" si="174"/>
        <v>4052</v>
      </c>
      <c r="S1578" s="1">
        <f t="shared" si="168"/>
        <v>70906</v>
      </c>
    </row>
    <row r="1579" spans="1:19" x14ac:dyDescent="0.2">
      <c r="A1579" s="57" t="s">
        <v>229</v>
      </c>
      <c r="B1579" s="57" t="s">
        <v>244</v>
      </c>
      <c r="C1579" s="57" t="s">
        <v>245</v>
      </c>
      <c r="D1579" s="58">
        <v>33.659999999999997</v>
      </c>
      <c r="E1579" s="59">
        <v>41082</v>
      </c>
      <c r="F1579" s="58">
        <v>70907</v>
      </c>
      <c r="G1579" s="58">
        <v>28764</v>
      </c>
      <c r="H1579" s="58">
        <v>12538</v>
      </c>
      <c r="I1579" s="58">
        <v>87021</v>
      </c>
      <c r="J1579" s="58">
        <v>0</v>
      </c>
      <c r="K1579" s="1">
        <f t="shared" si="169"/>
        <v>422029.07999999996</v>
      </c>
      <c r="L1579" s="1">
        <f t="shared" si="170"/>
        <v>12538</v>
      </c>
      <c r="M1579" s="1">
        <f>VLOOKUP(B1579,'[1]Срок Годности'!$A$2:$B$4,2,0)</f>
        <v>1500</v>
      </c>
      <c r="N1579" s="60">
        <f t="shared" si="171"/>
        <v>28764</v>
      </c>
      <c r="O1579" s="1" t="str">
        <f t="shared" si="172"/>
        <v>25 2012</v>
      </c>
      <c r="P1579" s="1">
        <f t="shared" si="173"/>
        <v>21</v>
      </c>
      <c r="Q1579" s="1">
        <f t="shared" ca="1" si="174"/>
        <v>4051</v>
      </c>
      <c r="S1579" s="1">
        <f t="shared" si="168"/>
        <v>87021</v>
      </c>
    </row>
    <row r="1580" spans="1:19" x14ac:dyDescent="0.2">
      <c r="A1580" s="57" t="s">
        <v>229</v>
      </c>
      <c r="B1580" s="57" t="s">
        <v>244</v>
      </c>
      <c r="C1580" s="57" t="s">
        <v>245</v>
      </c>
      <c r="D1580" s="58">
        <v>33.659999999999997</v>
      </c>
      <c r="E1580" s="59">
        <v>41083</v>
      </c>
      <c r="F1580" s="58">
        <v>87021</v>
      </c>
      <c r="G1580" s="58">
        <v>14250</v>
      </c>
      <c r="H1580" s="58">
        <v>12601</v>
      </c>
      <c r="I1580" s="58">
        <v>88374</v>
      </c>
      <c r="J1580" s="58">
        <v>0</v>
      </c>
      <c r="K1580" s="1">
        <f t="shared" si="169"/>
        <v>424149.66</v>
      </c>
      <c r="L1580" s="1">
        <f t="shared" si="170"/>
        <v>12601</v>
      </c>
      <c r="M1580" s="1">
        <f>VLOOKUP(B1580,'[1]Срок Годности'!$A$2:$B$4,2,0)</f>
        <v>1500</v>
      </c>
      <c r="N1580" s="60">
        <f t="shared" si="171"/>
        <v>14250</v>
      </c>
      <c r="O1580" s="1" t="str">
        <f t="shared" si="172"/>
        <v>25 2012</v>
      </c>
      <c r="P1580" s="1">
        <f t="shared" si="173"/>
        <v>21</v>
      </c>
      <c r="Q1580" s="1">
        <f t="shared" ca="1" si="174"/>
        <v>4050</v>
      </c>
      <c r="S1580" s="1">
        <f t="shared" si="168"/>
        <v>88374</v>
      </c>
    </row>
    <row r="1581" spans="1:19" x14ac:dyDescent="0.2">
      <c r="A1581" s="57" t="s">
        <v>229</v>
      </c>
      <c r="B1581" s="57" t="s">
        <v>244</v>
      </c>
      <c r="C1581" s="57" t="s">
        <v>245</v>
      </c>
      <c r="D1581" s="58">
        <v>33.659999999999997</v>
      </c>
      <c r="E1581" s="59">
        <v>41084</v>
      </c>
      <c r="F1581" s="58">
        <v>88374</v>
      </c>
      <c r="G1581" s="58">
        <v>18707</v>
      </c>
      <c r="H1581" s="58">
        <v>12801</v>
      </c>
      <c r="I1581" s="58">
        <v>94181</v>
      </c>
      <c r="J1581" s="58">
        <v>11</v>
      </c>
      <c r="K1581" s="1">
        <f t="shared" si="169"/>
        <v>430881.66</v>
      </c>
      <c r="L1581" s="1">
        <f t="shared" si="170"/>
        <v>12801</v>
      </c>
      <c r="M1581" s="1">
        <f>VLOOKUP(B1581,'[1]Срок Годности'!$A$2:$B$4,2,0)</f>
        <v>1500</v>
      </c>
      <c r="N1581" s="60">
        <f t="shared" si="171"/>
        <v>0</v>
      </c>
      <c r="O1581" s="1" t="str">
        <f t="shared" si="172"/>
        <v>26 2012</v>
      </c>
      <c r="P1581" s="1">
        <f t="shared" si="173"/>
        <v>21</v>
      </c>
      <c r="Q1581" s="1">
        <f t="shared" ca="1" si="174"/>
        <v>4049</v>
      </c>
      <c r="S1581" s="1">
        <f t="shared" si="168"/>
        <v>94170</v>
      </c>
    </row>
    <row r="1582" spans="1:19" x14ac:dyDescent="0.2">
      <c r="A1582" s="57" t="s">
        <v>229</v>
      </c>
      <c r="B1582" s="57" t="s">
        <v>244</v>
      </c>
      <c r="C1582" s="57" t="s">
        <v>245</v>
      </c>
      <c r="D1582" s="58">
        <v>33.659999999999997</v>
      </c>
      <c r="E1582" s="59">
        <v>41085</v>
      </c>
      <c r="F1582" s="58">
        <v>94181</v>
      </c>
      <c r="G1582" s="58">
        <v>13584</v>
      </c>
      <c r="H1582" s="58">
        <v>12341</v>
      </c>
      <c r="I1582" s="58">
        <v>95327</v>
      </c>
      <c r="J1582" s="58">
        <v>0</v>
      </c>
      <c r="K1582" s="1">
        <f t="shared" si="169"/>
        <v>415398.05999999994</v>
      </c>
      <c r="L1582" s="1">
        <f t="shared" si="170"/>
        <v>12341</v>
      </c>
      <c r="M1582" s="1">
        <f>VLOOKUP(B1582,'[1]Срок Годности'!$A$2:$B$4,2,0)</f>
        <v>1500</v>
      </c>
      <c r="N1582" s="60">
        <f t="shared" si="171"/>
        <v>13584</v>
      </c>
      <c r="O1582" s="1" t="str">
        <f t="shared" si="172"/>
        <v>26 2012</v>
      </c>
      <c r="P1582" s="1">
        <f t="shared" si="173"/>
        <v>21</v>
      </c>
      <c r="Q1582" s="1">
        <f t="shared" ca="1" si="174"/>
        <v>4048</v>
      </c>
      <c r="S1582" s="1">
        <f t="shared" si="168"/>
        <v>95327</v>
      </c>
    </row>
    <row r="1583" spans="1:19" x14ac:dyDescent="0.2">
      <c r="A1583" s="57" t="s">
        <v>229</v>
      </c>
      <c r="B1583" s="57" t="s">
        <v>244</v>
      </c>
      <c r="C1583" s="57" t="s">
        <v>245</v>
      </c>
      <c r="D1583" s="58">
        <v>33.659999999999997</v>
      </c>
      <c r="E1583" s="59">
        <v>41086</v>
      </c>
      <c r="F1583" s="58">
        <v>95327</v>
      </c>
      <c r="G1583" s="58">
        <v>11406</v>
      </c>
      <c r="H1583" s="58">
        <v>12521</v>
      </c>
      <c r="I1583" s="58">
        <v>94108</v>
      </c>
      <c r="J1583" s="58">
        <v>0</v>
      </c>
      <c r="K1583" s="1">
        <f t="shared" si="169"/>
        <v>421456.86</v>
      </c>
      <c r="L1583" s="1">
        <f t="shared" si="170"/>
        <v>12521</v>
      </c>
      <c r="M1583" s="1">
        <f>VLOOKUP(B1583,'[1]Срок Годности'!$A$2:$B$4,2,0)</f>
        <v>1500</v>
      </c>
      <c r="N1583" s="60">
        <f t="shared" si="171"/>
        <v>11406</v>
      </c>
      <c r="O1583" s="1" t="str">
        <f t="shared" si="172"/>
        <v>26 2012</v>
      </c>
      <c r="P1583" s="1">
        <f t="shared" si="173"/>
        <v>21</v>
      </c>
      <c r="Q1583" s="1">
        <f t="shared" ca="1" si="174"/>
        <v>4047</v>
      </c>
      <c r="S1583" s="1">
        <f t="shared" si="168"/>
        <v>94108</v>
      </c>
    </row>
    <row r="1584" spans="1:19" x14ac:dyDescent="0.2">
      <c r="A1584" s="57" t="s">
        <v>229</v>
      </c>
      <c r="B1584" s="57" t="s">
        <v>244</v>
      </c>
      <c r="C1584" s="57" t="s">
        <v>245</v>
      </c>
      <c r="D1584" s="58">
        <v>33.659999999999997</v>
      </c>
      <c r="E1584" s="59">
        <v>41087</v>
      </c>
      <c r="F1584" s="58">
        <v>94108</v>
      </c>
      <c r="G1584" s="58">
        <v>11256</v>
      </c>
      <c r="H1584" s="58">
        <v>13790</v>
      </c>
      <c r="I1584" s="58">
        <v>91552</v>
      </c>
      <c r="J1584" s="58">
        <v>0</v>
      </c>
      <c r="K1584" s="1">
        <f t="shared" si="169"/>
        <v>464171.39999999997</v>
      </c>
      <c r="L1584" s="1">
        <f t="shared" si="170"/>
        <v>13790</v>
      </c>
      <c r="M1584" s="1">
        <f>VLOOKUP(B1584,'[1]Срок Годности'!$A$2:$B$4,2,0)</f>
        <v>1500</v>
      </c>
      <c r="N1584" s="60">
        <f t="shared" si="171"/>
        <v>11256</v>
      </c>
      <c r="O1584" s="1" t="str">
        <f t="shared" si="172"/>
        <v>26 2012</v>
      </c>
      <c r="P1584" s="1">
        <f t="shared" si="173"/>
        <v>21</v>
      </c>
      <c r="Q1584" s="1">
        <f t="shared" ca="1" si="174"/>
        <v>4046</v>
      </c>
      <c r="S1584" s="1">
        <f t="shared" si="168"/>
        <v>91552</v>
      </c>
    </row>
    <row r="1585" spans="1:19" x14ac:dyDescent="0.2">
      <c r="A1585" s="57" t="s">
        <v>229</v>
      </c>
      <c r="B1585" s="57" t="s">
        <v>244</v>
      </c>
      <c r="C1585" s="57" t="s">
        <v>245</v>
      </c>
      <c r="D1585" s="58">
        <v>33.659999999999997</v>
      </c>
      <c r="E1585" s="59">
        <v>41088</v>
      </c>
      <c r="F1585" s="58">
        <v>91552</v>
      </c>
      <c r="G1585" s="58">
        <v>10806</v>
      </c>
      <c r="H1585" s="58">
        <v>12954</v>
      </c>
      <c r="I1585" s="58">
        <v>89349</v>
      </c>
      <c r="J1585" s="58">
        <v>1</v>
      </c>
      <c r="K1585" s="1">
        <f t="shared" si="169"/>
        <v>436031.63999999996</v>
      </c>
      <c r="L1585" s="1">
        <f t="shared" si="170"/>
        <v>12954</v>
      </c>
      <c r="M1585" s="1">
        <f>VLOOKUP(B1585,'[1]Срок Годности'!$A$2:$B$4,2,0)</f>
        <v>1500</v>
      </c>
      <c r="N1585" s="60">
        <f t="shared" si="171"/>
        <v>10806</v>
      </c>
      <c r="O1585" s="1" t="str">
        <f t="shared" si="172"/>
        <v>26 2012</v>
      </c>
      <c r="P1585" s="1">
        <f t="shared" si="173"/>
        <v>21</v>
      </c>
      <c r="Q1585" s="1">
        <f t="shared" ca="1" si="174"/>
        <v>4045</v>
      </c>
      <c r="S1585" s="1">
        <f t="shared" si="168"/>
        <v>89348</v>
      </c>
    </row>
    <row r="1586" spans="1:19" x14ac:dyDescent="0.2">
      <c r="A1586" s="57" t="s">
        <v>229</v>
      </c>
      <c r="B1586" s="57" t="s">
        <v>244</v>
      </c>
      <c r="C1586" s="57" t="s">
        <v>245</v>
      </c>
      <c r="D1586" s="58">
        <v>33.659999999999997</v>
      </c>
      <c r="E1586" s="59">
        <v>41089</v>
      </c>
      <c r="F1586" s="58">
        <v>89349</v>
      </c>
      <c r="G1586" s="58">
        <v>12910</v>
      </c>
      <c r="H1586" s="58">
        <v>13571</v>
      </c>
      <c r="I1586" s="58">
        <v>88792</v>
      </c>
      <c r="J1586" s="58">
        <v>0</v>
      </c>
      <c r="K1586" s="1">
        <f t="shared" si="169"/>
        <v>456799.85999999993</v>
      </c>
      <c r="L1586" s="1">
        <f t="shared" si="170"/>
        <v>13571</v>
      </c>
      <c r="M1586" s="1">
        <f>VLOOKUP(B1586,'[1]Срок Годности'!$A$2:$B$4,2,0)</f>
        <v>1500</v>
      </c>
      <c r="N1586" s="60">
        <f t="shared" si="171"/>
        <v>12910</v>
      </c>
      <c r="O1586" s="1" t="str">
        <f t="shared" si="172"/>
        <v>26 2012</v>
      </c>
      <c r="P1586" s="1">
        <f t="shared" si="173"/>
        <v>21</v>
      </c>
      <c r="Q1586" s="1">
        <f t="shared" ca="1" si="174"/>
        <v>4044</v>
      </c>
      <c r="S1586" s="1">
        <f t="shared" si="168"/>
        <v>88792</v>
      </c>
    </row>
    <row r="1587" spans="1:19" x14ac:dyDescent="0.2">
      <c r="A1587" s="57" t="s">
        <v>229</v>
      </c>
      <c r="B1587" s="57" t="s">
        <v>244</v>
      </c>
      <c r="C1587" s="57" t="s">
        <v>245</v>
      </c>
      <c r="D1587" s="58">
        <v>33.659999999999997</v>
      </c>
      <c r="E1587" s="59">
        <v>41090</v>
      </c>
      <c r="F1587" s="58">
        <v>88792</v>
      </c>
      <c r="G1587" s="58">
        <v>12263</v>
      </c>
      <c r="H1587" s="58">
        <v>15548</v>
      </c>
      <c r="I1587" s="58">
        <v>85429</v>
      </c>
      <c r="J1587" s="58">
        <v>0</v>
      </c>
      <c r="K1587" s="1">
        <f t="shared" si="169"/>
        <v>523345.67999999993</v>
      </c>
      <c r="L1587" s="1">
        <f t="shared" si="170"/>
        <v>15548</v>
      </c>
      <c r="M1587" s="1">
        <f>VLOOKUP(B1587,'[1]Срок Годности'!$A$2:$B$4,2,0)</f>
        <v>1500</v>
      </c>
      <c r="N1587" s="60">
        <f t="shared" si="171"/>
        <v>12263</v>
      </c>
      <c r="O1587" s="1" t="str">
        <f t="shared" si="172"/>
        <v>26 2012</v>
      </c>
      <c r="P1587" s="1">
        <f t="shared" si="173"/>
        <v>21</v>
      </c>
      <c r="Q1587" s="1">
        <f t="shared" ca="1" si="174"/>
        <v>4043</v>
      </c>
      <c r="S1587" s="1">
        <f t="shared" si="168"/>
        <v>85429</v>
      </c>
    </row>
    <row r="1588" spans="1:19" x14ac:dyDescent="0.2">
      <c r="A1588" s="57" t="s">
        <v>229</v>
      </c>
      <c r="B1588" s="57" t="s">
        <v>244</v>
      </c>
      <c r="C1588" s="57" t="s">
        <v>245</v>
      </c>
      <c r="D1588" s="58">
        <v>33.659999999999997</v>
      </c>
      <c r="E1588" s="59">
        <v>41091</v>
      </c>
      <c r="F1588" s="58">
        <v>85429</v>
      </c>
      <c r="G1588" s="58">
        <v>12891</v>
      </c>
      <c r="H1588" s="58">
        <v>15538</v>
      </c>
      <c r="I1588" s="58">
        <v>82694</v>
      </c>
      <c r="J1588" s="58">
        <v>6</v>
      </c>
      <c r="K1588" s="1">
        <f t="shared" si="169"/>
        <v>523009.07999999996</v>
      </c>
      <c r="L1588" s="1">
        <f t="shared" si="170"/>
        <v>15538</v>
      </c>
      <c r="M1588" s="1">
        <f>VLOOKUP(B1588,'[1]Срок Годности'!$A$2:$B$4,2,0)</f>
        <v>1500</v>
      </c>
      <c r="N1588" s="60">
        <f t="shared" si="171"/>
        <v>0</v>
      </c>
      <c r="O1588" s="1" t="str">
        <f t="shared" si="172"/>
        <v>27 2012</v>
      </c>
      <c r="P1588" s="1">
        <f t="shared" si="173"/>
        <v>21</v>
      </c>
      <c r="Q1588" s="1">
        <f t="shared" ca="1" si="174"/>
        <v>4042</v>
      </c>
      <c r="S1588" s="1">
        <f t="shared" si="168"/>
        <v>82688</v>
      </c>
    </row>
    <row r="1589" spans="1:19" x14ac:dyDescent="0.2">
      <c r="A1589" s="57" t="s">
        <v>229</v>
      </c>
      <c r="B1589" s="57" t="s">
        <v>244</v>
      </c>
      <c r="C1589" s="57" t="s">
        <v>245</v>
      </c>
      <c r="D1589" s="58">
        <v>33.659999999999997</v>
      </c>
      <c r="E1589" s="59">
        <v>41092</v>
      </c>
      <c r="F1589" s="58">
        <v>82694</v>
      </c>
      <c r="G1589" s="58">
        <v>16676</v>
      </c>
      <c r="H1589" s="58">
        <v>14714</v>
      </c>
      <c r="I1589" s="58">
        <v>84563</v>
      </c>
      <c r="J1589" s="58">
        <v>1</v>
      </c>
      <c r="K1589" s="1">
        <f t="shared" si="169"/>
        <v>495273.23999999993</v>
      </c>
      <c r="L1589" s="1">
        <f t="shared" si="170"/>
        <v>14714</v>
      </c>
      <c r="M1589" s="1">
        <f>VLOOKUP(B1589,'[1]Срок Годности'!$A$2:$B$4,2,0)</f>
        <v>1500</v>
      </c>
      <c r="N1589" s="60">
        <f t="shared" si="171"/>
        <v>16676</v>
      </c>
      <c r="O1589" s="1" t="str">
        <f t="shared" si="172"/>
        <v>27 2012</v>
      </c>
      <c r="P1589" s="1">
        <f t="shared" si="173"/>
        <v>21</v>
      </c>
      <c r="Q1589" s="1">
        <f t="shared" ca="1" si="174"/>
        <v>4041</v>
      </c>
      <c r="S1589" s="1">
        <f t="shared" si="168"/>
        <v>84562</v>
      </c>
    </row>
    <row r="1590" spans="1:19" x14ac:dyDescent="0.2">
      <c r="A1590" s="57" t="s">
        <v>229</v>
      </c>
      <c r="B1590" s="57" t="s">
        <v>244</v>
      </c>
      <c r="C1590" s="57" t="s">
        <v>245</v>
      </c>
      <c r="D1590" s="58">
        <v>33.659999999999997</v>
      </c>
      <c r="E1590" s="59">
        <v>41093</v>
      </c>
      <c r="F1590" s="58">
        <v>84563</v>
      </c>
      <c r="G1590" s="58">
        <v>18050</v>
      </c>
      <c r="H1590" s="58">
        <v>15062</v>
      </c>
      <c r="I1590" s="58">
        <v>87492</v>
      </c>
      <c r="J1590" s="58">
        <v>2</v>
      </c>
      <c r="K1590" s="1">
        <f t="shared" si="169"/>
        <v>506986.91999999993</v>
      </c>
      <c r="L1590" s="1">
        <f t="shared" si="170"/>
        <v>15062</v>
      </c>
      <c r="M1590" s="1">
        <f>VLOOKUP(B1590,'[1]Срок Годности'!$A$2:$B$4,2,0)</f>
        <v>1500</v>
      </c>
      <c r="N1590" s="60">
        <f t="shared" si="171"/>
        <v>18050</v>
      </c>
      <c r="O1590" s="1" t="str">
        <f t="shared" si="172"/>
        <v>27 2012</v>
      </c>
      <c r="P1590" s="1">
        <f t="shared" si="173"/>
        <v>21</v>
      </c>
      <c r="Q1590" s="1">
        <f t="shared" ca="1" si="174"/>
        <v>4040</v>
      </c>
      <c r="S1590" s="1">
        <f t="shared" si="168"/>
        <v>87490</v>
      </c>
    </row>
    <row r="1591" spans="1:19" x14ac:dyDescent="0.2">
      <c r="A1591" s="57" t="s">
        <v>229</v>
      </c>
      <c r="B1591" s="57" t="s">
        <v>244</v>
      </c>
      <c r="C1591" s="57" t="s">
        <v>245</v>
      </c>
      <c r="D1591" s="58">
        <v>33.659999999999997</v>
      </c>
      <c r="E1591" s="59">
        <v>41094</v>
      </c>
      <c r="F1591" s="58">
        <v>87492</v>
      </c>
      <c r="G1591" s="58">
        <v>16868</v>
      </c>
      <c r="H1591" s="58">
        <v>14423</v>
      </c>
      <c r="I1591" s="58">
        <v>89829</v>
      </c>
      <c r="J1591" s="58">
        <v>0</v>
      </c>
      <c r="K1591" s="1">
        <f t="shared" si="169"/>
        <v>485478.17999999993</v>
      </c>
      <c r="L1591" s="1">
        <f t="shared" si="170"/>
        <v>14423</v>
      </c>
      <c r="M1591" s="1">
        <f>VLOOKUP(B1591,'[1]Срок Годности'!$A$2:$B$4,2,0)</f>
        <v>1500</v>
      </c>
      <c r="N1591" s="60">
        <f t="shared" si="171"/>
        <v>16868</v>
      </c>
      <c r="O1591" s="1" t="str">
        <f t="shared" si="172"/>
        <v>27 2012</v>
      </c>
      <c r="P1591" s="1">
        <f t="shared" si="173"/>
        <v>21</v>
      </c>
      <c r="Q1591" s="1">
        <f t="shared" ca="1" si="174"/>
        <v>4039</v>
      </c>
      <c r="S1591" s="1">
        <f t="shared" si="168"/>
        <v>89829</v>
      </c>
    </row>
    <row r="1592" spans="1:19" x14ac:dyDescent="0.2">
      <c r="A1592" s="57" t="s">
        <v>229</v>
      </c>
      <c r="B1592" s="57" t="s">
        <v>244</v>
      </c>
      <c r="C1592" s="57" t="s">
        <v>245</v>
      </c>
      <c r="D1592" s="58">
        <v>33.659999999999997</v>
      </c>
      <c r="E1592" s="59">
        <v>41095</v>
      </c>
      <c r="F1592" s="58">
        <v>89829</v>
      </c>
      <c r="G1592" s="58">
        <v>17200</v>
      </c>
      <c r="H1592" s="58">
        <v>14804</v>
      </c>
      <c r="I1592" s="58">
        <v>92157</v>
      </c>
      <c r="J1592" s="58">
        <v>0</v>
      </c>
      <c r="K1592" s="1">
        <f t="shared" si="169"/>
        <v>498302.63999999996</v>
      </c>
      <c r="L1592" s="1">
        <f t="shared" si="170"/>
        <v>14804</v>
      </c>
      <c r="M1592" s="1">
        <f>VLOOKUP(B1592,'[1]Срок Годности'!$A$2:$B$4,2,0)</f>
        <v>1500</v>
      </c>
      <c r="N1592" s="60">
        <f t="shared" si="171"/>
        <v>17200</v>
      </c>
      <c r="O1592" s="1" t="str">
        <f t="shared" si="172"/>
        <v>27 2012</v>
      </c>
      <c r="P1592" s="1">
        <f t="shared" si="173"/>
        <v>21</v>
      </c>
      <c r="Q1592" s="1">
        <f t="shared" ca="1" si="174"/>
        <v>4038</v>
      </c>
      <c r="S1592" s="1">
        <f t="shared" si="168"/>
        <v>92157</v>
      </c>
    </row>
    <row r="1593" spans="1:19" x14ac:dyDescent="0.2">
      <c r="A1593" s="57" t="s">
        <v>229</v>
      </c>
      <c r="B1593" s="57" t="s">
        <v>244</v>
      </c>
      <c r="C1593" s="57" t="s">
        <v>245</v>
      </c>
      <c r="D1593" s="58">
        <v>33.659999999999997</v>
      </c>
      <c r="E1593" s="59">
        <v>41096</v>
      </c>
      <c r="F1593" s="58">
        <v>92157</v>
      </c>
      <c r="G1593" s="58">
        <v>15483</v>
      </c>
      <c r="H1593" s="58">
        <v>13147</v>
      </c>
      <c r="I1593" s="58">
        <v>94212</v>
      </c>
      <c r="J1593" s="58">
        <v>1</v>
      </c>
      <c r="K1593" s="1">
        <f t="shared" si="169"/>
        <v>442528.01999999996</v>
      </c>
      <c r="L1593" s="1">
        <f t="shared" si="170"/>
        <v>13147</v>
      </c>
      <c r="M1593" s="1">
        <f>VLOOKUP(B1593,'[1]Срок Годности'!$A$2:$B$4,2,0)</f>
        <v>1500</v>
      </c>
      <c r="N1593" s="60">
        <f t="shared" si="171"/>
        <v>15483</v>
      </c>
      <c r="O1593" s="1" t="str">
        <f t="shared" si="172"/>
        <v>27 2012</v>
      </c>
      <c r="P1593" s="1">
        <f t="shared" si="173"/>
        <v>21</v>
      </c>
      <c r="Q1593" s="1">
        <f t="shared" ca="1" si="174"/>
        <v>4037</v>
      </c>
      <c r="S1593" s="1">
        <f t="shared" si="168"/>
        <v>94211</v>
      </c>
    </row>
    <row r="1594" spans="1:19" x14ac:dyDescent="0.2">
      <c r="A1594" s="57" t="s">
        <v>229</v>
      </c>
      <c r="B1594" s="57" t="s">
        <v>244</v>
      </c>
      <c r="C1594" s="57" t="s">
        <v>245</v>
      </c>
      <c r="D1594" s="58">
        <v>33.659999999999997</v>
      </c>
      <c r="E1594" s="59">
        <v>41097</v>
      </c>
      <c r="F1594" s="58">
        <v>94212</v>
      </c>
      <c r="G1594" s="58">
        <v>16092</v>
      </c>
      <c r="H1594" s="58">
        <v>14839</v>
      </c>
      <c r="I1594" s="58">
        <v>95353</v>
      </c>
      <c r="J1594" s="58">
        <v>2</v>
      </c>
      <c r="K1594" s="1">
        <f t="shared" si="169"/>
        <v>499480.73999999993</v>
      </c>
      <c r="L1594" s="1">
        <f t="shared" si="170"/>
        <v>14839</v>
      </c>
      <c r="M1594" s="1">
        <f>VLOOKUP(B1594,'[1]Срок Годности'!$A$2:$B$4,2,0)</f>
        <v>1500</v>
      </c>
      <c r="N1594" s="60">
        <f t="shared" si="171"/>
        <v>16092</v>
      </c>
      <c r="O1594" s="1" t="str">
        <f t="shared" si="172"/>
        <v>27 2012</v>
      </c>
      <c r="P1594" s="1">
        <f t="shared" si="173"/>
        <v>21</v>
      </c>
      <c r="Q1594" s="1">
        <f t="shared" ca="1" si="174"/>
        <v>4036</v>
      </c>
      <c r="S1594" s="1">
        <f t="shared" si="168"/>
        <v>95351</v>
      </c>
    </row>
    <row r="1595" spans="1:19" x14ac:dyDescent="0.2">
      <c r="A1595" s="57" t="s">
        <v>229</v>
      </c>
      <c r="B1595" s="57" t="s">
        <v>244</v>
      </c>
      <c r="C1595" s="57" t="s">
        <v>245</v>
      </c>
      <c r="D1595" s="58">
        <v>33.659999999999997</v>
      </c>
      <c r="E1595" s="59">
        <v>41098</v>
      </c>
      <c r="F1595" s="58">
        <v>95353</v>
      </c>
      <c r="G1595" s="58">
        <v>14106</v>
      </c>
      <c r="H1595" s="58">
        <v>14301</v>
      </c>
      <c r="I1595" s="58">
        <v>95043</v>
      </c>
      <c r="J1595" s="58">
        <v>1</v>
      </c>
      <c r="K1595" s="1">
        <f t="shared" si="169"/>
        <v>481371.66</v>
      </c>
      <c r="L1595" s="1">
        <f t="shared" si="170"/>
        <v>14301</v>
      </c>
      <c r="M1595" s="1">
        <f>VLOOKUP(B1595,'[1]Срок Годности'!$A$2:$B$4,2,0)</f>
        <v>1500</v>
      </c>
      <c r="N1595" s="60">
        <f t="shared" si="171"/>
        <v>0</v>
      </c>
      <c r="O1595" s="1" t="str">
        <f t="shared" si="172"/>
        <v>28 2012</v>
      </c>
      <c r="P1595" s="1">
        <f t="shared" si="173"/>
        <v>21</v>
      </c>
      <c r="Q1595" s="1">
        <f t="shared" ca="1" si="174"/>
        <v>4035</v>
      </c>
      <c r="S1595" s="1">
        <f t="shared" si="168"/>
        <v>95042</v>
      </c>
    </row>
    <row r="1596" spans="1:19" x14ac:dyDescent="0.2">
      <c r="A1596" s="57" t="s">
        <v>229</v>
      </c>
      <c r="B1596" s="57" t="s">
        <v>244</v>
      </c>
      <c r="C1596" s="57" t="s">
        <v>245</v>
      </c>
      <c r="D1596" s="58">
        <v>33.659999999999997</v>
      </c>
      <c r="E1596" s="59">
        <v>41099</v>
      </c>
      <c r="F1596" s="58">
        <v>95043</v>
      </c>
      <c r="G1596" s="58">
        <v>16800</v>
      </c>
      <c r="H1596" s="58">
        <v>14010</v>
      </c>
      <c r="I1596" s="58">
        <v>97514</v>
      </c>
      <c r="J1596" s="58">
        <v>6</v>
      </c>
      <c r="K1596" s="1">
        <f t="shared" si="169"/>
        <v>471576.6</v>
      </c>
      <c r="L1596" s="1">
        <f t="shared" si="170"/>
        <v>14010</v>
      </c>
      <c r="M1596" s="1">
        <f>VLOOKUP(B1596,'[1]Срок Годности'!$A$2:$B$4,2,0)</f>
        <v>1500</v>
      </c>
      <c r="N1596" s="60">
        <f t="shared" si="171"/>
        <v>16800</v>
      </c>
      <c r="O1596" s="1" t="str">
        <f t="shared" si="172"/>
        <v>28 2012</v>
      </c>
      <c r="P1596" s="1">
        <f t="shared" si="173"/>
        <v>21</v>
      </c>
      <c r="Q1596" s="1">
        <f t="shared" ca="1" si="174"/>
        <v>4034</v>
      </c>
      <c r="S1596" s="1">
        <f t="shared" si="168"/>
        <v>97508</v>
      </c>
    </row>
    <row r="1597" spans="1:19" x14ac:dyDescent="0.2">
      <c r="A1597" s="57" t="s">
        <v>229</v>
      </c>
      <c r="B1597" s="57" t="s">
        <v>244</v>
      </c>
      <c r="C1597" s="57" t="s">
        <v>245</v>
      </c>
      <c r="D1597" s="58">
        <v>33.659999999999997</v>
      </c>
      <c r="E1597" s="59">
        <v>41100</v>
      </c>
      <c r="F1597" s="58">
        <v>97514</v>
      </c>
      <c r="G1597" s="58">
        <v>12840</v>
      </c>
      <c r="H1597" s="58">
        <v>14807</v>
      </c>
      <c r="I1597" s="58">
        <v>95398</v>
      </c>
      <c r="J1597" s="58">
        <v>0</v>
      </c>
      <c r="K1597" s="1">
        <f t="shared" si="169"/>
        <v>498403.61999999994</v>
      </c>
      <c r="L1597" s="1">
        <f t="shared" si="170"/>
        <v>14807</v>
      </c>
      <c r="M1597" s="1">
        <f>VLOOKUP(B1597,'[1]Срок Годности'!$A$2:$B$4,2,0)</f>
        <v>1500</v>
      </c>
      <c r="N1597" s="60">
        <f t="shared" si="171"/>
        <v>12840</v>
      </c>
      <c r="O1597" s="1" t="str">
        <f t="shared" si="172"/>
        <v>28 2012</v>
      </c>
      <c r="P1597" s="1">
        <f t="shared" si="173"/>
        <v>21</v>
      </c>
      <c r="Q1597" s="1">
        <f t="shared" ca="1" si="174"/>
        <v>4033</v>
      </c>
      <c r="S1597" s="1">
        <f t="shared" si="168"/>
        <v>95398</v>
      </c>
    </row>
    <row r="1598" spans="1:19" x14ac:dyDescent="0.2">
      <c r="A1598" s="57" t="s">
        <v>229</v>
      </c>
      <c r="B1598" s="57" t="s">
        <v>244</v>
      </c>
      <c r="C1598" s="57" t="s">
        <v>245</v>
      </c>
      <c r="D1598" s="58">
        <v>33.659999999999997</v>
      </c>
      <c r="E1598" s="59">
        <v>41101</v>
      </c>
      <c r="F1598" s="58">
        <v>95398</v>
      </c>
      <c r="G1598" s="58">
        <v>13416</v>
      </c>
      <c r="H1598" s="58">
        <v>14503</v>
      </c>
      <c r="I1598" s="58">
        <v>94193</v>
      </c>
      <c r="J1598" s="58">
        <v>0</v>
      </c>
      <c r="K1598" s="1">
        <f t="shared" si="169"/>
        <v>488170.97999999992</v>
      </c>
      <c r="L1598" s="1">
        <f t="shared" si="170"/>
        <v>14503</v>
      </c>
      <c r="M1598" s="1">
        <f>VLOOKUP(B1598,'[1]Срок Годности'!$A$2:$B$4,2,0)</f>
        <v>1500</v>
      </c>
      <c r="N1598" s="60">
        <f t="shared" si="171"/>
        <v>13416</v>
      </c>
      <c r="O1598" s="1" t="str">
        <f t="shared" si="172"/>
        <v>28 2012</v>
      </c>
      <c r="P1598" s="1">
        <f t="shared" si="173"/>
        <v>21</v>
      </c>
      <c r="Q1598" s="1">
        <f t="shared" ca="1" si="174"/>
        <v>4032</v>
      </c>
      <c r="S1598" s="1">
        <f t="shared" si="168"/>
        <v>94193</v>
      </c>
    </row>
    <row r="1599" spans="1:19" x14ac:dyDescent="0.2">
      <c r="A1599" s="57" t="s">
        <v>229</v>
      </c>
      <c r="B1599" s="57" t="s">
        <v>244</v>
      </c>
      <c r="C1599" s="57" t="s">
        <v>245</v>
      </c>
      <c r="D1599" s="58">
        <v>33.659999999999997</v>
      </c>
      <c r="E1599" s="59">
        <v>41102</v>
      </c>
      <c r="F1599" s="58">
        <v>94193</v>
      </c>
      <c r="G1599" s="58">
        <v>16619</v>
      </c>
      <c r="H1599" s="58">
        <v>13074</v>
      </c>
      <c r="I1599" s="58">
        <v>97294</v>
      </c>
      <c r="J1599" s="58">
        <v>1</v>
      </c>
      <c r="K1599" s="1">
        <f t="shared" si="169"/>
        <v>440070.83999999997</v>
      </c>
      <c r="L1599" s="1">
        <f t="shared" si="170"/>
        <v>13074</v>
      </c>
      <c r="M1599" s="1">
        <f>VLOOKUP(B1599,'[1]Срок Годности'!$A$2:$B$4,2,0)</f>
        <v>1500</v>
      </c>
      <c r="N1599" s="60">
        <f t="shared" si="171"/>
        <v>16619</v>
      </c>
      <c r="O1599" s="1" t="str">
        <f t="shared" si="172"/>
        <v>28 2012</v>
      </c>
      <c r="P1599" s="1">
        <f t="shared" si="173"/>
        <v>21</v>
      </c>
      <c r="Q1599" s="1">
        <f t="shared" ca="1" si="174"/>
        <v>4031</v>
      </c>
      <c r="S1599" s="1">
        <f t="shared" si="168"/>
        <v>97293</v>
      </c>
    </row>
    <row r="1600" spans="1:19" x14ac:dyDescent="0.2">
      <c r="A1600" s="57" t="s">
        <v>229</v>
      </c>
      <c r="B1600" s="57" t="s">
        <v>244</v>
      </c>
      <c r="C1600" s="57" t="s">
        <v>245</v>
      </c>
      <c r="D1600" s="58">
        <v>33.659999999999997</v>
      </c>
      <c r="E1600" s="59">
        <v>41103</v>
      </c>
      <c r="F1600" s="58">
        <v>97294</v>
      </c>
      <c r="G1600" s="58">
        <v>14334</v>
      </c>
      <c r="H1600" s="58">
        <v>12389</v>
      </c>
      <c r="I1600" s="58">
        <v>99094</v>
      </c>
      <c r="J1600" s="58">
        <v>0</v>
      </c>
      <c r="K1600" s="1">
        <f t="shared" si="169"/>
        <v>417013.73999999993</v>
      </c>
      <c r="L1600" s="1">
        <f t="shared" si="170"/>
        <v>12389</v>
      </c>
      <c r="M1600" s="1">
        <f>VLOOKUP(B1600,'[1]Срок Годности'!$A$2:$B$4,2,0)</f>
        <v>1500</v>
      </c>
      <c r="N1600" s="60">
        <f t="shared" si="171"/>
        <v>14334</v>
      </c>
      <c r="O1600" s="1" t="str">
        <f t="shared" si="172"/>
        <v>28 2012</v>
      </c>
      <c r="P1600" s="1">
        <f t="shared" si="173"/>
        <v>21</v>
      </c>
      <c r="Q1600" s="1">
        <f t="shared" ca="1" si="174"/>
        <v>4030</v>
      </c>
      <c r="S1600" s="1">
        <f t="shared" si="168"/>
        <v>99094</v>
      </c>
    </row>
    <row r="1601" spans="1:19" x14ac:dyDescent="0.2">
      <c r="A1601" s="57" t="s">
        <v>229</v>
      </c>
      <c r="B1601" s="57" t="s">
        <v>244</v>
      </c>
      <c r="C1601" s="57" t="s">
        <v>245</v>
      </c>
      <c r="D1601" s="58">
        <v>33.659999999999997</v>
      </c>
      <c r="E1601" s="59">
        <v>41104</v>
      </c>
      <c r="F1601" s="58">
        <v>99094</v>
      </c>
      <c r="G1601" s="58">
        <v>11647</v>
      </c>
      <c r="H1601" s="58">
        <v>12570</v>
      </c>
      <c r="I1601" s="58">
        <v>98069</v>
      </c>
      <c r="J1601" s="58">
        <v>0</v>
      </c>
      <c r="K1601" s="1">
        <f t="shared" si="169"/>
        <v>423106.19999999995</v>
      </c>
      <c r="L1601" s="1">
        <f t="shared" si="170"/>
        <v>12570</v>
      </c>
      <c r="M1601" s="1">
        <f>VLOOKUP(B1601,'[1]Срок Годности'!$A$2:$B$4,2,0)</f>
        <v>1500</v>
      </c>
      <c r="N1601" s="60">
        <f t="shared" si="171"/>
        <v>11647</v>
      </c>
      <c r="O1601" s="1" t="str">
        <f t="shared" si="172"/>
        <v>28 2012</v>
      </c>
      <c r="P1601" s="1">
        <f t="shared" si="173"/>
        <v>21</v>
      </c>
      <c r="Q1601" s="1">
        <f t="shared" ca="1" si="174"/>
        <v>4029</v>
      </c>
      <c r="S1601" s="1">
        <f t="shared" si="168"/>
        <v>98069</v>
      </c>
    </row>
    <row r="1602" spans="1:19" x14ac:dyDescent="0.2">
      <c r="A1602" s="57" t="s">
        <v>229</v>
      </c>
      <c r="B1602" s="57" t="s">
        <v>244</v>
      </c>
      <c r="C1602" s="57" t="s">
        <v>245</v>
      </c>
      <c r="D1602" s="58">
        <v>33.659999999999997</v>
      </c>
      <c r="E1602" s="59">
        <v>41105</v>
      </c>
      <c r="F1602" s="58">
        <v>98069</v>
      </c>
      <c r="G1602" s="58">
        <v>11233</v>
      </c>
      <c r="H1602" s="58">
        <v>11990</v>
      </c>
      <c r="I1602" s="58">
        <v>97094</v>
      </c>
      <c r="J1602" s="58">
        <v>1</v>
      </c>
      <c r="K1602" s="1">
        <f t="shared" si="169"/>
        <v>403583.39999999997</v>
      </c>
      <c r="L1602" s="1">
        <f t="shared" si="170"/>
        <v>11990</v>
      </c>
      <c r="M1602" s="1">
        <f>VLOOKUP(B1602,'[1]Срок Годности'!$A$2:$B$4,2,0)</f>
        <v>1500</v>
      </c>
      <c r="N1602" s="60">
        <f t="shared" si="171"/>
        <v>0</v>
      </c>
      <c r="O1602" s="1" t="str">
        <f t="shared" si="172"/>
        <v>29 2012</v>
      </c>
      <c r="P1602" s="1">
        <f t="shared" si="173"/>
        <v>21</v>
      </c>
      <c r="Q1602" s="1">
        <f t="shared" ca="1" si="174"/>
        <v>4028</v>
      </c>
      <c r="S1602" s="1">
        <f t="shared" si="168"/>
        <v>97093</v>
      </c>
    </row>
    <row r="1603" spans="1:19" x14ac:dyDescent="0.2">
      <c r="A1603" s="57" t="s">
        <v>229</v>
      </c>
      <c r="B1603" s="57" t="s">
        <v>244</v>
      </c>
      <c r="C1603" s="57" t="s">
        <v>245</v>
      </c>
      <c r="D1603" s="58">
        <v>33.659999999999997</v>
      </c>
      <c r="E1603" s="59">
        <v>41106</v>
      </c>
      <c r="F1603" s="58">
        <v>97094</v>
      </c>
      <c r="G1603" s="58">
        <v>9246</v>
      </c>
      <c r="H1603" s="58">
        <v>11820</v>
      </c>
      <c r="I1603" s="58">
        <v>94555</v>
      </c>
      <c r="J1603" s="58">
        <v>4</v>
      </c>
      <c r="K1603" s="1">
        <f t="shared" si="169"/>
        <v>397861.19999999995</v>
      </c>
      <c r="L1603" s="1">
        <f t="shared" si="170"/>
        <v>11820</v>
      </c>
      <c r="M1603" s="1">
        <f>VLOOKUP(B1603,'[1]Срок Годности'!$A$2:$B$4,2,0)</f>
        <v>1500</v>
      </c>
      <c r="N1603" s="60">
        <f t="shared" si="171"/>
        <v>9246</v>
      </c>
      <c r="O1603" s="1" t="str">
        <f t="shared" si="172"/>
        <v>29 2012</v>
      </c>
      <c r="P1603" s="1">
        <f t="shared" si="173"/>
        <v>21</v>
      </c>
      <c r="Q1603" s="1">
        <f t="shared" ca="1" si="174"/>
        <v>4027</v>
      </c>
      <c r="S1603" s="1">
        <f t="shared" si="168"/>
        <v>94551</v>
      </c>
    </row>
    <row r="1604" spans="1:19" x14ac:dyDescent="0.2">
      <c r="A1604" s="57" t="s">
        <v>229</v>
      </c>
      <c r="B1604" s="57" t="s">
        <v>244</v>
      </c>
      <c r="C1604" s="57" t="s">
        <v>245</v>
      </c>
      <c r="D1604" s="58">
        <v>33.659999999999997</v>
      </c>
      <c r="E1604" s="59">
        <v>41107</v>
      </c>
      <c r="F1604" s="58">
        <v>94555</v>
      </c>
      <c r="G1604" s="58">
        <v>10149</v>
      </c>
      <c r="H1604" s="58">
        <v>11467</v>
      </c>
      <c r="I1604" s="58">
        <v>93094</v>
      </c>
      <c r="J1604" s="58">
        <v>1</v>
      </c>
      <c r="K1604" s="1">
        <f t="shared" si="169"/>
        <v>385979.22</v>
      </c>
      <c r="L1604" s="1">
        <f t="shared" si="170"/>
        <v>11467</v>
      </c>
      <c r="M1604" s="1">
        <f>VLOOKUP(B1604,'[1]Срок Годности'!$A$2:$B$4,2,0)</f>
        <v>1500</v>
      </c>
      <c r="N1604" s="60">
        <f t="shared" si="171"/>
        <v>10149</v>
      </c>
      <c r="O1604" s="1" t="str">
        <f t="shared" si="172"/>
        <v>29 2012</v>
      </c>
      <c r="P1604" s="1">
        <f t="shared" si="173"/>
        <v>21</v>
      </c>
      <c r="Q1604" s="1">
        <f t="shared" ca="1" si="174"/>
        <v>4026</v>
      </c>
      <c r="S1604" s="1">
        <f t="shared" si="168"/>
        <v>93093</v>
      </c>
    </row>
    <row r="1605" spans="1:19" x14ac:dyDescent="0.2">
      <c r="A1605" s="57" t="s">
        <v>229</v>
      </c>
      <c r="B1605" s="57" t="s">
        <v>237</v>
      </c>
      <c r="C1605" s="57" t="s">
        <v>238</v>
      </c>
      <c r="D1605" s="58">
        <v>165.05</v>
      </c>
      <c r="E1605" s="59">
        <v>41061</v>
      </c>
      <c r="F1605" s="58">
        <v>3673</v>
      </c>
      <c r="G1605" s="58">
        <v>3198</v>
      </c>
      <c r="H1605" s="58">
        <v>2138</v>
      </c>
      <c r="I1605" s="58">
        <v>4717</v>
      </c>
      <c r="J1605" s="58">
        <v>0</v>
      </c>
      <c r="K1605" s="1">
        <f t="shared" si="169"/>
        <v>352876.9</v>
      </c>
      <c r="L1605" s="1">
        <f t="shared" si="170"/>
        <v>2138</v>
      </c>
      <c r="M1605" s="1">
        <f>VLOOKUP(B1605,'[1]Срок Годности'!$A$2:$B$4,2,0)</f>
        <v>1000</v>
      </c>
      <c r="N1605" s="60">
        <f t="shared" si="171"/>
        <v>3198</v>
      </c>
      <c r="O1605" s="1" t="str">
        <f t="shared" si="172"/>
        <v>22 2012</v>
      </c>
      <c r="P1605" s="1">
        <f t="shared" si="173"/>
        <v>22</v>
      </c>
      <c r="Q1605" s="1">
        <f t="shared" ca="1" si="174"/>
        <v>4072</v>
      </c>
      <c r="S1605" s="1">
        <f t="shared" si="168"/>
        <v>4717</v>
      </c>
    </row>
    <row r="1606" spans="1:19" x14ac:dyDescent="0.2">
      <c r="A1606" s="57" t="s">
        <v>229</v>
      </c>
      <c r="B1606" s="57" t="s">
        <v>237</v>
      </c>
      <c r="C1606" s="57" t="s">
        <v>238</v>
      </c>
      <c r="D1606" s="58">
        <v>165.05</v>
      </c>
      <c r="E1606" s="59">
        <v>41062</v>
      </c>
      <c r="F1606" s="58">
        <v>4717</v>
      </c>
      <c r="G1606" s="58">
        <v>4091</v>
      </c>
      <c r="H1606" s="58">
        <v>2644</v>
      </c>
      <c r="I1606" s="58">
        <v>6107</v>
      </c>
      <c r="J1606" s="58">
        <v>0</v>
      </c>
      <c r="K1606" s="1">
        <f t="shared" si="169"/>
        <v>436392.2</v>
      </c>
      <c r="L1606" s="1">
        <f t="shared" si="170"/>
        <v>2644</v>
      </c>
      <c r="M1606" s="1">
        <f>VLOOKUP(B1606,'[1]Срок Годности'!$A$2:$B$4,2,0)</f>
        <v>1000</v>
      </c>
      <c r="N1606" s="60">
        <f t="shared" si="171"/>
        <v>4091</v>
      </c>
      <c r="O1606" s="1" t="str">
        <f t="shared" si="172"/>
        <v>22 2012</v>
      </c>
      <c r="P1606" s="1">
        <f t="shared" si="173"/>
        <v>22</v>
      </c>
      <c r="Q1606" s="1">
        <f t="shared" ca="1" si="174"/>
        <v>4071</v>
      </c>
      <c r="S1606" s="1">
        <f t="shared" si="168"/>
        <v>6107</v>
      </c>
    </row>
    <row r="1607" spans="1:19" x14ac:dyDescent="0.2">
      <c r="A1607" s="57" t="s">
        <v>229</v>
      </c>
      <c r="B1607" s="57" t="s">
        <v>237</v>
      </c>
      <c r="C1607" s="57" t="s">
        <v>238</v>
      </c>
      <c r="D1607" s="58">
        <v>165.05</v>
      </c>
      <c r="E1607" s="59">
        <v>41063</v>
      </c>
      <c r="F1607" s="58">
        <v>6107</v>
      </c>
      <c r="G1607" s="58">
        <v>44</v>
      </c>
      <c r="H1607" s="58">
        <v>2640</v>
      </c>
      <c r="I1607" s="58">
        <v>3484</v>
      </c>
      <c r="J1607" s="58">
        <v>0</v>
      </c>
      <c r="K1607" s="1">
        <f t="shared" si="169"/>
        <v>435732.00000000006</v>
      </c>
      <c r="L1607" s="1">
        <f t="shared" si="170"/>
        <v>2640</v>
      </c>
      <c r="M1607" s="1">
        <f>VLOOKUP(B1607,'[1]Срок Годности'!$A$2:$B$4,2,0)</f>
        <v>1000</v>
      </c>
      <c r="N1607" s="60">
        <f t="shared" si="171"/>
        <v>0</v>
      </c>
      <c r="O1607" s="1" t="str">
        <f t="shared" si="172"/>
        <v>23 2012</v>
      </c>
      <c r="P1607" s="1">
        <f t="shared" si="173"/>
        <v>22</v>
      </c>
      <c r="Q1607" s="1">
        <f t="shared" ca="1" si="174"/>
        <v>4070</v>
      </c>
      <c r="S1607" s="1">
        <f t="shared" ref="S1607:S1670" si="175">I1607-J1607</f>
        <v>3484</v>
      </c>
    </row>
    <row r="1608" spans="1:19" x14ac:dyDescent="0.2">
      <c r="A1608" s="57" t="s">
        <v>229</v>
      </c>
      <c r="B1608" s="57" t="s">
        <v>237</v>
      </c>
      <c r="C1608" s="57" t="s">
        <v>238</v>
      </c>
      <c r="D1608" s="58">
        <v>165.05</v>
      </c>
      <c r="E1608" s="59">
        <v>41064</v>
      </c>
      <c r="F1608" s="58">
        <v>3484</v>
      </c>
      <c r="G1608" s="58">
        <v>4151</v>
      </c>
      <c r="H1608" s="58">
        <v>2155</v>
      </c>
      <c r="I1608" s="58">
        <v>5466</v>
      </c>
      <c r="J1608" s="58">
        <v>0</v>
      </c>
      <c r="K1608" s="1">
        <f t="shared" ref="K1608:K1671" si="176">H1608*D1608</f>
        <v>355682.75</v>
      </c>
      <c r="L1608" s="1">
        <f t="shared" ref="L1608:L1671" si="177">IF(H1608&gt;1000,H1608,"")</f>
        <v>2155</v>
      </c>
      <c r="M1608" s="1">
        <f>VLOOKUP(B1608,'[1]Срок Годности'!$A$2:$B$4,2,0)</f>
        <v>1000</v>
      </c>
      <c r="N1608" s="60">
        <f t="shared" ref="N1608:N1671" si="178">IF(WEEKDAY(E1608) = 1, 0, G1608)</f>
        <v>4151</v>
      </c>
      <c r="O1608" s="1" t="str">
        <f t="shared" ref="O1608:O1671" si="179">WEEKNUM(E1608) &amp; " " &amp; YEAR(E1608)</f>
        <v>23 2012</v>
      </c>
      <c r="P1608" s="1">
        <f t="shared" ref="P1608:P1671" si="180">LEN(C1608)</f>
        <v>22</v>
      </c>
      <c r="Q1608" s="1">
        <f t="shared" ref="Q1608:Q1671" ca="1" si="181">DATEDIF(E1608,NOW(),"D")</f>
        <v>4069</v>
      </c>
      <c r="S1608" s="1">
        <f t="shared" si="175"/>
        <v>5466</v>
      </c>
    </row>
    <row r="1609" spans="1:19" x14ac:dyDescent="0.2">
      <c r="A1609" s="57" t="s">
        <v>229</v>
      </c>
      <c r="B1609" s="57" t="s">
        <v>237</v>
      </c>
      <c r="C1609" s="57" t="s">
        <v>238</v>
      </c>
      <c r="D1609" s="58">
        <v>165.05</v>
      </c>
      <c r="E1609" s="59">
        <v>41065</v>
      </c>
      <c r="F1609" s="58">
        <v>5466</v>
      </c>
      <c r="G1609" s="58">
        <v>3207</v>
      </c>
      <c r="H1609" s="58">
        <v>2636</v>
      </c>
      <c r="I1609" s="58">
        <v>5990</v>
      </c>
      <c r="J1609" s="58">
        <v>0</v>
      </c>
      <c r="K1609" s="1">
        <f t="shared" si="176"/>
        <v>435071.80000000005</v>
      </c>
      <c r="L1609" s="1">
        <f t="shared" si="177"/>
        <v>2636</v>
      </c>
      <c r="M1609" s="1">
        <f>VLOOKUP(B1609,'[1]Срок Годности'!$A$2:$B$4,2,0)</f>
        <v>1000</v>
      </c>
      <c r="N1609" s="60">
        <f t="shared" si="178"/>
        <v>3207</v>
      </c>
      <c r="O1609" s="1" t="str">
        <f t="shared" si="179"/>
        <v>23 2012</v>
      </c>
      <c r="P1609" s="1">
        <f t="shared" si="180"/>
        <v>22</v>
      </c>
      <c r="Q1609" s="1">
        <f t="shared" ca="1" si="181"/>
        <v>4068</v>
      </c>
      <c r="S1609" s="1">
        <f t="shared" si="175"/>
        <v>5990</v>
      </c>
    </row>
    <row r="1610" spans="1:19" x14ac:dyDescent="0.2">
      <c r="A1610" s="57" t="s">
        <v>229</v>
      </c>
      <c r="B1610" s="57" t="s">
        <v>237</v>
      </c>
      <c r="C1610" s="57" t="s">
        <v>238</v>
      </c>
      <c r="D1610" s="58">
        <v>165.05</v>
      </c>
      <c r="E1610" s="59">
        <v>41066</v>
      </c>
      <c r="F1610" s="58">
        <v>5990</v>
      </c>
      <c r="G1610" s="58">
        <v>1820</v>
      </c>
      <c r="H1610" s="58">
        <v>3005</v>
      </c>
      <c r="I1610" s="58">
        <v>4810</v>
      </c>
      <c r="J1610" s="58">
        <v>0</v>
      </c>
      <c r="K1610" s="1">
        <f t="shared" si="176"/>
        <v>495975.25000000006</v>
      </c>
      <c r="L1610" s="1">
        <f t="shared" si="177"/>
        <v>3005</v>
      </c>
      <c r="M1610" s="1">
        <f>VLOOKUP(B1610,'[1]Срок Годности'!$A$2:$B$4,2,0)</f>
        <v>1000</v>
      </c>
      <c r="N1610" s="60">
        <f t="shared" si="178"/>
        <v>1820</v>
      </c>
      <c r="O1610" s="1" t="str">
        <f t="shared" si="179"/>
        <v>23 2012</v>
      </c>
      <c r="P1610" s="1">
        <f t="shared" si="180"/>
        <v>22</v>
      </c>
      <c r="Q1610" s="1">
        <f t="shared" ca="1" si="181"/>
        <v>4067</v>
      </c>
      <c r="S1610" s="1">
        <f t="shared" si="175"/>
        <v>4810</v>
      </c>
    </row>
    <row r="1611" spans="1:19" x14ac:dyDescent="0.2">
      <c r="A1611" s="57" t="s">
        <v>229</v>
      </c>
      <c r="B1611" s="57" t="s">
        <v>237</v>
      </c>
      <c r="C1611" s="57" t="s">
        <v>238</v>
      </c>
      <c r="D1611" s="58">
        <v>165.05</v>
      </c>
      <c r="E1611" s="59">
        <v>41067</v>
      </c>
      <c r="F1611" s="58">
        <v>4810</v>
      </c>
      <c r="G1611" s="58">
        <v>7501</v>
      </c>
      <c r="H1611" s="58">
        <v>3094</v>
      </c>
      <c r="I1611" s="58">
        <v>9138</v>
      </c>
      <c r="J1611" s="58">
        <v>0</v>
      </c>
      <c r="K1611" s="1">
        <f t="shared" si="176"/>
        <v>510664.7</v>
      </c>
      <c r="L1611" s="1">
        <f t="shared" si="177"/>
        <v>3094</v>
      </c>
      <c r="M1611" s="1">
        <f>VLOOKUP(B1611,'[1]Срок Годности'!$A$2:$B$4,2,0)</f>
        <v>1000</v>
      </c>
      <c r="N1611" s="60">
        <f t="shared" si="178"/>
        <v>7501</v>
      </c>
      <c r="O1611" s="1" t="str">
        <f t="shared" si="179"/>
        <v>23 2012</v>
      </c>
      <c r="P1611" s="1">
        <f t="shared" si="180"/>
        <v>22</v>
      </c>
      <c r="Q1611" s="1">
        <f t="shared" ca="1" si="181"/>
        <v>4066</v>
      </c>
      <c r="S1611" s="1">
        <f t="shared" si="175"/>
        <v>9138</v>
      </c>
    </row>
    <row r="1612" spans="1:19" x14ac:dyDescent="0.2">
      <c r="A1612" s="57" t="s">
        <v>229</v>
      </c>
      <c r="B1612" s="57" t="s">
        <v>237</v>
      </c>
      <c r="C1612" s="57" t="s">
        <v>238</v>
      </c>
      <c r="D1612" s="58">
        <v>165.05</v>
      </c>
      <c r="E1612" s="59">
        <v>41068</v>
      </c>
      <c r="F1612" s="58">
        <v>9138</v>
      </c>
      <c r="G1612" s="58">
        <v>3725</v>
      </c>
      <c r="H1612" s="58">
        <v>3593</v>
      </c>
      <c r="I1612" s="58">
        <v>9156</v>
      </c>
      <c r="J1612" s="58">
        <v>0</v>
      </c>
      <c r="K1612" s="1">
        <f t="shared" si="176"/>
        <v>593024.65</v>
      </c>
      <c r="L1612" s="1">
        <f t="shared" si="177"/>
        <v>3593</v>
      </c>
      <c r="M1612" s="1">
        <f>VLOOKUP(B1612,'[1]Срок Годности'!$A$2:$B$4,2,0)</f>
        <v>1000</v>
      </c>
      <c r="N1612" s="60">
        <f t="shared" si="178"/>
        <v>3725</v>
      </c>
      <c r="O1612" s="1" t="str">
        <f t="shared" si="179"/>
        <v>23 2012</v>
      </c>
      <c r="P1612" s="1">
        <f t="shared" si="180"/>
        <v>22</v>
      </c>
      <c r="Q1612" s="1">
        <f t="shared" ca="1" si="181"/>
        <v>4065</v>
      </c>
      <c r="S1612" s="1">
        <f t="shared" si="175"/>
        <v>9156</v>
      </c>
    </row>
    <row r="1613" spans="1:19" x14ac:dyDescent="0.2">
      <c r="A1613" s="57" t="s">
        <v>229</v>
      </c>
      <c r="B1613" s="57" t="s">
        <v>237</v>
      </c>
      <c r="C1613" s="57" t="s">
        <v>238</v>
      </c>
      <c r="D1613" s="58">
        <v>165.05</v>
      </c>
      <c r="E1613" s="59">
        <v>41069</v>
      </c>
      <c r="F1613" s="58">
        <v>9156</v>
      </c>
      <c r="G1613" s="58">
        <v>3108</v>
      </c>
      <c r="H1613" s="58">
        <v>3832</v>
      </c>
      <c r="I1613" s="58">
        <v>8347</v>
      </c>
      <c r="J1613" s="58">
        <v>0</v>
      </c>
      <c r="K1613" s="1">
        <f t="shared" si="176"/>
        <v>632471.60000000009</v>
      </c>
      <c r="L1613" s="1">
        <f t="shared" si="177"/>
        <v>3832</v>
      </c>
      <c r="M1613" s="1">
        <f>VLOOKUP(B1613,'[1]Срок Годности'!$A$2:$B$4,2,0)</f>
        <v>1000</v>
      </c>
      <c r="N1613" s="60">
        <f t="shared" si="178"/>
        <v>3108</v>
      </c>
      <c r="O1613" s="1" t="str">
        <f t="shared" si="179"/>
        <v>23 2012</v>
      </c>
      <c r="P1613" s="1">
        <f t="shared" si="180"/>
        <v>22</v>
      </c>
      <c r="Q1613" s="1">
        <f t="shared" ca="1" si="181"/>
        <v>4064</v>
      </c>
      <c r="S1613" s="1">
        <f t="shared" si="175"/>
        <v>8347</v>
      </c>
    </row>
    <row r="1614" spans="1:19" x14ac:dyDescent="0.2">
      <c r="A1614" s="57" t="s">
        <v>229</v>
      </c>
      <c r="B1614" s="57" t="s">
        <v>237</v>
      </c>
      <c r="C1614" s="57" t="s">
        <v>238</v>
      </c>
      <c r="D1614" s="58">
        <v>165.05</v>
      </c>
      <c r="E1614" s="59">
        <v>41070</v>
      </c>
      <c r="F1614" s="58">
        <v>8347</v>
      </c>
      <c r="G1614" s="58">
        <v>3643</v>
      </c>
      <c r="H1614" s="58">
        <v>3924</v>
      </c>
      <c r="I1614" s="58">
        <v>8011</v>
      </c>
      <c r="J1614" s="58">
        <v>0</v>
      </c>
      <c r="K1614" s="1">
        <f t="shared" si="176"/>
        <v>647656.20000000007</v>
      </c>
      <c r="L1614" s="1">
        <f t="shared" si="177"/>
        <v>3924</v>
      </c>
      <c r="M1614" s="1">
        <f>VLOOKUP(B1614,'[1]Срок Годности'!$A$2:$B$4,2,0)</f>
        <v>1000</v>
      </c>
      <c r="N1614" s="60">
        <f t="shared" si="178"/>
        <v>0</v>
      </c>
      <c r="O1614" s="1" t="str">
        <f t="shared" si="179"/>
        <v>24 2012</v>
      </c>
      <c r="P1614" s="1">
        <f t="shared" si="180"/>
        <v>22</v>
      </c>
      <c r="Q1614" s="1">
        <f t="shared" ca="1" si="181"/>
        <v>4063</v>
      </c>
      <c r="S1614" s="1">
        <f t="shared" si="175"/>
        <v>8011</v>
      </c>
    </row>
    <row r="1615" spans="1:19" x14ac:dyDescent="0.2">
      <c r="A1615" s="57" t="s">
        <v>229</v>
      </c>
      <c r="B1615" s="57" t="s">
        <v>237</v>
      </c>
      <c r="C1615" s="57" t="s">
        <v>238</v>
      </c>
      <c r="D1615" s="58">
        <v>165.05</v>
      </c>
      <c r="E1615" s="59">
        <v>41071</v>
      </c>
      <c r="F1615" s="58">
        <v>8011</v>
      </c>
      <c r="G1615" s="58">
        <v>2105</v>
      </c>
      <c r="H1615" s="58">
        <v>3384</v>
      </c>
      <c r="I1615" s="58">
        <v>6667</v>
      </c>
      <c r="J1615" s="58">
        <v>0</v>
      </c>
      <c r="K1615" s="1">
        <f t="shared" si="176"/>
        <v>558529.20000000007</v>
      </c>
      <c r="L1615" s="1">
        <f t="shared" si="177"/>
        <v>3384</v>
      </c>
      <c r="M1615" s="1">
        <f>VLOOKUP(B1615,'[1]Срок Годности'!$A$2:$B$4,2,0)</f>
        <v>1000</v>
      </c>
      <c r="N1615" s="60">
        <f t="shared" si="178"/>
        <v>2105</v>
      </c>
      <c r="O1615" s="1" t="str">
        <f t="shared" si="179"/>
        <v>24 2012</v>
      </c>
      <c r="P1615" s="1">
        <f t="shared" si="180"/>
        <v>22</v>
      </c>
      <c r="Q1615" s="1">
        <f t="shared" ca="1" si="181"/>
        <v>4062</v>
      </c>
      <c r="S1615" s="1">
        <f t="shared" si="175"/>
        <v>6667</v>
      </c>
    </row>
    <row r="1616" spans="1:19" x14ac:dyDescent="0.2">
      <c r="A1616" s="57" t="s">
        <v>229</v>
      </c>
      <c r="B1616" s="57" t="s">
        <v>237</v>
      </c>
      <c r="C1616" s="57" t="s">
        <v>238</v>
      </c>
      <c r="D1616" s="58">
        <v>165.05</v>
      </c>
      <c r="E1616" s="59">
        <v>41072</v>
      </c>
      <c r="F1616" s="58">
        <v>6667</v>
      </c>
      <c r="G1616" s="58">
        <v>2070</v>
      </c>
      <c r="H1616" s="58">
        <v>3236</v>
      </c>
      <c r="I1616" s="58">
        <v>5415</v>
      </c>
      <c r="J1616" s="58">
        <v>0</v>
      </c>
      <c r="K1616" s="1">
        <f t="shared" si="176"/>
        <v>534101.80000000005</v>
      </c>
      <c r="L1616" s="1">
        <f t="shared" si="177"/>
        <v>3236</v>
      </c>
      <c r="M1616" s="1">
        <f>VLOOKUP(B1616,'[1]Срок Годности'!$A$2:$B$4,2,0)</f>
        <v>1000</v>
      </c>
      <c r="N1616" s="60">
        <f t="shared" si="178"/>
        <v>2070</v>
      </c>
      <c r="O1616" s="1" t="str">
        <f t="shared" si="179"/>
        <v>24 2012</v>
      </c>
      <c r="P1616" s="1">
        <f t="shared" si="180"/>
        <v>22</v>
      </c>
      <c r="Q1616" s="1">
        <f t="shared" ca="1" si="181"/>
        <v>4061</v>
      </c>
      <c r="S1616" s="1">
        <f t="shared" si="175"/>
        <v>5415</v>
      </c>
    </row>
    <row r="1617" spans="1:19" x14ac:dyDescent="0.2">
      <c r="A1617" s="57" t="s">
        <v>229</v>
      </c>
      <c r="B1617" s="57" t="s">
        <v>237</v>
      </c>
      <c r="C1617" s="57" t="s">
        <v>238</v>
      </c>
      <c r="D1617" s="58">
        <v>165.05</v>
      </c>
      <c r="E1617" s="59">
        <v>41073</v>
      </c>
      <c r="F1617" s="58">
        <v>5415</v>
      </c>
      <c r="G1617" s="58">
        <v>3670</v>
      </c>
      <c r="H1617" s="58">
        <v>2489</v>
      </c>
      <c r="I1617" s="58">
        <v>6564</v>
      </c>
      <c r="J1617" s="58">
        <v>0</v>
      </c>
      <c r="K1617" s="1">
        <f t="shared" si="176"/>
        <v>410809.45</v>
      </c>
      <c r="L1617" s="1">
        <f t="shared" si="177"/>
        <v>2489</v>
      </c>
      <c r="M1617" s="1">
        <f>VLOOKUP(B1617,'[1]Срок Годности'!$A$2:$B$4,2,0)</f>
        <v>1000</v>
      </c>
      <c r="N1617" s="60">
        <f t="shared" si="178"/>
        <v>3670</v>
      </c>
      <c r="O1617" s="1" t="str">
        <f t="shared" si="179"/>
        <v>24 2012</v>
      </c>
      <c r="P1617" s="1">
        <f t="shared" si="180"/>
        <v>22</v>
      </c>
      <c r="Q1617" s="1">
        <f t="shared" ca="1" si="181"/>
        <v>4060</v>
      </c>
      <c r="S1617" s="1">
        <f t="shared" si="175"/>
        <v>6564</v>
      </c>
    </row>
    <row r="1618" spans="1:19" x14ac:dyDescent="0.2">
      <c r="A1618" s="57" t="s">
        <v>229</v>
      </c>
      <c r="B1618" s="57" t="s">
        <v>237</v>
      </c>
      <c r="C1618" s="57" t="s">
        <v>238</v>
      </c>
      <c r="D1618" s="58">
        <v>165.05</v>
      </c>
      <c r="E1618" s="59">
        <v>41074</v>
      </c>
      <c r="F1618" s="58">
        <v>6564</v>
      </c>
      <c r="G1618" s="58">
        <v>2681</v>
      </c>
      <c r="H1618" s="58">
        <v>2346</v>
      </c>
      <c r="I1618" s="58">
        <v>6862</v>
      </c>
      <c r="J1618" s="58">
        <v>0</v>
      </c>
      <c r="K1618" s="1">
        <f t="shared" si="176"/>
        <v>387207.30000000005</v>
      </c>
      <c r="L1618" s="1">
        <f t="shared" si="177"/>
        <v>2346</v>
      </c>
      <c r="M1618" s="1">
        <f>VLOOKUP(B1618,'[1]Срок Годности'!$A$2:$B$4,2,0)</f>
        <v>1000</v>
      </c>
      <c r="N1618" s="60">
        <f t="shared" si="178"/>
        <v>2681</v>
      </c>
      <c r="O1618" s="1" t="str">
        <f t="shared" si="179"/>
        <v>24 2012</v>
      </c>
      <c r="P1618" s="1">
        <f t="shared" si="180"/>
        <v>22</v>
      </c>
      <c r="Q1618" s="1">
        <f t="shared" ca="1" si="181"/>
        <v>4059</v>
      </c>
      <c r="S1618" s="1">
        <f t="shared" si="175"/>
        <v>6862</v>
      </c>
    </row>
    <row r="1619" spans="1:19" x14ac:dyDescent="0.2">
      <c r="A1619" s="57" t="s">
        <v>229</v>
      </c>
      <c r="B1619" s="57" t="s">
        <v>237</v>
      </c>
      <c r="C1619" s="57" t="s">
        <v>238</v>
      </c>
      <c r="D1619" s="58">
        <v>165.05</v>
      </c>
      <c r="E1619" s="59">
        <v>41075</v>
      </c>
      <c r="F1619" s="58">
        <v>6862</v>
      </c>
      <c r="G1619" s="58">
        <v>6348</v>
      </c>
      <c r="H1619" s="58">
        <v>2582</v>
      </c>
      <c r="I1619" s="58">
        <v>10605</v>
      </c>
      <c r="J1619" s="58">
        <v>0</v>
      </c>
      <c r="K1619" s="1">
        <f t="shared" si="176"/>
        <v>426159.10000000003</v>
      </c>
      <c r="L1619" s="1">
        <f t="shared" si="177"/>
        <v>2582</v>
      </c>
      <c r="M1619" s="1">
        <f>VLOOKUP(B1619,'[1]Срок Годности'!$A$2:$B$4,2,0)</f>
        <v>1000</v>
      </c>
      <c r="N1619" s="60">
        <f t="shared" si="178"/>
        <v>6348</v>
      </c>
      <c r="O1619" s="1" t="str">
        <f t="shared" si="179"/>
        <v>24 2012</v>
      </c>
      <c r="P1619" s="1">
        <f t="shared" si="180"/>
        <v>22</v>
      </c>
      <c r="Q1619" s="1">
        <f t="shared" ca="1" si="181"/>
        <v>4058</v>
      </c>
      <c r="S1619" s="1">
        <f t="shared" si="175"/>
        <v>10605</v>
      </c>
    </row>
    <row r="1620" spans="1:19" x14ac:dyDescent="0.2">
      <c r="A1620" s="57" t="s">
        <v>229</v>
      </c>
      <c r="B1620" s="57" t="s">
        <v>237</v>
      </c>
      <c r="C1620" s="57" t="s">
        <v>238</v>
      </c>
      <c r="D1620" s="58">
        <v>165.05</v>
      </c>
      <c r="E1620" s="59">
        <v>41076</v>
      </c>
      <c r="F1620" s="58">
        <v>10605</v>
      </c>
      <c r="G1620" s="58">
        <v>2963</v>
      </c>
      <c r="H1620" s="58">
        <v>3306</v>
      </c>
      <c r="I1620" s="58">
        <v>10214</v>
      </c>
      <c r="J1620" s="58">
        <v>0</v>
      </c>
      <c r="K1620" s="1">
        <f t="shared" si="176"/>
        <v>545655.30000000005</v>
      </c>
      <c r="L1620" s="1">
        <f t="shared" si="177"/>
        <v>3306</v>
      </c>
      <c r="M1620" s="1">
        <f>VLOOKUP(B1620,'[1]Срок Годности'!$A$2:$B$4,2,0)</f>
        <v>1000</v>
      </c>
      <c r="N1620" s="60">
        <f t="shared" si="178"/>
        <v>2963</v>
      </c>
      <c r="O1620" s="1" t="str">
        <f t="shared" si="179"/>
        <v>24 2012</v>
      </c>
      <c r="P1620" s="1">
        <f t="shared" si="180"/>
        <v>22</v>
      </c>
      <c r="Q1620" s="1">
        <f t="shared" ca="1" si="181"/>
        <v>4057</v>
      </c>
      <c r="S1620" s="1">
        <f t="shared" si="175"/>
        <v>10214</v>
      </c>
    </row>
    <row r="1621" spans="1:19" x14ac:dyDescent="0.2">
      <c r="A1621" s="57" t="s">
        <v>229</v>
      </c>
      <c r="B1621" s="57" t="s">
        <v>237</v>
      </c>
      <c r="C1621" s="57" t="s">
        <v>238</v>
      </c>
      <c r="D1621" s="58">
        <v>165.05</v>
      </c>
      <c r="E1621" s="59">
        <v>41077</v>
      </c>
      <c r="F1621" s="58">
        <v>10214</v>
      </c>
      <c r="G1621" s="58">
        <v>1900</v>
      </c>
      <c r="H1621" s="58">
        <v>3367</v>
      </c>
      <c r="I1621" s="58">
        <v>8731</v>
      </c>
      <c r="J1621" s="58">
        <v>0</v>
      </c>
      <c r="K1621" s="1">
        <f t="shared" si="176"/>
        <v>555723.35000000009</v>
      </c>
      <c r="L1621" s="1">
        <f t="shared" si="177"/>
        <v>3367</v>
      </c>
      <c r="M1621" s="1">
        <f>VLOOKUP(B1621,'[1]Срок Годности'!$A$2:$B$4,2,0)</f>
        <v>1000</v>
      </c>
      <c r="N1621" s="60">
        <f t="shared" si="178"/>
        <v>0</v>
      </c>
      <c r="O1621" s="1" t="str">
        <f t="shared" si="179"/>
        <v>25 2012</v>
      </c>
      <c r="P1621" s="1">
        <f t="shared" si="180"/>
        <v>22</v>
      </c>
      <c r="Q1621" s="1">
        <f t="shared" ca="1" si="181"/>
        <v>4056</v>
      </c>
      <c r="S1621" s="1">
        <f t="shared" si="175"/>
        <v>8731</v>
      </c>
    </row>
    <row r="1622" spans="1:19" x14ac:dyDescent="0.2">
      <c r="A1622" s="57" t="s">
        <v>229</v>
      </c>
      <c r="B1622" s="57" t="s">
        <v>237</v>
      </c>
      <c r="C1622" s="57" t="s">
        <v>238</v>
      </c>
      <c r="D1622" s="58">
        <v>165.05</v>
      </c>
      <c r="E1622" s="59">
        <v>41078</v>
      </c>
      <c r="F1622" s="58">
        <v>8731</v>
      </c>
      <c r="G1622" s="58">
        <v>2776</v>
      </c>
      <c r="H1622" s="58">
        <v>2969</v>
      </c>
      <c r="I1622" s="58">
        <v>8506</v>
      </c>
      <c r="J1622" s="58">
        <v>0</v>
      </c>
      <c r="K1622" s="1">
        <f t="shared" si="176"/>
        <v>490033.45</v>
      </c>
      <c r="L1622" s="1">
        <f t="shared" si="177"/>
        <v>2969</v>
      </c>
      <c r="M1622" s="1">
        <f>VLOOKUP(B1622,'[1]Срок Годности'!$A$2:$B$4,2,0)</f>
        <v>1000</v>
      </c>
      <c r="N1622" s="60">
        <f t="shared" si="178"/>
        <v>2776</v>
      </c>
      <c r="O1622" s="1" t="str">
        <f t="shared" si="179"/>
        <v>25 2012</v>
      </c>
      <c r="P1622" s="1">
        <f t="shared" si="180"/>
        <v>22</v>
      </c>
      <c r="Q1622" s="1">
        <f t="shared" ca="1" si="181"/>
        <v>4055</v>
      </c>
      <c r="S1622" s="1">
        <f t="shared" si="175"/>
        <v>8506</v>
      </c>
    </row>
    <row r="1623" spans="1:19" x14ac:dyDescent="0.2">
      <c r="A1623" s="57" t="s">
        <v>229</v>
      </c>
      <c r="B1623" s="57" t="s">
        <v>237</v>
      </c>
      <c r="C1623" s="57" t="s">
        <v>238</v>
      </c>
      <c r="D1623" s="58">
        <v>165.05</v>
      </c>
      <c r="E1623" s="59">
        <v>41079</v>
      </c>
      <c r="F1623" s="58">
        <v>8506</v>
      </c>
      <c r="G1623" s="58">
        <v>1813</v>
      </c>
      <c r="H1623" s="58">
        <v>2931</v>
      </c>
      <c r="I1623" s="58">
        <v>7373</v>
      </c>
      <c r="J1623" s="58">
        <v>1</v>
      </c>
      <c r="K1623" s="1">
        <f t="shared" si="176"/>
        <v>483761.55000000005</v>
      </c>
      <c r="L1623" s="1">
        <f t="shared" si="177"/>
        <v>2931</v>
      </c>
      <c r="M1623" s="1">
        <f>VLOOKUP(B1623,'[1]Срок Годности'!$A$2:$B$4,2,0)</f>
        <v>1000</v>
      </c>
      <c r="N1623" s="60">
        <f t="shared" si="178"/>
        <v>1813</v>
      </c>
      <c r="O1623" s="1" t="str">
        <f t="shared" si="179"/>
        <v>25 2012</v>
      </c>
      <c r="P1623" s="1">
        <f t="shared" si="180"/>
        <v>22</v>
      </c>
      <c r="Q1623" s="1">
        <f t="shared" ca="1" si="181"/>
        <v>4054</v>
      </c>
      <c r="S1623" s="1">
        <f t="shared" si="175"/>
        <v>7372</v>
      </c>
    </row>
    <row r="1624" spans="1:19" x14ac:dyDescent="0.2">
      <c r="A1624" s="57" t="s">
        <v>229</v>
      </c>
      <c r="B1624" s="57" t="s">
        <v>237</v>
      </c>
      <c r="C1624" s="57" t="s">
        <v>238</v>
      </c>
      <c r="D1624" s="58">
        <v>165.05</v>
      </c>
      <c r="E1624" s="59">
        <v>41080</v>
      </c>
      <c r="F1624" s="58">
        <v>7373</v>
      </c>
      <c r="G1624" s="58">
        <v>1980</v>
      </c>
      <c r="H1624" s="58">
        <v>2774</v>
      </c>
      <c r="I1624" s="58">
        <v>6515</v>
      </c>
      <c r="J1624" s="58">
        <v>0</v>
      </c>
      <c r="K1624" s="1">
        <f t="shared" si="176"/>
        <v>457848.7</v>
      </c>
      <c r="L1624" s="1">
        <f t="shared" si="177"/>
        <v>2774</v>
      </c>
      <c r="M1624" s="1">
        <f>VLOOKUP(B1624,'[1]Срок Годности'!$A$2:$B$4,2,0)</f>
        <v>1000</v>
      </c>
      <c r="N1624" s="60">
        <f t="shared" si="178"/>
        <v>1980</v>
      </c>
      <c r="O1624" s="1" t="str">
        <f t="shared" si="179"/>
        <v>25 2012</v>
      </c>
      <c r="P1624" s="1">
        <f t="shared" si="180"/>
        <v>22</v>
      </c>
      <c r="Q1624" s="1">
        <f t="shared" ca="1" si="181"/>
        <v>4053</v>
      </c>
      <c r="S1624" s="1">
        <f t="shared" si="175"/>
        <v>6515</v>
      </c>
    </row>
    <row r="1625" spans="1:19" x14ac:dyDescent="0.2">
      <c r="A1625" s="57" t="s">
        <v>229</v>
      </c>
      <c r="B1625" s="57" t="s">
        <v>237</v>
      </c>
      <c r="C1625" s="57" t="s">
        <v>238</v>
      </c>
      <c r="D1625" s="58">
        <v>165.05</v>
      </c>
      <c r="E1625" s="59">
        <v>41081</v>
      </c>
      <c r="F1625" s="58">
        <v>6515</v>
      </c>
      <c r="G1625" s="58">
        <v>6428</v>
      </c>
      <c r="H1625" s="58">
        <v>2497</v>
      </c>
      <c r="I1625" s="58">
        <v>10411</v>
      </c>
      <c r="J1625" s="58">
        <v>0</v>
      </c>
      <c r="K1625" s="1">
        <f t="shared" si="176"/>
        <v>412129.85000000003</v>
      </c>
      <c r="L1625" s="1">
        <f t="shared" si="177"/>
        <v>2497</v>
      </c>
      <c r="M1625" s="1">
        <f>VLOOKUP(B1625,'[1]Срок Годности'!$A$2:$B$4,2,0)</f>
        <v>1000</v>
      </c>
      <c r="N1625" s="60">
        <f t="shared" si="178"/>
        <v>6428</v>
      </c>
      <c r="O1625" s="1" t="str">
        <f t="shared" si="179"/>
        <v>25 2012</v>
      </c>
      <c r="P1625" s="1">
        <f t="shared" si="180"/>
        <v>22</v>
      </c>
      <c r="Q1625" s="1">
        <f t="shared" ca="1" si="181"/>
        <v>4052</v>
      </c>
      <c r="S1625" s="1">
        <f t="shared" si="175"/>
        <v>10411</v>
      </c>
    </row>
    <row r="1626" spans="1:19" x14ac:dyDescent="0.2">
      <c r="A1626" s="57" t="s">
        <v>229</v>
      </c>
      <c r="B1626" s="57" t="s">
        <v>237</v>
      </c>
      <c r="C1626" s="57" t="s">
        <v>238</v>
      </c>
      <c r="D1626" s="58">
        <v>165.05</v>
      </c>
      <c r="E1626" s="59">
        <v>41082</v>
      </c>
      <c r="F1626" s="58">
        <v>10411</v>
      </c>
      <c r="G1626" s="58">
        <v>5612</v>
      </c>
      <c r="H1626" s="58">
        <v>2639</v>
      </c>
      <c r="I1626" s="58">
        <v>13312</v>
      </c>
      <c r="J1626" s="58">
        <v>0</v>
      </c>
      <c r="K1626" s="1">
        <f t="shared" si="176"/>
        <v>435566.95</v>
      </c>
      <c r="L1626" s="1">
        <f t="shared" si="177"/>
        <v>2639</v>
      </c>
      <c r="M1626" s="1">
        <f>VLOOKUP(B1626,'[1]Срок Годности'!$A$2:$B$4,2,0)</f>
        <v>1000</v>
      </c>
      <c r="N1626" s="60">
        <f t="shared" si="178"/>
        <v>5612</v>
      </c>
      <c r="O1626" s="1" t="str">
        <f t="shared" si="179"/>
        <v>25 2012</v>
      </c>
      <c r="P1626" s="1">
        <f t="shared" si="180"/>
        <v>22</v>
      </c>
      <c r="Q1626" s="1">
        <f t="shared" ca="1" si="181"/>
        <v>4051</v>
      </c>
      <c r="S1626" s="1">
        <f t="shared" si="175"/>
        <v>13312</v>
      </c>
    </row>
    <row r="1627" spans="1:19" x14ac:dyDescent="0.2">
      <c r="A1627" s="57" t="s">
        <v>229</v>
      </c>
      <c r="B1627" s="57" t="s">
        <v>237</v>
      </c>
      <c r="C1627" s="57" t="s">
        <v>238</v>
      </c>
      <c r="D1627" s="58">
        <v>165.05</v>
      </c>
      <c r="E1627" s="59">
        <v>41083</v>
      </c>
      <c r="F1627" s="58">
        <v>13312</v>
      </c>
      <c r="G1627" s="58">
        <v>3022</v>
      </c>
      <c r="H1627" s="58">
        <v>3010</v>
      </c>
      <c r="I1627" s="58">
        <v>13288</v>
      </c>
      <c r="J1627" s="58">
        <v>0</v>
      </c>
      <c r="K1627" s="1">
        <f t="shared" si="176"/>
        <v>496800.50000000006</v>
      </c>
      <c r="L1627" s="1">
        <f t="shared" si="177"/>
        <v>3010</v>
      </c>
      <c r="M1627" s="1">
        <f>VLOOKUP(B1627,'[1]Срок Годности'!$A$2:$B$4,2,0)</f>
        <v>1000</v>
      </c>
      <c r="N1627" s="60">
        <f t="shared" si="178"/>
        <v>3022</v>
      </c>
      <c r="O1627" s="1" t="str">
        <f t="shared" si="179"/>
        <v>25 2012</v>
      </c>
      <c r="P1627" s="1">
        <f t="shared" si="180"/>
        <v>22</v>
      </c>
      <c r="Q1627" s="1">
        <f t="shared" ca="1" si="181"/>
        <v>4050</v>
      </c>
      <c r="S1627" s="1">
        <f t="shared" si="175"/>
        <v>13288</v>
      </c>
    </row>
    <row r="1628" spans="1:19" x14ac:dyDescent="0.2">
      <c r="A1628" s="57" t="s">
        <v>229</v>
      </c>
      <c r="B1628" s="57" t="s">
        <v>237</v>
      </c>
      <c r="C1628" s="57" t="s">
        <v>238</v>
      </c>
      <c r="D1628" s="58">
        <v>165.05</v>
      </c>
      <c r="E1628" s="59">
        <v>41084</v>
      </c>
      <c r="F1628" s="58">
        <v>13288</v>
      </c>
      <c r="G1628" s="58">
        <v>3108</v>
      </c>
      <c r="H1628" s="58">
        <v>2934</v>
      </c>
      <c r="I1628" s="58">
        <v>13412</v>
      </c>
      <c r="J1628" s="58">
        <v>0</v>
      </c>
      <c r="K1628" s="1">
        <f t="shared" si="176"/>
        <v>484256.7</v>
      </c>
      <c r="L1628" s="1">
        <f t="shared" si="177"/>
        <v>2934</v>
      </c>
      <c r="M1628" s="1">
        <f>VLOOKUP(B1628,'[1]Срок Годности'!$A$2:$B$4,2,0)</f>
        <v>1000</v>
      </c>
      <c r="N1628" s="60">
        <f t="shared" si="178"/>
        <v>0</v>
      </c>
      <c r="O1628" s="1" t="str">
        <f t="shared" si="179"/>
        <v>26 2012</v>
      </c>
      <c r="P1628" s="1">
        <f t="shared" si="180"/>
        <v>22</v>
      </c>
      <c r="Q1628" s="1">
        <f t="shared" ca="1" si="181"/>
        <v>4049</v>
      </c>
      <c r="S1628" s="1">
        <f t="shared" si="175"/>
        <v>13412</v>
      </c>
    </row>
    <row r="1629" spans="1:19" x14ac:dyDescent="0.2">
      <c r="A1629" s="57" t="s">
        <v>229</v>
      </c>
      <c r="B1629" s="57" t="s">
        <v>237</v>
      </c>
      <c r="C1629" s="57" t="s">
        <v>238</v>
      </c>
      <c r="D1629" s="58">
        <v>165.05</v>
      </c>
      <c r="E1629" s="59">
        <v>41085</v>
      </c>
      <c r="F1629" s="58">
        <v>13412</v>
      </c>
      <c r="G1629" s="58">
        <v>3703</v>
      </c>
      <c r="H1629" s="58">
        <v>2627</v>
      </c>
      <c r="I1629" s="58">
        <v>14428</v>
      </c>
      <c r="J1629" s="58">
        <v>0</v>
      </c>
      <c r="K1629" s="1">
        <f t="shared" si="176"/>
        <v>433586.35000000003</v>
      </c>
      <c r="L1629" s="1">
        <f t="shared" si="177"/>
        <v>2627</v>
      </c>
      <c r="M1629" s="1">
        <f>VLOOKUP(B1629,'[1]Срок Годности'!$A$2:$B$4,2,0)</f>
        <v>1000</v>
      </c>
      <c r="N1629" s="60">
        <f t="shared" si="178"/>
        <v>3703</v>
      </c>
      <c r="O1629" s="1" t="str">
        <f t="shared" si="179"/>
        <v>26 2012</v>
      </c>
      <c r="P1629" s="1">
        <f t="shared" si="180"/>
        <v>22</v>
      </c>
      <c r="Q1629" s="1">
        <f t="shared" ca="1" si="181"/>
        <v>4048</v>
      </c>
      <c r="S1629" s="1">
        <f t="shared" si="175"/>
        <v>14428</v>
      </c>
    </row>
    <row r="1630" spans="1:19" x14ac:dyDescent="0.2">
      <c r="A1630" s="57" t="s">
        <v>229</v>
      </c>
      <c r="B1630" s="57" t="s">
        <v>237</v>
      </c>
      <c r="C1630" s="57" t="s">
        <v>238</v>
      </c>
      <c r="D1630" s="58">
        <v>165.05</v>
      </c>
      <c r="E1630" s="59">
        <v>41086</v>
      </c>
      <c r="F1630" s="58">
        <v>14428</v>
      </c>
      <c r="G1630" s="58">
        <v>2484</v>
      </c>
      <c r="H1630" s="58">
        <v>2682</v>
      </c>
      <c r="I1630" s="58">
        <v>14152</v>
      </c>
      <c r="J1630" s="58">
        <v>0</v>
      </c>
      <c r="K1630" s="1">
        <f t="shared" si="176"/>
        <v>442664.10000000003</v>
      </c>
      <c r="L1630" s="1">
        <f t="shared" si="177"/>
        <v>2682</v>
      </c>
      <c r="M1630" s="1">
        <f>VLOOKUP(B1630,'[1]Срок Годности'!$A$2:$B$4,2,0)</f>
        <v>1000</v>
      </c>
      <c r="N1630" s="60">
        <f t="shared" si="178"/>
        <v>2484</v>
      </c>
      <c r="O1630" s="1" t="str">
        <f t="shared" si="179"/>
        <v>26 2012</v>
      </c>
      <c r="P1630" s="1">
        <f t="shared" si="180"/>
        <v>22</v>
      </c>
      <c r="Q1630" s="1">
        <f t="shared" ca="1" si="181"/>
        <v>4047</v>
      </c>
      <c r="S1630" s="1">
        <f t="shared" si="175"/>
        <v>14152</v>
      </c>
    </row>
    <row r="1631" spans="1:19" x14ac:dyDescent="0.2">
      <c r="A1631" s="57" t="s">
        <v>229</v>
      </c>
      <c r="B1631" s="57" t="s">
        <v>237</v>
      </c>
      <c r="C1631" s="57" t="s">
        <v>238</v>
      </c>
      <c r="D1631" s="58">
        <v>165.05</v>
      </c>
      <c r="E1631" s="59">
        <v>41087</v>
      </c>
      <c r="F1631" s="58">
        <v>14152</v>
      </c>
      <c r="G1631" s="58">
        <v>2184</v>
      </c>
      <c r="H1631" s="58">
        <v>2584</v>
      </c>
      <c r="I1631" s="58">
        <v>13716</v>
      </c>
      <c r="J1631" s="58">
        <v>0</v>
      </c>
      <c r="K1631" s="1">
        <f t="shared" si="176"/>
        <v>426489.2</v>
      </c>
      <c r="L1631" s="1">
        <f t="shared" si="177"/>
        <v>2584</v>
      </c>
      <c r="M1631" s="1">
        <f>VLOOKUP(B1631,'[1]Срок Годности'!$A$2:$B$4,2,0)</f>
        <v>1000</v>
      </c>
      <c r="N1631" s="60">
        <f t="shared" si="178"/>
        <v>2184</v>
      </c>
      <c r="O1631" s="1" t="str">
        <f t="shared" si="179"/>
        <v>26 2012</v>
      </c>
      <c r="P1631" s="1">
        <f t="shared" si="180"/>
        <v>22</v>
      </c>
      <c r="Q1631" s="1">
        <f t="shared" ca="1" si="181"/>
        <v>4046</v>
      </c>
      <c r="S1631" s="1">
        <f t="shared" si="175"/>
        <v>13716</v>
      </c>
    </row>
    <row r="1632" spans="1:19" x14ac:dyDescent="0.2">
      <c r="A1632" s="57" t="s">
        <v>229</v>
      </c>
      <c r="B1632" s="57" t="s">
        <v>237</v>
      </c>
      <c r="C1632" s="57" t="s">
        <v>238</v>
      </c>
      <c r="D1632" s="58">
        <v>165.05</v>
      </c>
      <c r="E1632" s="59">
        <v>41088</v>
      </c>
      <c r="F1632" s="58">
        <v>13716</v>
      </c>
      <c r="G1632" s="58">
        <v>2337</v>
      </c>
      <c r="H1632" s="58">
        <v>2834</v>
      </c>
      <c r="I1632" s="58">
        <v>13164</v>
      </c>
      <c r="J1632" s="58">
        <v>0</v>
      </c>
      <c r="K1632" s="1">
        <f t="shared" si="176"/>
        <v>467751.7</v>
      </c>
      <c r="L1632" s="1">
        <f t="shared" si="177"/>
        <v>2834</v>
      </c>
      <c r="M1632" s="1">
        <f>VLOOKUP(B1632,'[1]Срок Годности'!$A$2:$B$4,2,0)</f>
        <v>1000</v>
      </c>
      <c r="N1632" s="60">
        <f t="shared" si="178"/>
        <v>2337</v>
      </c>
      <c r="O1632" s="1" t="str">
        <f t="shared" si="179"/>
        <v>26 2012</v>
      </c>
      <c r="P1632" s="1">
        <f t="shared" si="180"/>
        <v>22</v>
      </c>
      <c r="Q1632" s="1">
        <f t="shared" ca="1" si="181"/>
        <v>4045</v>
      </c>
      <c r="S1632" s="1">
        <f t="shared" si="175"/>
        <v>13164</v>
      </c>
    </row>
    <row r="1633" spans="1:19" x14ac:dyDescent="0.2">
      <c r="A1633" s="57" t="s">
        <v>229</v>
      </c>
      <c r="B1633" s="57" t="s">
        <v>237</v>
      </c>
      <c r="C1633" s="57" t="s">
        <v>238</v>
      </c>
      <c r="D1633" s="58">
        <v>165.05</v>
      </c>
      <c r="E1633" s="59">
        <v>41089</v>
      </c>
      <c r="F1633" s="58">
        <v>13164</v>
      </c>
      <c r="G1633" s="58">
        <v>2393</v>
      </c>
      <c r="H1633" s="58">
        <v>2808</v>
      </c>
      <c r="I1633" s="58">
        <v>12723</v>
      </c>
      <c r="J1633" s="58">
        <v>0</v>
      </c>
      <c r="K1633" s="1">
        <f t="shared" si="176"/>
        <v>463460.4</v>
      </c>
      <c r="L1633" s="1">
        <f t="shared" si="177"/>
        <v>2808</v>
      </c>
      <c r="M1633" s="1">
        <f>VLOOKUP(B1633,'[1]Срок Годности'!$A$2:$B$4,2,0)</f>
        <v>1000</v>
      </c>
      <c r="N1633" s="60">
        <f t="shared" si="178"/>
        <v>2393</v>
      </c>
      <c r="O1633" s="1" t="str">
        <f t="shared" si="179"/>
        <v>26 2012</v>
      </c>
      <c r="P1633" s="1">
        <f t="shared" si="180"/>
        <v>22</v>
      </c>
      <c r="Q1633" s="1">
        <f t="shared" ca="1" si="181"/>
        <v>4044</v>
      </c>
      <c r="S1633" s="1">
        <f t="shared" si="175"/>
        <v>12723</v>
      </c>
    </row>
    <row r="1634" spans="1:19" x14ac:dyDescent="0.2">
      <c r="A1634" s="57" t="s">
        <v>229</v>
      </c>
      <c r="B1634" s="57" t="s">
        <v>237</v>
      </c>
      <c r="C1634" s="57" t="s">
        <v>238</v>
      </c>
      <c r="D1634" s="58">
        <v>165.05</v>
      </c>
      <c r="E1634" s="59">
        <v>41090</v>
      </c>
      <c r="F1634" s="58">
        <v>12723</v>
      </c>
      <c r="G1634" s="58">
        <v>2844</v>
      </c>
      <c r="H1634" s="58">
        <v>3417</v>
      </c>
      <c r="I1634" s="58">
        <v>12122</v>
      </c>
      <c r="J1634" s="58">
        <v>0</v>
      </c>
      <c r="K1634" s="1">
        <f t="shared" si="176"/>
        <v>563975.85000000009</v>
      </c>
      <c r="L1634" s="1">
        <f t="shared" si="177"/>
        <v>3417</v>
      </c>
      <c r="M1634" s="1">
        <f>VLOOKUP(B1634,'[1]Срок Годности'!$A$2:$B$4,2,0)</f>
        <v>1000</v>
      </c>
      <c r="N1634" s="60">
        <f t="shared" si="178"/>
        <v>2844</v>
      </c>
      <c r="O1634" s="1" t="str">
        <f t="shared" si="179"/>
        <v>26 2012</v>
      </c>
      <c r="P1634" s="1">
        <f t="shared" si="180"/>
        <v>22</v>
      </c>
      <c r="Q1634" s="1">
        <f t="shared" ca="1" si="181"/>
        <v>4043</v>
      </c>
      <c r="S1634" s="1">
        <f t="shared" si="175"/>
        <v>12122</v>
      </c>
    </row>
    <row r="1635" spans="1:19" x14ac:dyDescent="0.2">
      <c r="A1635" s="57" t="s">
        <v>229</v>
      </c>
      <c r="B1635" s="57" t="s">
        <v>237</v>
      </c>
      <c r="C1635" s="57" t="s">
        <v>238</v>
      </c>
      <c r="D1635" s="58">
        <v>165.05</v>
      </c>
      <c r="E1635" s="59">
        <v>41091</v>
      </c>
      <c r="F1635" s="58">
        <v>12122</v>
      </c>
      <c r="G1635" s="58">
        <v>3079</v>
      </c>
      <c r="H1635" s="58">
        <v>3160</v>
      </c>
      <c r="I1635" s="58">
        <v>12009</v>
      </c>
      <c r="J1635" s="58">
        <v>1</v>
      </c>
      <c r="K1635" s="1">
        <f t="shared" si="176"/>
        <v>521558.00000000006</v>
      </c>
      <c r="L1635" s="1">
        <f t="shared" si="177"/>
        <v>3160</v>
      </c>
      <c r="M1635" s="1">
        <f>VLOOKUP(B1635,'[1]Срок Годности'!$A$2:$B$4,2,0)</f>
        <v>1000</v>
      </c>
      <c r="N1635" s="60">
        <f t="shared" si="178"/>
        <v>0</v>
      </c>
      <c r="O1635" s="1" t="str">
        <f t="shared" si="179"/>
        <v>27 2012</v>
      </c>
      <c r="P1635" s="1">
        <f t="shared" si="180"/>
        <v>22</v>
      </c>
      <c r="Q1635" s="1">
        <f t="shared" ca="1" si="181"/>
        <v>4042</v>
      </c>
      <c r="S1635" s="1">
        <f t="shared" si="175"/>
        <v>12008</v>
      </c>
    </row>
    <row r="1636" spans="1:19" x14ac:dyDescent="0.2">
      <c r="A1636" s="57" t="s">
        <v>229</v>
      </c>
      <c r="B1636" s="57" t="s">
        <v>237</v>
      </c>
      <c r="C1636" s="57" t="s">
        <v>238</v>
      </c>
      <c r="D1636" s="58">
        <v>165.05</v>
      </c>
      <c r="E1636" s="59">
        <v>41092</v>
      </c>
      <c r="F1636" s="58">
        <v>12009</v>
      </c>
      <c r="G1636" s="58">
        <v>3815</v>
      </c>
      <c r="H1636" s="58">
        <v>2857</v>
      </c>
      <c r="I1636" s="58">
        <v>12892</v>
      </c>
      <c r="J1636" s="58">
        <v>0</v>
      </c>
      <c r="K1636" s="1">
        <f t="shared" si="176"/>
        <v>471547.85000000003</v>
      </c>
      <c r="L1636" s="1">
        <f t="shared" si="177"/>
        <v>2857</v>
      </c>
      <c r="M1636" s="1">
        <f>VLOOKUP(B1636,'[1]Срок Годности'!$A$2:$B$4,2,0)</f>
        <v>1000</v>
      </c>
      <c r="N1636" s="60">
        <f t="shared" si="178"/>
        <v>3815</v>
      </c>
      <c r="O1636" s="1" t="str">
        <f t="shared" si="179"/>
        <v>27 2012</v>
      </c>
      <c r="P1636" s="1">
        <f t="shared" si="180"/>
        <v>22</v>
      </c>
      <c r="Q1636" s="1">
        <f t="shared" ca="1" si="181"/>
        <v>4041</v>
      </c>
      <c r="S1636" s="1">
        <f t="shared" si="175"/>
        <v>12892</v>
      </c>
    </row>
    <row r="1637" spans="1:19" x14ac:dyDescent="0.2">
      <c r="A1637" s="57" t="s">
        <v>229</v>
      </c>
      <c r="B1637" s="57" t="s">
        <v>237</v>
      </c>
      <c r="C1637" s="57" t="s">
        <v>238</v>
      </c>
      <c r="D1637" s="58">
        <v>165.05</v>
      </c>
      <c r="E1637" s="59">
        <v>41093</v>
      </c>
      <c r="F1637" s="58">
        <v>12892</v>
      </c>
      <c r="G1637" s="58">
        <v>3586</v>
      </c>
      <c r="H1637" s="58">
        <v>3058</v>
      </c>
      <c r="I1637" s="58">
        <v>13354</v>
      </c>
      <c r="J1637" s="58">
        <v>0</v>
      </c>
      <c r="K1637" s="1">
        <f t="shared" si="176"/>
        <v>504722.9</v>
      </c>
      <c r="L1637" s="1">
        <f t="shared" si="177"/>
        <v>3058</v>
      </c>
      <c r="M1637" s="1">
        <f>VLOOKUP(B1637,'[1]Срок Годности'!$A$2:$B$4,2,0)</f>
        <v>1000</v>
      </c>
      <c r="N1637" s="60">
        <f t="shared" si="178"/>
        <v>3586</v>
      </c>
      <c r="O1637" s="1" t="str">
        <f t="shared" si="179"/>
        <v>27 2012</v>
      </c>
      <c r="P1637" s="1">
        <f t="shared" si="180"/>
        <v>22</v>
      </c>
      <c r="Q1637" s="1">
        <f t="shared" ca="1" si="181"/>
        <v>4040</v>
      </c>
      <c r="S1637" s="1">
        <f t="shared" si="175"/>
        <v>13354</v>
      </c>
    </row>
    <row r="1638" spans="1:19" x14ac:dyDescent="0.2">
      <c r="A1638" s="57" t="s">
        <v>229</v>
      </c>
      <c r="B1638" s="57" t="s">
        <v>237</v>
      </c>
      <c r="C1638" s="57" t="s">
        <v>238</v>
      </c>
      <c r="D1638" s="58">
        <v>165.05</v>
      </c>
      <c r="E1638" s="59">
        <v>41094</v>
      </c>
      <c r="F1638" s="58">
        <v>13354</v>
      </c>
      <c r="G1638" s="58">
        <v>2414</v>
      </c>
      <c r="H1638" s="58">
        <v>2923</v>
      </c>
      <c r="I1638" s="58">
        <v>12719</v>
      </c>
      <c r="J1638" s="58">
        <v>0</v>
      </c>
      <c r="K1638" s="1">
        <f t="shared" si="176"/>
        <v>482441.15</v>
      </c>
      <c r="L1638" s="1">
        <f t="shared" si="177"/>
        <v>2923</v>
      </c>
      <c r="M1638" s="1">
        <f>VLOOKUP(B1638,'[1]Срок Годности'!$A$2:$B$4,2,0)</f>
        <v>1000</v>
      </c>
      <c r="N1638" s="60">
        <f t="shared" si="178"/>
        <v>2414</v>
      </c>
      <c r="O1638" s="1" t="str">
        <f t="shared" si="179"/>
        <v>27 2012</v>
      </c>
      <c r="P1638" s="1">
        <f t="shared" si="180"/>
        <v>22</v>
      </c>
      <c r="Q1638" s="1">
        <f t="shared" ca="1" si="181"/>
        <v>4039</v>
      </c>
      <c r="S1638" s="1">
        <f t="shared" si="175"/>
        <v>12719</v>
      </c>
    </row>
    <row r="1639" spans="1:19" x14ac:dyDescent="0.2">
      <c r="A1639" s="57" t="s">
        <v>229</v>
      </c>
      <c r="B1639" s="57" t="s">
        <v>237</v>
      </c>
      <c r="C1639" s="57" t="s">
        <v>238</v>
      </c>
      <c r="D1639" s="58">
        <v>165.05</v>
      </c>
      <c r="E1639" s="59">
        <v>41095</v>
      </c>
      <c r="F1639" s="58">
        <v>12719</v>
      </c>
      <c r="G1639" s="58">
        <v>3383</v>
      </c>
      <c r="H1639" s="58">
        <v>2761</v>
      </c>
      <c r="I1639" s="58">
        <v>13296</v>
      </c>
      <c r="J1639" s="58">
        <v>0</v>
      </c>
      <c r="K1639" s="1">
        <f t="shared" si="176"/>
        <v>455703.05000000005</v>
      </c>
      <c r="L1639" s="1">
        <f t="shared" si="177"/>
        <v>2761</v>
      </c>
      <c r="M1639" s="1">
        <f>VLOOKUP(B1639,'[1]Срок Годности'!$A$2:$B$4,2,0)</f>
        <v>1000</v>
      </c>
      <c r="N1639" s="60">
        <f t="shared" si="178"/>
        <v>3383</v>
      </c>
      <c r="O1639" s="1" t="str">
        <f t="shared" si="179"/>
        <v>27 2012</v>
      </c>
      <c r="P1639" s="1">
        <f t="shared" si="180"/>
        <v>22</v>
      </c>
      <c r="Q1639" s="1">
        <f t="shared" ca="1" si="181"/>
        <v>4038</v>
      </c>
      <c r="S1639" s="1">
        <f t="shared" si="175"/>
        <v>13296</v>
      </c>
    </row>
    <row r="1640" spans="1:19" x14ac:dyDescent="0.2">
      <c r="A1640" s="57" t="s">
        <v>229</v>
      </c>
      <c r="B1640" s="57" t="s">
        <v>237</v>
      </c>
      <c r="C1640" s="57" t="s">
        <v>238</v>
      </c>
      <c r="D1640" s="58">
        <v>165.05</v>
      </c>
      <c r="E1640" s="59">
        <v>41096</v>
      </c>
      <c r="F1640" s="58">
        <v>13296</v>
      </c>
      <c r="G1640" s="58">
        <v>3113</v>
      </c>
      <c r="H1640" s="58">
        <v>2580</v>
      </c>
      <c r="I1640" s="58">
        <v>13736</v>
      </c>
      <c r="J1640" s="58">
        <v>0</v>
      </c>
      <c r="K1640" s="1">
        <f t="shared" si="176"/>
        <v>425829.00000000006</v>
      </c>
      <c r="L1640" s="1">
        <f t="shared" si="177"/>
        <v>2580</v>
      </c>
      <c r="M1640" s="1">
        <f>VLOOKUP(B1640,'[1]Срок Годности'!$A$2:$B$4,2,0)</f>
        <v>1000</v>
      </c>
      <c r="N1640" s="60">
        <f t="shared" si="178"/>
        <v>3113</v>
      </c>
      <c r="O1640" s="1" t="str">
        <f t="shared" si="179"/>
        <v>27 2012</v>
      </c>
      <c r="P1640" s="1">
        <f t="shared" si="180"/>
        <v>22</v>
      </c>
      <c r="Q1640" s="1">
        <f t="shared" ca="1" si="181"/>
        <v>4037</v>
      </c>
      <c r="S1640" s="1">
        <f t="shared" si="175"/>
        <v>13736</v>
      </c>
    </row>
    <row r="1641" spans="1:19" x14ac:dyDescent="0.2">
      <c r="A1641" s="57" t="s">
        <v>229</v>
      </c>
      <c r="B1641" s="57" t="s">
        <v>237</v>
      </c>
      <c r="C1641" s="57" t="s">
        <v>238</v>
      </c>
      <c r="D1641" s="58">
        <v>165.05</v>
      </c>
      <c r="E1641" s="59">
        <v>41097</v>
      </c>
      <c r="F1641" s="58">
        <v>13736</v>
      </c>
      <c r="G1641" s="58">
        <v>2954</v>
      </c>
      <c r="H1641" s="58">
        <v>3138</v>
      </c>
      <c r="I1641" s="58">
        <v>13492</v>
      </c>
      <c r="J1641" s="58">
        <v>1</v>
      </c>
      <c r="K1641" s="1">
        <f t="shared" si="176"/>
        <v>517926.9</v>
      </c>
      <c r="L1641" s="1">
        <f t="shared" si="177"/>
        <v>3138</v>
      </c>
      <c r="M1641" s="1">
        <f>VLOOKUP(B1641,'[1]Срок Годности'!$A$2:$B$4,2,0)</f>
        <v>1000</v>
      </c>
      <c r="N1641" s="60">
        <f t="shared" si="178"/>
        <v>2954</v>
      </c>
      <c r="O1641" s="1" t="str">
        <f t="shared" si="179"/>
        <v>27 2012</v>
      </c>
      <c r="P1641" s="1">
        <f t="shared" si="180"/>
        <v>22</v>
      </c>
      <c r="Q1641" s="1">
        <f t="shared" ca="1" si="181"/>
        <v>4036</v>
      </c>
      <c r="S1641" s="1">
        <f t="shared" si="175"/>
        <v>13491</v>
      </c>
    </row>
    <row r="1642" spans="1:19" x14ac:dyDescent="0.2">
      <c r="A1642" s="57" t="s">
        <v>229</v>
      </c>
      <c r="B1642" s="57" t="s">
        <v>237</v>
      </c>
      <c r="C1642" s="57" t="s">
        <v>238</v>
      </c>
      <c r="D1642" s="58">
        <v>165.05</v>
      </c>
      <c r="E1642" s="59">
        <v>41098</v>
      </c>
      <c r="F1642" s="58">
        <v>13492</v>
      </c>
      <c r="G1642" s="58">
        <v>2650</v>
      </c>
      <c r="H1642" s="58">
        <v>3206</v>
      </c>
      <c r="I1642" s="58">
        <v>12799</v>
      </c>
      <c r="J1642" s="58">
        <v>4</v>
      </c>
      <c r="K1642" s="1">
        <f t="shared" si="176"/>
        <v>529150.30000000005</v>
      </c>
      <c r="L1642" s="1">
        <f t="shared" si="177"/>
        <v>3206</v>
      </c>
      <c r="M1642" s="1">
        <f>VLOOKUP(B1642,'[1]Срок Годности'!$A$2:$B$4,2,0)</f>
        <v>1000</v>
      </c>
      <c r="N1642" s="60">
        <f t="shared" si="178"/>
        <v>0</v>
      </c>
      <c r="O1642" s="1" t="str">
        <f t="shared" si="179"/>
        <v>28 2012</v>
      </c>
      <c r="P1642" s="1">
        <f t="shared" si="180"/>
        <v>22</v>
      </c>
      <c r="Q1642" s="1">
        <f t="shared" ca="1" si="181"/>
        <v>4035</v>
      </c>
      <c r="S1642" s="1">
        <f t="shared" si="175"/>
        <v>12795</v>
      </c>
    </row>
    <row r="1643" spans="1:19" x14ac:dyDescent="0.2">
      <c r="A1643" s="57" t="s">
        <v>229</v>
      </c>
      <c r="B1643" s="57" t="s">
        <v>237</v>
      </c>
      <c r="C1643" s="57" t="s">
        <v>238</v>
      </c>
      <c r="D1643" s="58">
        <v>165.05</v>
      </c>
      <c r="E1643" s="59">
        <v>41099</v>
      </c>
      <c r="F1643" s="58">
        <v>12799</v>
      </c>
      <c r="G1643" s="58">
        <v>3174</v>
      </c>
      <c r="H1643" s="58">
        <v>2774</v>
      </c>
      <c r="I1643" s="58">
        <v>12993</v>
      </c>
      <c r="J1643" s="58">
        <v>1</v>
      </c>
      <c r="K1643" s="1">
        <f t="shared" si="176"/>
        <v>457848.7</v>
      </c>
      <c r="L1643" s="1">
        <f t="shared" si="177"/>
        <v>2774</v>
      </c>
      <c r="M1643" s="1">
        <f>VLOOKUP(B1643,'[1]Срок Годности'!$A$2:$B$4,2,0)</f>
        <v>1000</v>
      </c>
      <c r="N1643" s="60">
        <f t="shared" si="178"/>
        <v>3174</v>
      </c>
      <c r="O1643" s="1" t="str">
        <f t="shared" si="179"/>
        <v>28 2012</v>
      </c>
      <c r="P1643" s="1">
        <f t="shared" si="180"/>
        <v>22</v>
      </c>
      <c r="Q1643" s="1">
        <f t="shared" ca="1" si="181"/>
        <v>4034</v>
      </c>
      <c r="S1643" s="1">
        <f t="shared" si="175"/>
        <v>12992</v>
      </c>
    </row>
    <row r="1644" spans="1:19" x14ac:dyDescent="0.2">
      <c r="A1644" s="57" t="s">
        <v>229</v>
      </c>
      <c r="B1644" s="57" t="s">
        <v>237</v>
      </c>
      <c r="C1644" s="57" t="s">
        <v>238</v>
      </c>
      <c r="D1644" s="58">
        <v>165.05</v>
      </c>
      <c r="E1644" s="59">
        <v>41100</v>
      </c>
      <c r="F1644" s="58">
        <v>12993</v>
      </c>
      <c r="G1644" s="58">
        <v>3194</v>
      </c>
      <c r="H1644" s="58">
        <v>2700</v>
      </c>
      <c r="I1644" s="58">
        <v>13345</v>
      </c>
      <c r="J1644" s="58">
        <v>0</v>
      </c>
      <c r="K1644" s="1">
        <f t="shared" si="176"/>
        <v>445635.00000000006</v>
      </c>
      <c r="L1644" s="1">
        <f t="shared" si="177"/>
        <v>2700</v>
      </c>
      <c r="M1644" s="1">
        <f>VLOOKUP(B1644,'[1]Срок Годности'!$A$2:$B$4,2,0)</f>
        <v>1000</v>
      </c>
      <c r="N1644" s="60">
        <f t="shared" si="178"/>
        <v>3194</v>
      </c>
      <c r="O1644" s="1" t="str">
        <f t="shared" si="179"/>
        <v>28 2012</v>
      </c>
      <c r="P1644" s="1">
        <f t="shared" si="180"/>
        <v>22</v>
      </c>
      <c r="Q1644" s="1">
        <f t="shared" ca="1" si="181"/>
        <v>4033</v>
      </c>
      <c r="S1644" s="1">
        <f t="shared" si="175"/>
        <v>13345</v>
      </c>
    </row>
    <row r="1645" spans="1:19" x14ac:dyDescent="0.2">
      <c r="A1645" s="57" t="s">
        <v>229</v>
      </c>
      <c r="B1645" s="57" t="s">
        <v>237</v>
      </c>
      <c r="C1645" s="57" t="s">
        <v>238</v>
      </c>
      <c r="D1645" s="58">
        <v>165.05</v>
      </c>
      <c r="E1645" s="59">
        <v>41101</v>
      </c>
      <c r="F1645" s="58">
        <v>13345</v>
      </c>
      <c r="G1645" s="58">
        <v>2945</v>
      </c>
      <c r="H1645" s="58">
        <v>2717</v>
      </c>
      <c r="I1645" s="58">
        <v>13437</v>
      </c>
      <c r="J1645" s="58">
        <v>0</v>
      </c>
      <c r="K1645" s="1">
        <f t="shared" si="176"/>
        <v>448440.85000000003</v>
      </c>
      <c r="L1645" s="1">
        <f t="shared" si="177"/>
        <v>2717</v>
      </c>
      <c r="M1645" s="1">
        <f>VLOOKUP(B1645,'[1]Срок Годности'!$A$2:$B$4,2,0)</f>
        <v>1000</v>
      </c>
      <c r="N1645" s="60">
        <f t="shared" si="178"/>
        <v>2945</v>
      </c>
      <c r="O1645" s="1" t="str">
        <f t="shared" si="179"/>
        <v>28 2012</v>
      </c>
      <c r="P1645" s="1">
        <f t="shared" si="180"/>
        <v>22</v>
      </c>
      <c r="Q1645" s="1">
        <f t="shared" ca="1" si="181"/>
        <v>4032</v>
      </c>
      <c r="S1645" s="1">
        <f t="shared" si="175"/>
        <v>13437</v>
      </c>
    </row>
    <row r="1646" spans="1:19" x14ac:dyDescent="0.2">
      <c r="A1646" s="57" t="s">
        <v>229</v>
      </c>
      <c r="B1646" s="57" t="s">
        <v>237</v>
      </c>
      <c r="C1646" s="57" t="s">
        <v>238</v>
      </c>
      <c r="D1646" s="58">
        <v>165.05</v>
      </c>
      <c r="E1646" s="59">
        <v>41102</v>
      </c>
      <c r="F1646" s="58">
        <v>13437</v>
      </c>
      <c r="G1646" s="58">
        <v>2588</v>
      </c>
      <c r="H1646" s="58">
        <v>2759</v>
      </c>
      <c r="I1646" s="58">
        <v>13077</v>
      </c>
      <c r="J1646" s="58">
        <v>1</v>
      </c>
      <c r="K1646" s="1">
        <f t="shared" si="176"/>
        <v>455372.95</v>
      </c>
      <c r="L1646" s="1">
        <f t="shared" si="177"/>
        <v>2759</v>
      </c>
      <c r="M1646" s="1">
        <f>VLOOKUP(B1646,'[1]Срок Годности'!$A$2:$B$4,2,0)</f>
        <v>1000</v>
      </c>
      <c r="N1646" s="60">
        <f t="shared" si="178"/>
        <v>2588</v>
      </c>
      <c r="O1646" s="1" t="str">
        <f t="shared" si="179"/>
        <v>28 2012</v>
      </c>
      <c r="P1646" s="1">
        <f t="shared" si="180"/>
        <v>22</v>
      </c>
      <c r="Q1646" s="1">
        <f t="shared" ca="1" si="181"/>
        <v>4031</v>
      </c>
      <c r="S1646" s="1">
        <f t="shared" si="175"/>
        <v>13076</v>
      </c>
    </row>
    <row r="1647" spans="1:19" x14ac:dyDescent="0.2">
      <c r="A1647" s="57" t="s">
        <v>229</v>
      </c>
      <c r="B1647" s="57" t="s">
        <v>237</v>
      </c>
      <c r="C1647" s="57" t="s">
        <v>238</v>
      </c>
      <c r="D1647" s="58">
        <v>165.05</v>
      </c>
      <c r="E1647" s="59">
        <v>41103</v>
      </c>
      <c r="F1647" s="58">
        <v>13077</v>
      </c>
      <c r="G1647" s="58">
        <v>2601</v>
      </c>
      <c r="H1647" s="58">
        <v>2442</v>
      </c>
      <c r="I1647" s="58">
        <v>13121</v>
      </c>
      <c r="J1647" s="58">
        <v>0</v>
      </c>
      <c r="K1647" s="1">
        <f t="shared" si="176"/>
        <v>403052.10000000003</v>
      </c>
      <c r="L1647" s="1">
        <f t="shared" si="177"/>
        <v>2442</v>
      </c>
      <c r="M1647" s="1">
        <f>VLOOKUP(B1647,'[1]Срок Годности'!$A$2:$B$4,2,0)</f>
        <v>1000</v>
      </c>
      <c r="N1647" s="60">
        <f t="shared" si="178"/>
        <v>2601</v>
      </c>
      <c r="O1647" s="1" t="str">
        <f t="shared" si="179"/>
        <v>28 2012</v>
      </c>
      <c r="P1647" s="1">
        <f t="shared" si="180"/>
        <v>22</v>
      </c>
      <c r="Q1647" s="1">
        <f t="shared" ca="1" si="181"/>
        <v>4030</v>
      </c>
      <c r="S1647" s="1">
        <f t="shared" si="175"/>
        <v>13121</v>
      </c>
    </row>
    <row r="1648" spans="1:19" x14ac:dyDescent="0.2">
      <c r="A1648" s="57" t="s">
        <v>229</v>
      </c>
      <c r="B1648" s="57" t="s">
        <v>237</v>
      </c>
      <c r="C1648" s="57" t="s">
        <v>238</v>
      </c>
      <c r="D1648" s="58">
        <v>165.05</v>
      </c>
      <c r="E1648" s="59">
        <v>41104</v>
      </c>
      <c r="F1648" s="58">
        <v>13121</v>
      </c>
      <c r="G1648" s="58">
        <v>3052</v>
      </c>
      <c r="H1648" s="58">
        <v>2690</v>
      </c>
      <c r="I1648" s="58">
        <v>13414</v>
      </c>
      <c r="J1648" s="58">
        <v>0</v>
      </c>
      <c r="K1648" s="1">
        <f t="shared" si="176"/>
        <v>443984.50000000006</v>
      </c>
      <c r="L1648" s="1">
        <f t="shared" si="177"/>
        <v>2690</v>
      </c>
      <c r="M1648" s="1">
        <f>VLOOKUP(B1648,'[1]Срок Годности'!$A$2:$B$4,2,0)</f>
        <v>1000</v>
      </c>
      <c r="N1648" s="60">
        <f t="shared" si="178"/>
        <v>3052</v>
      </c>
      <c r="O1648" s="1" t="str">
        <f t="shared" si="179"/>
        <v>28 2012</v>
      </c>
      <c r="P1648" s="1">
        <f t="shared" si="180"/>
        <v>22</v>
      </c>
      <c r="Q1648" s="1">
        <f t="shared" ca="1" si="181"/>
        <v>4029</v>
      </c>
      <c r="S1648" s="1">
        <f t="shared" si="175"/>
        <v>13414</v>
      </c>
    </row>
    <row r="1649" spans="1:19" x14ac:dyDescent="0.2">
      <c r="A1649" s="57" t="s">
        <v>229</v>
      </c>
      <c r="B1649" s="57" t="s">
        <v>237</v>
      </c>
      <c r="C1649" s="57" t="s">
        <v>238</v>
      </c>
      <c r="D1649" s="58">
        <v>165.05</v>
      </c>
      <c r="E1649" s="59">
        <v>41105</v>
      </c>
      <c r="F1649" s="58">
        <v>13414</v>
      </c>
      <c r="G1649" s="58">
        <v>2681</v>
      </c>
      <c r="H1649" s="58">
        <v>2598</v>
      </c>
      <c r="I1649" s="58">
        <v>13474</v>
      </c>
      <c r="J1649" s="58">
        <v>0</v>
      </c>
      <c r="K1649" s="1">
        <f t="shared" si="176"/>
        <v>428799.9</v>
      </c>
      <c r="L1649" s="1">
        <f t="shared" si="177"/>
        <v>2598</v>
      </c>
      <c r="M1649" s="1">
        <f>VLOOKUP(B1649,'[1]Срок Годности'!$A$2:$B$4,2,0)</f>
        <v>1000</v>
      </c>
      <c r="N1649" s="60">
        <f t="shared" si="178"/>
        <v>0</v>
      </c>
      <c r="O1649" s="1" t="str">
        <f t="shared" si="179"/>
        <v>29 2012</v>
      </c>
      <c r="P1649" s="1">
        <f t="shared" si="180"/>
        <v>22</v>
      </c>
      <c r="Q1649" s="1">
        <f t="shared" ca="1" si="181"/>
        <v>4028</v>
      </c>
      <c r="S1649" s="1">
        <f t="shared" si="175"/>
        <v>13474</v>
      </c>
    </row>
    <row r="1650" spans="1:19" x14ac:dyDescent="0.2">
      <c r="A1650" s="57" t="s">
        <v>229</v>
      </c>
      <c r="B1650" s="57" t="s">
        <v>237</v>
      </c>
      <c r="C1650" s="57" t="s">
        <v>238</v>
      </c>
      <c r="D1650" s="58">
        <v>165.05</v>
      </c>
      <c r="E1650" s="59">
        <v>41106</v>
      </c>
      <c r="F1650" s="58">
        <v>13474</v>
      </c>
      <c r="G1650" s="58">
        <v>2175</v>
      </c>
      <c r="H1650" s="58">
        <v>2248</v>
      </c>
      <c r="I1650" s="58">
        <v>13322</v>
      </c>
      <c r="J1650" s="58">
        <v>0</v>
      </c>
      <c r="K1650" s="1">
        <f t="shared" si="176"/>
        <v>371032.4</v>
      </c>
      <c r="L1650" s="1">
        <f t="shared" si="177"/>
        <v>2248</v>
      </c>
      <c r="M1650" s="1">
        <f>VLOOKUP(B1650,'[1]Срок Годности'!$A$2:$B$4,2,0)</f>
        <v>1000</v>
      </c>
      <c r="N1650" s="60">
        <f t="shared" si="178"/>
        <v>2175</v>
      </c>
      <c r="O1650" s="1" t="str">
        <f t="shared" si="179"/>
        <v>29 2012</v>
      </c>
      <c r="P1650" s="1">
        <f t="shared" si="180"/>
        <v>22</v>
      </c>
      <c r="Q1650" s="1">
        <f t="shared" ca="1" si="181"/>
        <v>4027</v>
      </c>
      <c r="S1650" s="1">
        <f t="shared" si="175"/>
        <v>13322</v>
      </c>
    </row>
    <row r="1651" spans="1:19" x14ac:dyDescent="0.2">
      <c r="A1651" s="57" t="s">
        <v>229</v>
      </c>
      <c r="B1651" s="57" t="s">
        <v>237</v>
      </c>
      <c r="C1651" s="57" t="s">
        <v>238</v>
      </c>
      <c r="D1651" s="58">
        <v>165.05</v>
      </c>
      <c r="E1651" s="59">
        <v>41107</v>
      </c>
      <c r="F1651" s="58">
        <v>13322</v>
      </c>
      <c r="G1651" s="58">
        <v>2262</v>
      </c>
      <c r="H1651" s="58">
        <v>2221</v>
      </c>
      <c r="I1651" s="58">
        <v>13358</v>
      </c>
      <c r="J1651" s="58">
        <v>0</v>
      </c>
      <c r="K1651" s="1">
        <f t="shared" si="176"/>
        <v>366576.05000000005</v>
      </c>
      <c r="L1651" s="1">
        <f t="shared" si="177"/>
        <v>2221</v>
      </c>
      <c r="M1651" s="1">
        <f>VLOOKUP(B1651,'[1]Срок Годности'!$A$2:$B$4,2,0)</f>
        <v>1000</v>
      </c>
      <c r="N1651" s="60">
        <f t="shared" si="178"/>
        <v>2262</v>
      </c>
      <c r="O1651" s="1" t="str">
        <f t="shared" si="179"/>
        <v>29 2012</v>
      </c>
      <c r="P1651" s="1">
        <f t="shared" si="180"/>
        <v>22</v>
      </c>
      <c r="Q1651" s="1">
        <f t="shared" ca="1" si="181"/>
        <v>4026</v>
      </c>
      <c r="S1651" s="1">
        <f t="shared" si="175"/>
        <v>13358</v>
      </c>
    </row>
    <row r="1652" spans="1:19" x14ac:dyDescent="0.2">
      <c r="A1652" s="57" t="s">
        <v>231</v>
      </c>
      <c r="B1652" s="57" t="s">
        <v>225</v>
      </c>
      <c r="C1652" s="57" t="s">
        <v>226</v>
      </c>
      <c r="D1652" s="58">
        <v>317.08</v>
      </c>
      <c r="E1652" s="59">
        <v>41061</v>
      </c>
      <c r="F1652" s="58">
        <v>7</v>
      </c>
      <c r="G1652" s="58">
        <v>0</v>
      </c>
      <c r="H1652" s="58">
        <v>0</v>
      </c>
      <c r="I1652" s="58">
        <v>7</v>
      </c>
      <c r="J1652" s="58">
        <v>0</v>
      </c>
      <c r="K1652" s="1">
        <f t="shared" si="176"/>
        <v>0</v>
      </c>
      <c r="L1652" s="1" t="str">
        <f t="shared" si="177"/>
        <v/>
      </c>
      <c r="M1652" s="1">
        <f>VLOOKUP(B1652,'[1]Срок Годности'!$A$2:$B$4,2,0)</f>
        <v>500</v>
      </c>
      <c r="N1652" s="60">
        <f t="shared" si="178"/>
        <v>0</v>
      </c>
      <c r="O1652" s="1" t="str">
        <f t="shared" si="179"/>
        <v>22 2012</v>
      </c>
      <c r="P1652" s="1">
        <f t="shared" si="180"/>
        <v>23</v>
      </c>
      <c r="Q1652" s="1">
        <f t="shared" ca="1" si="181"/>
        <v>4072</v>
      </c>
      <c r="S1652" s="1">
        <f t="shared" si="175"/>
        <v>7</v>
      </c>
    </row>
    <row r="1653" spans="1:19" x14ac:dyDescent="0.2">
      <c r="A1653" s="57" t="s">
        <v>231</v>
      </c>
      <c r="B1653" s="57" t="s">
        <v>225</v>
      </c>
      <c r="C1653" s="57" t="s">
        <v>226</v>
      </c>
      <c r="D1653" s="58">
        <v>317.08</v>
      </c>
      <c r="E1653" s="59">
        <v>41062</v>
      </c>
      <c r="F1653" s="58">
        <v>7</v>
      </c>
      <c r="G1653" s="58">
        <v>0</v>
      </c>
      <c r="H1653" s="58">
        <v>0</v>
      </c>
      <c r="I1653" s="58">
        <v>7</v>
      </c>
      <c r="J1653" s="58">
        <v>0</v>
      </c>
      <c r="K1653" s="1">
        <f t="shared" si="176"/>
        <v>0</v>
      </c>
      <c r="L1653" s="1" t="str">
        <f t="shared" si="177"/>
        <v/>
      </c>
      <c r="M1653" s="1">
        <f>VLOOKUP(B1653,'[1]Срок Годности'!$A$2:$B$4,2,0)</f>
        <v>500</v>
      </c>
      <c r="N1653" s="60">
        <f t="shared" si="178"/>
        <v>0</v>
      </c>
      <c r="O1653" s="1" t="str">
        <f t="shared" si="179"/>
        <v>22 2012</v>
      </c>
      <c r="P1653" s="1">
        <f t="shared" si="180"/>
        <v>23</v>
      </c>
      <c r="Q1653" s="1">
        <f t="shared" ca="1" si="181"/>
        <v>4071</v>
      </c>
      <c r="S1653" s="1">
        <f t="shared" si="175"/>
        <v>7</v>
      </c>
    </row>
    <row r="1654" spans="1:19" x14ac:dyDescent="0.2">
      <c r="A1654" s="57" t="s">
        <v>231</v>
      </c>
      <c r="B1654" s="57" t="s">
        <v>225</v>
      </c>
      <c r="C1654" s="57" t="s">
        <v>226</v>
      </c>
      <c r="D1654" s="58">
        <v>317.08</v>
      </c>
      <c r="E1654" s="59">
        <v>41063</v>
      </c>
      <c r="F1654" s="58">
        <v>7</v>
      </c>
      <c r="G1654" s="58">
        <v>0</v>
      </c>
      <c r="H1654" s="58">
        <v>0</v>
      </c>
      <c r="I1654" s="58">
        <v>7</v>
      </c>
      <c r="J1654" s="58">
        <v>0</v>
      </c>
      <c r="K1654" s="1">
        <f t="shared" si="176"/>
        <v>0</v>
      </c>
      <c r="L1654" s="1" t="str">
        <f t="shared" si="177"/>
        <v/>
      </c>
      <c r="M1654" s="1">
        <f>VLOOKUP(B1654,'[1]Срок Годности'!$A$2:$B$4,2,0)</f>
        <v>500</v>
      </c>
      <c r="N1654" s="60">
        <f t="shared" si="178"/>
        <v>0</v>
      </c>
      <c r="O1654" s="1" t="str">
        <f t="shared" si="179"/>
        <v>23 2012</v>
      </c>
      <c r="P1654" s="1">
        <f t="shared" si="180"/>
        <v>23</v>
      </c>
      <c r="Q1654" s="1">
        <f t="shared" ca="1" si="181"/>
        <v>4070</v>
      </c>
      <c r="S1654" s="1">
        <f t="shared" si="175"/>
        <v>7</v>
      </c>
    </row>
    <row r="1655" spans="1:19" x14ac:dyDescent="0.2">
      <c r="A1655" s="57" t="s">
        <v>231</v>
      </c>
      <c r="B1655" s="57" t="s">
        <v>225</v>
      </c>
      <c r="C1655" s="57" t="s">
        <v>226</v>
      </c>
      <c r="D1655" s="58">
        <v>317.08</v>
      </c>
      <c r="E1655" s="59">
        <v>41064</v>
      </c>
      <c r="F1655" s="58">
        <v>7</v>
      </c>
      <c r="G1655" s="58">
        <v>0</v>
      </c>
      <c r="H1655" s="58">
        <v>0</v>
      </c>
      <c r="I1655" s="58">
        <v>7</v>
      </c>
      <c r="J1655" s="58">
        <v>0</v>
      </c>
      <c r="K1655" s="1">
        <f t="shared" si="176"/>
        <v>0</v>
      </c>
      <c r="L1655" s="1" t="str">
        <f t="shared" si="177"/>
        <v/>
      </c>
      <c r="M1655" s="1">
        <f>VLOOKUP(B1655,'[1]Срок Годности'!$A$2:$B$4,2,0)</f>
        <v>500</v>
      </c>
      <c r="N1655" s="60">
        <f t="shared" si="178"/>
        <v>0</v>
      </c>
      <c r="O1655" s="1" t="str">
        <f t="shared" si="179"/>
        <v>23 2012</v>
      </c>
      <c r="P1655" s="1">
        <f t="shared" si="180"/>
        <v>23</v>
      </c>
      <c r="Q1655" s="1">
        <f t="shared" ca="1" si="181"/>
        <v>4069</v>
      </c>
      <c r="S1655" s="1">
        <f t="shared" si="175"/>
        <v>7</v>
      </c>
    </row>
    <row r="1656" spans="1:19" x14ac:dyDescent="0.2">
      <c r="A1656" s="57" t="s">
        <v>231</v>
      </c>
      <c r="B1656" s="57" t="s">
        <v>225</v>
      </c>
      <c r="C1656" s="57" t="s">
        <v>226</v>
      </c>
      <c r="D1656" s="58">
        <v>317.08</v>
      </c>
      <c r="E1656" s="59">
        <v>41065</v>
      </c>
      <c r="F1656" s="58">
        <v>7</v>
      </c>
      <c r="G1656" s="58">
        <v>0</v>
      </c>
      <c r="H1656" s="58">
        <v>1</v>
      </c>
      <c r="I1656" s="58">
        <v>6</v>
      </c>
      <c r="J1656" s="58">
        <v>0</v>
      </c>
      <c r="K1656" s="1">
        <f t="shared" si="176"/>
        <v>317.08</v>
      </c>
      <c r="L1656" s="1" t="str">
        <f t="shared" si="177"/>
        <v/>
      </c>
      <c r="M1656" s="1">
        <f>VLOOKUP(B1656,'[1]Срок Годности'!$A$2:$B$4,2,0)</f>
        <v>500</v>
      </c>
      <c r="N1656" s="60">
        <f t="shared" si="178"/>
        <v>0</v>
      </c>
      <c r="O1656" s="1" t="str">
        <f t="shared" si="179"/>
        <v>23 2012</v>
      </c>
      <c r="P1656" s="1">
        <f t="shared" si="180"/>
        <v>23</v>
      </c>
      <c r="Q1656" s="1">
        <f t="shared" ca="1" si="181"/>
        <v>4068</v>
      </c>
      <c r="S1656" s="1">
        <f t="shared" si="175"/>
        <v>6</v>
      </c>
    </row>
    <row r="1657" spans="1:19" x14ac:dyDescent="0.2">
      <c r="A1657" s="57" t="s">
        <v>231</v>
      </c>
      <c r="B1657" s="57" t="s">
        <v>225</v>
      </c>
      <c r="C1657" s="57" t="s">
        <v>226</v>
      </c>
      <c r="D1657" s="58">
        <v>317.08</v>
      </c>
      <c r="E1657" s="59">
        <v>41066</v>
      </c>
      <c r="F1657" s="58">
        <v>6</v>
      </c>
      <c r="G1657" s="58">
        <v>0</v>
      </c>
      <c r="H1657" s="58">
        <v>1</v>
      </c>
      <c r="I1657" s="58">
        <v>5</v>
      </c>
      <c r="J1657" s="58">
        <v>0</v>
      </c>
      <c r="K1657" s="1">
        <f t="shared" si="176"/>
        <v>317.08</v>
      </c>
      <c r="L1657" s="1" t="str">
        <f t="shared" si="177"/>
        <v/>
      </c>
      <c r="M1657" s="1">
        <f>VLOOKUP(B1657,'[1]Срок Годности'!$A$2:$B$4,2,0)</f>
        <v>500</v>
      </c>
      <c r="N1657" s="60">
        <f t="shared" si="178"/>
        <v>0</v>
      </c>
      <c r="O1657" s="1" t="str">
        <f t="shared" si="179"/>
        <v>23 2012</v>
      </c>
      <c r="P1657" s="1">
        <f t="shared" si="180"/>
        <v>23</v>
      </c>
      <c r="Q1657" s="1">
        <f t="shared" ca="1" si="181"/>
        <v>4067</v>
      </c>
      <c r="S1657" s="1">
        <f t="shared" si="175"/>
        <v>5</v>
      </c>
    </row>
    <row r="1658" spans="1:19" x14ac:dyDescent="0.2">
      <c r="A1658" s="57" t="s">
        <v>231</v>
      </c>
      <c r="B1658" s="57" t="s">
        <v>225</v>
      </c>
      <c r="C1658" s="57" t="s">
        <v>226</v>
      </c>
      <c r="D1658" s="58">
        <v>317.08</v>
      </c>
      <c r="E1658" s="59">
        <v>41067</v>
      </c>
      <c r="F1658" s="58">
        <v>5</v>
      </c>
      <c r="G1658" s="58">
        <v>0</v>
      </c>
      <c r="H1658" s="58">
        <v>0</v>
      </c>
      <c r="I1658" s="58">
        <v>5</v>
      </c>
      <c r="J1658" s="58">
        <v>0</v>
      </c>
      <c r="K1658" s="1">
        <f t="shared" si="176"/>
        <v>0</v>
      </c>
      <c r="L1658" s="1" t="str">
        <f t="shared" si="177"/>
        <v/>
      </c>
      <c r="M1658" s="1">
        <f>VLOOKUP(B1658,'[1]Срок Годности'!$A$2:$B$4,2,0)</f>
        <v>500</v>
      </c>
      <c r="N1658" s="60">
        <f t="shared" si="178"/>
        <v>0</v>
      </c>
      <c r="O1658" s="1" t="str">
        <f t="shared" si="179"/>
        <v>23 2012</v>
      </c>
      <c r="P1658" s="1">
        <f t="shared" si="180"/>
        <v>23</v>
      </c>
      <c r="Q1658" s="1">
        <f t="shared" ca="1" si="181"/>
        <v>4066</v>
      </c>
      <c r="S1658" s="1">
        <f t="shared" si="175"/>
        <v>5</v>
      </c>
    </row>
    <row r="1659" spans="1:19" x14ac:dyDescent="0.2">
      <c r="A1659" s="57" t="s">
        <v>231</v>
      </c>
      <c r="B1659" s="57" t="s">
        <v>225</v>
      </c>
      <c r="C1659" s="57" t="s">
        <v>226</v>
      </c>
      <c r="D1659" s="58">
        <v>317.08</v>
      </c>
      <c r="E1659" s="59">
        <v>41068</v>
      </c>
      <c r="F1659" s="58">
        <v>5</v>
      </c>
      <c r="G1659" s="58">
        <v>2500</v>
      </c>
      <c r="H1659" s="58">
        <v>41</v>
      </c>
      <c r="I1659" s="58">
        <v>2463</v>
      </c>
      <c r="J1659" s="58">
        <v>0</v>
      </c>
      <c r="K1659" s="1">
        <f t="shared" si="176"/>
        <v>13000.279999999999</v>
      </c>
      <c r="L1659" s="1" t="str">
        <f t="shared" si="177"/>
        <v/>
      </c>
      <c r="M1659" s="1">
        <f>VLOOKUP(B1659,'[1]Срок Годности'!$A$2:$B$4,2,0)</f>
        <v>500</v>
      </c>
      <c r="N1659" s="60">
        <f t="shared" si="178"/>
        <v>2500</v>
      </c>
      <c r="O1659" s="1" t="str">
        <f t="shared" si="179"/>
        <v>23 2012</v>
      </c>
      <c r="P1659" s="1">
        <f t="shared" si="180"/>
        <v>23</v>
      </c>
      <c r="Q1659" s="1">
        <f t="shared" ca="1" si="181"/>
        <v>4065</v>
      </c>
      <c r="S1659" s="1">
        <f t="shared" si="175"/>
        <v>2463</v>
      </c>
    </row>
    <row r="1660" spans="1:19" x14ac:dyDescent="0.2">
      <c r="A1660" s="57" t="s">
        <v>231</v>
      </c>
      <c r="B1660" s="57" t="s">
        <v>225</v>
      </c>
      <c r="C1660" s="57" t="s">
        <v>226</v>
      </c>
      <c r="D1660" s="58">
        <v>317.08</v>
      </c>
      <c r="E1660" s="59">
        <v>41069</v>
      </c>
      <c r="F1660" s="58">
        <v>2463</v>
      </c>
      <c r="G1660" s="58">
        <v>2598</v>
      </c>
      <c r="H1660" s="58">
        <v>333</v>
      </c>
      <c r="I1660" s="58">
        <v>4729</v>
      </c>
      <c r="J1660" s="58">
        <v>0</v>
      </c>
      <c r="K1660" s="1">
        <f t="shared" si="176"/>
        <v>105587.64</v>
      </c>
      <c r="L1660" s="1" t="str">
        <f t="shared" si="177"/>
        <v/>
      </c>
      <c r="M1660" s="1">
        <f>VLOOKUP(B1660,'[1]Срок Годности'!$A$2:$B$4,2,0)</f>
        <v>500</v>
      </c>
      <c r="N1660" s="60">
        <f t="shared" si="178"/>
        <v>2598</v>
      </c>
      <c r="O1660" s="1" t="str">
        <f t="shared" si="179"/>
        <v>23 2012</v>
      </c>
      <c r="P1660" s="1">
        <f t="shared" si="180"/>
        <v>23</v>
      </c>
      <c r="Q1660" s="1">
        <f t="shared" ca="1" si="181"/>
        <v>4064</v>
      </c>
      <c r="S1660" s="1">
        <f t="shared" si="175"/>
        <v>4729</v>
      </c>
    </row>
    <row r="1661" spans="1:19" x14ac:dyDescent="0.2">
      <c r="A1661" s="57" t="s">
        <v>231</v>
      </c>
      <c r="B1661" s="57" t="s">
        <v>225</v>
      </c>
      <c r="C1661" s="57" t="s">
        <v>226</v>
      </c>
      <c r="D1661" s="58">
        <v>317.08</v>
      </c>
      <c r="E1661" s="59">
        <v>41070</v>
      </c>
      <c r="F1661" s="58">
        <v>4729</v>
      </c>
      <c r="G1661" s="58">
        <v>220</v>
      </c>
      <c r="H1661" s="58">
        <v>581</v>
      </c>
      <c r="I1661" s="58">
        <v>4358</v>
      </c>
      <c r="J1661" s="58">
        <v>0</v>
      </c>
      <c r="K1661" s="1">
        <f t="shared" si="176"/>
        <v>184223.47999999998</v>
      </c>
      <c r="L1661" s="1" t="str">
        <f t="shared" si="177"/>
        <v/>
      </c>
      <c r="M1661" s="1">
        <f>VLOOKUP(B1661,'[1]Срок Годности'!$A$2:$B$4,2,0)</f>
        <v>500</v>
      </c>
      <c r="N1661" s="60">
        <f t="shared" si="178"/>
        <v>0</v>
      </c>
      <c r="O1661" s="1" t="str">
        <f t="shared" si="179"/>
        <v>24 2012</v>
      </c>
      <c r="P1661" s="1">
        <f t="shared" si="180"/>
        <v>23</v>
      </c>
      <c r="Q1661" s="1">
        <f t="shared" ca="1" si="181"/>
        <v>4063</v>
      </c>
      <c r="S1661" s="1">
        <f t="shared" si="175"/>
        <v>4358</v>
      </c>
    </row>
    <row r="1662" spans="1:19" x14ac:dyDescent="0.2">
      <c r="A1662" s="57" t="s">
        <v>231</v>
      </c>
      <c r="B1662" s="57" t="s">
        <v>225</v>
      </c>
      <c r="C1662" s="57" t="s">
        <v>226</v>
      </c>
      <c r="D1662" s="58">
        <v>317.08</v>
      </c>
      <c r="E1662" s="59">
        <v>41071</v>
      </c>
      <c r="F1662" s="58">
        <v>4358</v>
      </c>
      <c r="G1662" s="58">
        <v>133</v>
      </c>
      <c r="H1662" s="58">
        <v>782</v>
      </c>
      <c r="I1662" s="58">
        <v>3691</v>
      </c>
      <c r="J1662" s="58">
        <v>0</v>
      </c>
      <c r="K1662" s="1">
        <f t="shared" si="176"/>
        <v>247956.56</v>
      </c>
      <c r="L1662" s="1" t="str">
        <f t="shared" si="177"/>
        <v/>
      </c>
      <c r="M1662" s="1">
        <f>VLOOKUP(B1662,'[1]Срок Годности'!$A$2:$B$4,2,0)</f>
        <v>500</v>
      </c>
      <c r="N1662" s="60">
        <f t="shared" si="178"/>
        <v>133</v>
      </c>
      <c r="O1662" s="1" t="str">
        <f t="shared" si="179"/>
        <v>24 2012</v>
      </c>
      <c r="P1662" s="1">
        <f t="shared" si="180"/>
        <v>23</v>
      </c>
      <c r="Q1662" s="1">
        <f t="shared" ca="1" si="181"/>
        <v>4062</v>
      </c>
      <c r="S1662" s="1">
        <f t="shared" si="175"/>
        <v>3691</v>
      </c>
    </row>
    <row r="1663" spans="1:19" x14ac:dyDescent="0.2">
      <c r="A1663" s="57" t="s">
        <v>231</v>
      </c>
      <c r="B1663" s="57" t="s">
        <v>225</v>
      </c>
      <c r="C1663" s="57" t="s">
        <v>226</v>
      </c>
      <c r="D1663" s="58">
        <v>317.08</v>
      </c>
      <c r="E1663" s="59">
        <v>41072</v>
      </c>
      <c r="F1663" s="58">
        <v>3691</v>
      </c>
      <c r="G1663" s="58">
        <v>698</v>
      </c>
      <c r="H1663" s="58">
        <v>721</v>
      </c>
      <c r="I1663" s="58">
        <v>3670</v>
      </c>
      <c r="J1663" s="58">
        <v>0</v>
      </c>
      <c r="K1663" s="1">
        <f t="shared" si="176"/>
        <v>228614.68</v>
      </c>
      <c r="L1663" s="1" t="str">
        <f t="shared" si="177"/>
        <v/>
      </c>
      <c r="M1663" s="1">
        <f>VLOOKUP(B1663,'[1]Срок Годности'!$A$2:$B$4,2,0)</f>
        <v>500</v>
      </c>
      <c r="N1663" s="60">
        <f t="shared" si="178"/>
        <v>698</v>
      </c>
      <c r="O1663" s="1" t="str">
        <f t="shared" si="179"/>
        <v>24 2012</v>
      </c>
      <c r="P1663" s="1">
        <f t="shared" si="180"/>
        <v>23</v>
      </c>
      <c r="Q1663" s="1">
        <f t="shared" ca="1" si="181"/>
        <v>4061</v>
      </c>
      <c r="S1663" s="1">
        <f t="shared" si="175"/>
        <v>3670</v>
      </c>
    </row>
    <row r="1664" spans="1:19" x14ac:dyDescent="0.2">
      <c r="A1664" s="57" t="s">
        <v>231</v>
      </c>
      <c r="B1664" s="57" t="s">
        <v>225</v>
      </c>
      <c r="C1664" s="57" t="s">
        <v>226</v>
      </c>
      <c r="D1664" s="58">
        <v>317.08</v>
      </c>
      <c r="E1664" s="59">
        <v>41073</v>
      </c>
      <c r="F1664" s="58">
        <v>3670</v>
      </c>
      <c r="G1664" s="58">
        <v>672</v>
      </c>
      <c r="H1664" s="58">
        <v>734</v>
      </c>
      <c r="I1664" s="58">
        <v>3606</v>
      </c>
      <c r="J1664" s="58">
        <v>0</v>
      </c>
      <c r="K1664" s="1">
        <f t="shared" si="176"/>
        <v>232736.72</v>
      </c>
      <c r="L1664" s="1" t="str">
        <f t="shared" si="177"/>
        <v/>
      </c>
      <c r="M1664" s="1">
        <f>VLOOKUP(B1664,'[1]Срок Годности'!$A$2:$B$4,2,0)</f>
        <v>500</v>
      </c>
      <c r="N1664" s="60">
        <f t="shared" si="178"/>
        <v>672</v>
      </c>
      <c r="O1664" s="1" t="str">
        <f t="shared" si="179"/>
        <v>24 2012</v>
      </c>
      <c r="P1664" s="1">
        <f t="shared" si="180"/>
        <v>23</v>
      </c>
      <c r="Q1664" s="1">
        <f t="shared" ca="1" si="181"/>
        <v>4060</v>
      </c>
      <c r="S1664" s="1">
        <f t="shared" si="175"/>
        <v>3606</v>
      </c>
    </row>
    <row r="1665" spans="1:19" x14ac:dyDescent="0.2">
      <c r="A1665" s="57" t="s">
        <v>231</v>
      </c>
      <c r="B1665" s="57" t="s">
        <v>225</v>
      </c>
      <c r="C1665" s="57" t="s">
        <v>226</v>
      </c>
      <c r="D1665" s="58">
        <v>317.08</v>
      </c>
      <c r="E1665" s="59">
        <v>41074</v>
      </c>
      <c r="F1665" s="58">
        <v>3606</v>
      </c>
      <c r="G1665" s="58">
        <v>610</v>
      </c>
      <c r="H1665" s="58">
        <v>805</v>
      </c>
      <c r="I1665" s="58">
        <v>3392</v>
      </c>
      <c r="J1665" s="58">
        <v>0</v>
      </c>
      <c r="K1665" s="1">
        <f t="shared" si="176"/>
        <v>255249.4</v>
      </c>
      <c r="L1665" s="1" t="str">
        <f t="shared" si="177"/>
        <v/>
      </c>
      <c r="M1665" s="1">
        <f>VLOOKUP(B1665,'[1]Срок Годности'!$A$2:$B$4,2,0)</f>
        <v>500</v>
      </c>
      <c r="N1665" s="60">
        <f t="shared" si="178"/>
        <v>610</v>
      </c>
      <c r="O1665" s="1" t="str">
        <f t="shared" si="179"/>
        <v>24 2012</v>
      </c>
      <c r="P1665" s="1">
        <f t="shared" si="180"/>
        <v>23</v>
      </c>
      <c r="Q1665" s="1">
        <f t="shared" ca="1" si="181"/>
        <v>4059</v>
      </c>
      <c r="S1665" s="1">
        <f t="shared" si="175"/>
        <v>3392</v>
      </c>
    </row>
    <row r="1666" spans="1:19" x14ac:dyDescent="0.2">
      <c r="A1666" s="57" t="s">
        <v>231</v>
      </c>
      <c r="B1666" s="57" t="s">
        <v>225</v>
      </c>
      <c r="C1666" s="57" t="s">
        <v>226</v>
      </c>
      <c r="D1666" s="58">
        <v>317.08</v>
      </c>
      <c r="E1666" s="59">
        <v>41075</v>
      </c>
      <c r="F1666" s="58">
        <v>3392</v>
      </c>
      <c r="G1666" s="58">
        <v>668</v>
      </c>
      <c r="H1666" s="58">
        <v>849</v>
      </c>
      <c r="I1666" s="58">
        <v>3206</v>
      </c>
      <c r="J1666" s="58">
        <v>0</v>
      </c>
      <c r="K1666" s="1">
        <f t="shared" si="176"/>
        <v>269200.92</v>
      </c>
      <c r="L1666" s="1" t="str">
        <f t="shared" si="177"/>
        <v/>
      </c>
      <c r="M1666" s="1">
        <f>VLOOKUP(B1666,'[1]Срок Годности'!$A$2:$B$4,2,0)</f>
        <v>500</v>
      </c>
      <c r="N1666" s="60">
        <f t="shared" si="178"/>
        <v>668</v>
      </c>
      <c r="O1666" s="1" t="str">
        <f t="shared" si="179"/>
        <v>24 2012</v>
      </c>
      <c r="P1666" s="1">
        <f t="shared" si="180"/>
        <v>23</v>
      </c>
      <c r="Q1666" s="1">
        <f t="shared" ca="1" si="181"/>
        <v>4058</v>
      </c>
      <c r="S1666" s="1">
        <f t="shared" si="175"/>
        <v>3206</v>
      </c>
    </row>
    <row r="1667" spans="1:19" x14ac:dyDescent="0.2">
      <c r="A1667" s="57" t="s">
        <v>231</v>
      </c>
      <c r="B1667" s="57" t="s">
        <v>225</v>
      </c>
      <c r="C1667" s="57" t="s">
        <v>226</v>
      </c>
      <c r="D1667" s="58">
        <v>317.08</v>
      </c>
      <c r="E1667" s="59">
        <v>41076</v>
      </c>
      <c r="F1667" s="58">
        <v>3206</v>
      </c>
      <c r="G1667" s="58">
        <v>739</v>
      </c>
      <c r="H1667" s="58">
        <v>846</v>
      </c>
      <c r="I1667" s="58">
        <v>3092</v>
      </c>
      <c r="J1667" s="58">
        <v>0</v>
      </c>
      <c r="K1667" s="1">
        <f t="shared" si="176"/>
        <v>268249.68</v>
      </c>
      <c r="L1667" s="1" t="str">
        <f t="shared" si="177"/>
        <v/>
      </c>
      <c r="M1667" s="1">
        <f>VLOOKUP(B1667,'[1]Срок Годности'!$A$2:$B$4,2,0)</f>
        <v>500</v>
      </c>
      <c r="N1667" s="60">
        <f t="shared" si="178"/>
        <v>739</v>
      </c>
      <c r="O1667" s="1" t="str">
        <f t="shared" si="179"/>
        <v>24 2012</v>
      </c>
      <c r="P1667" s="1">
        <f t="shared" si="180"/>
        <v>23</v>
      </c>
      <c r="Q1667" s="1">
        <f t="shared" ca="1" si="181"/>
        <v>4057</v>
      </c>
      <c r="S1667" s="1">
        <f t="shared" si="175"/>
        <v>3092</v>
      </c>
    </row>
    <row r="1668" spans="1:19" x14ac:dyDescent="0.2">
      <c r="A1668" s="57" t="s">
        <v>231</v>
      </c>
      <c r="B1668" s="57" t="s">
        <v>225</v>
      </c>
      <c r="C1668" s="57" t="s">
        <v>226</v>
      </c>
      <c r="D1668" s="58">
        <v>317.08</v>
      </c>
      <c r="E1668" s="59">
        <v>41077</v>
      </c>
      <c r="F1668" s="58">
        <v>3092</v>
      </c>
      <c r="G1668" s="58">
        <v>775</v>
      </c>
      <c r="H1668" s="58">
        <v>750</v>
      </c>
      <c r="I1668" s="58">
        <v>3119</v>
      </c>
      <c r="J1668" s="58">
        <v>0</v>
      </c>
      <c r="K1668" s="1">
        <f t="shared" si="176"/>
        <v>237810</v>
      </c>
      <c r="L1668" s="1" t="str">
        <f t="shared" si="177"/>
        <v/>
      </c>
      <c r="M1668" s="1">
        <f>VLOOKUP(B1668,'[1]Срок Годности'!$A$2:$B$4,2,0)</f>
        <v>500</v>
      </c>
      <c r="N1668" s="60">
        <f t="shared" si="178"/>
        <v>0</v>
      </c>
      <c r="O1668" s="1" t="str">
        <f t="shared" si="179"/>
        <v>25 2012</v>
      </c>
      <c r="P1668" s="1">
        <f t="shared" si="180"/>
        <v>23</v>
      </c>
      <c r="Q1668" s="1">
        <f t="shared" ca="1" si="181"/>
        <v>4056</v>
      </c>
      <c r="S1668" s="1">
        <f t="shared" si="175"/>
        <v>3119</v>
      </c>
    </row>
    <row r="1669" spans="1:19" x14ac:dyDescent="0.2">
      <c r="A1669" s="57" t="s">
        <v>231</v>
      </c>
      <c r="B1669" s="57" t="s">
        <v>225</v>
      </c>
      <c r="C1669" s="57" t="s">
        <v>226</v>
      </c>
      <c r="D1669" s="58">
        <v>317.08</v>
      </c>
      <c r="E1669" s="59">
        <v>41078</v>
      </c>
      <c r="F1669" s="58">
        <v>3119</v>
      </c>
      <c r="G1669" s="58">
        <v>701</v>
      </c>
      <c r="H1669" s="58">
        <v>636</v>
      </c>
      <c r="I1669" s="58">
        <v>3179</v>
      </c>
      <c r="J1669" s="58">
        <v>0</v>
      </c>
      <c r="K1669" s="1">
        <f t="shared" si="176"/>
        <v>201662.87999999998</v>
      </c>
      <c r="L1669" s="1" t="str">
        <f t="shared" si="177"/>
        <v/>
      </c>
      <c r="M1669" s="1">
        <f>VLOOKUP(B1669,'[1]Срок Годности'!$A$2:$B$4,2,0)</f>
        <v>500</v>
      </c>
      <c r="N1669" s="60">
        <f t="shared" si="178"/>
        <v>701</v>
      </c>
      <c r="O1669" s="1" t="str">
        <f t="shared" si="179"/>
        <v>25 2012</v>
      </c>
      <c r="P1669" s="1">
        <f t="shared" si="180"/>
        <v>23</v>
      </c>
      <c r="Q1669" s="1">
        <f t="shared" ca="1" si="181"/>
        <v>4055</v>
      </c>
      <c r="S1669" s="1">
        <f t="shared" si="175"/>
        <v>3179</v>
      </c>
    </row>
    <row r="1670" spans="1:19" x14ac:dyDescent="0.2">
      <c r="A1670" s="57" t="s">
        <v>231</v>
      </c>
      <c r="B1670" s="57" t="s">
        <v>225</v>
      </c>
      <c r="C1670" s="57" t="s">
        <v>226</v>
      </c>
      <c r="D1670" s="58">
        <v>317.08</v>
      </c>
      <c r="E1670" s="59">
        <v>41079</v>
      </c>
      <c r="F1670" s="58">
        <v>3179</v>
      </c>
      <c r="G1670" s="58">
        <v>888</v>
      </c>
      <c r="H1670" s="58">
        <v>535</v>
      </c>
      <c r="I1670" s="58">
        <v>3520</v>
      </c>
      <c r="J1670" s="58">
        <v>0</v>
      </c>
      <c r="K1670" s="1">
        <f t="shared" si="176"/>
        <v>169637.8</v>
      </c>
      <c r="L1670" s="1" t="str">
        <f t="shared" si="177"/>
        <v/>
      </c>
      <c r="M1670" s="1">
        <f>VLOOKUP(B1670,'[1]Срок Годности'!$A$2:$B$4,2,0)</f>
        <v>500</v>
      </c>
      <c r="N1670" s="60">
        <f t="shared" si="178"/>
        <v>888</v>
      </c>
      <c r="O1670" s="1" t="str">
        <f t="shared" si="179"/>
        <v>25 2012</v>
      </c>
      <c r="P1670" s="1">
        <f t="shared" si="180"/>
        <v>23</v>
      </c>
      <c r="Q1670" s="1">
        <f t="shared" ca="1" si="181"/>
        <v>4054</v>
      </c>
      <c r="S1670" s="1">
        <f t="shared" si="175"/>
        <v>3520</v>
      </c>
    </row>
    <row r="1671" spans="1:19" x14ac:dyDescent="0.2">
      <c r="A1671" s="57" t="s">
        <v>231</v>
      </c>
      <c r="B1671" s="57" t="s">
        <v>225</v>
      </c>
      <c r="C1671" s="57" t="s">
        <v>226</v>
      </c>
      <c r="D1671" s="58">
        <v>317.08</v>
      </c>
      <c r="E1671" s="59">
        <v>41080</v>
      </c>
      <c r="F1671" s="58">
        <v>3520</v>
      </c>
      <c r="G1671" s="58">
        <v>880</v>
      </c>
      <c r="H1671" s="58">
        <v>568</v>
      </c>
      <c r="I1671" s="58">
        <v>3824</v>
      </c>
      <c r="J1671" s="58">
        <v>0</v>
      </c>
      <c r="K1671" s="1">
        <f t="shared" si="176"/>
        <v>180101.44</v>
      </c>
      <c r="L1671" s="1" t="str">
        <f t="shared" si="177"/>
        <v/>
      </c>
      <c r="M1671" s="1">
        <f>VLOOKUP(B1671,'[1]Срок Годности'!$A$2:$B$4,2,0)</f>
        <v>500</v>
      </c>
      <c r="N1671" s="60">
        <f t="shared" si="178"/>
        <v>880</v>
      </c>
      <c r="O1671" s="1" t="str">
        <f t="shared" si="179"/>
        <v>25 2012</v>
      </c>
      <c r="P1671" s="1">
        <f t="shared" si="180"/>
        <v>23</v>
      </c>
      <c r="Q1671" s="1">
        <f t="shared" ca="1" si="181"/>
        <v>4053</v>
      </c>
      <c r="S1671" s="1">
        <f t="shared" ref="S1671:S1734" si="182">I1671-J1671</f>
        <v>3824</v>
      </c>
    </row>
    <row r="1672" spans="1:19" x14ac:dyDescent="0.2">
      <c r="A1672" s="57" t="s">
        <v>231</v>
      </c>
      <c r="B1672" s="57" t="s">
        <v>225</v>
      </c>
      <c r="C1672" s="57" t="s">
        <v>226</v>
      </c>
      <c r="D1672" s="58">
        <v>317.08</v>
      </c>
      <c r="E1672" s="59">
        <v>41081</v>
      </c>
      <c r="F1672" s="58">
        <v>3824</v>
      </c>
      <c r="G1672" s="58">
        <v>1101</v>
      </c>
      <c r="H1672" s="58">
        <v>661</v>
      </c>
      <c r="I1672" s="58">
        <v>4256</v>
      </c>
      <c r="J1672" s="58">
        <v>0</v>
      </c>
      <c r="K1672" s="1">
        <f t="shared" ref="K1672:K1735" si="183">H1672*D1672</f>
        <v>209589.87999999998</v>
      </c>
      <c r="L1672" s="1" t="str">
        <f t="shared" ref="L1672:L1735" si="184">IF(H1672&gt;1000,H1672,"")</f>
        <v/>
      </c>
      <c r="M1672" s="1">
        <f>VLOOKUP(B1672,'[1]Срок Годности'!$A$2:$B$4,2,0)</f>
        <v>500</v>
      </c>
      <c r="N1672" s="60">
        <f t="shared" ref="N1672:N1735" si="185">IF(WEEKDAY(E1672) = 1, 0, G1672)</f>
        <v>1101</v>
      </c>
      <c r="O1672" s="1" t="str">
        <f t="shared" ref="O1672:O1735" si="186">WEEKNUM(E1672) &amp; " " &amp; YEAR(E1672)</f>
        <v>25 2012</v>
      </c>
      <c r="P1672" s="1">
        <f t="shared" ref="P1672:P1735" si="187">LEN(C1672)</f>
        <v>23</v>
      </c>
      <c r="Q1672" s="1">
        <f t="shared" ref="Q1672:Q1735" ca="1" si="188">DATEDIF(E1672,NOW(),"D")</f>
        <v>4052</v>
      </c>
      <c r="S1672" s="1">
        <f t="shared" si="182"/>
        <v>4256</v>
      </c>
    </row>
    <row r="1673" spans="1:19" x14ac:dyDescent="0.2">
      <c r="A1673" s="57" t="s">
        <v>231</v>
      </c>
      <c r="B1673" s="57" t="s">
        <v>225</v>
      </c>
      <c r="C1673" s="57" t="s">
        <v>226</v>
      </c>
      <c r="D1673" s="58">
        <v>317.08</v>
      </c>
      <c r="E1673" s="59">
        <v>41082</v>
      </c>
      <c r="F1673" s="58">
        <v>4256</v>
      </c>
      <c r="G1673" s="58">
        <v>622</v>
      </c>
      <c r="H1673" s="58">
        <v>703</v>
      </c>
      <c r="I1673" s="58">
        <v>4166</v>
      </c>
      <c r="J1673" s="58">
        <v>0</v>
      </c>
      <c r="K1673" s="1">
        <f t="shared" si="183"/>
        <v>222907.24</v>
      </c>
      <c r="L1673" s="1" t="str">
        <f t="shared" si="184"/>
        <v/>
      </c>
      <c r="M1673" s="1">
        <f>VLOOKUP(B1673,'[1]Срок Годности'!$A$2:$B$4,2,0)</f>
        <v>500</v>
      </c>
      <c r="N1673" s="60">
        <f t="shared" si="185"/>
        <v>622</v>
      </c>
      <c r="O1673" s="1" t="str">
        <f t="shared" si="186"/>
        <v>25 2012</v>
      </c>
      <c r="P1673" s="1">
        <f t="shared" si="187"/>
        <v>23</v>
      </c>
      <c r="Q1673" s="1">
        <f t="shared" ca="1" si="188"/>
        <v>4051</v>
      </c>
      <c r="S1673" s="1">
        <f t="shared" si="182"/>
        <v>4166</v>
      </c>
    </row>
    <row r="1674" spans="1:19" x14ac:dyDescent="0.2">
      <c r="A1674" s="57" t="s">
        <v>231</v>
      </c>
      <c r="B1674" s="57" t="s">
        <v>225</v>
      </c>
      <c r="C1674" s="57" t="s">
        <v>226</v>
      </c>
      <c r="D1674" s="58">
        <v>317.08</v>
      </c>
      <c r="E1674" s="59">
        <v>41083</v>
      </c>
      <c r="F1674" s="58">
        <v>4166</v>
      </c>
      <c r="G1674" s="58">
        <v>634</v>
      </c>
      <c r="H1674" s="58">
        <v>831</v>
      </c>
      <c r="I1674" s="58">
        <v>3958</v>
      </c>
      <c r="J1674" s="58">
        <v>0</v>
      </c>
      <c r="K1674" s="1">
        <f t="shared" si="183"/>
        <v>263493.48</v>
      </c>
      <c r="L1674" s="1" t="str">
        <f t="shared" si="184"/>
        <v/>
      </c>
      <c r="M1674" s="1">
        <f>VLOOKUP(B1674,'[1]Срок Годности'!$A$2:$B$4,2,0)</f>
        <v>500</v>
      </c>
      <c r="N1674" s="60">
        <f t="shared" si="185"/>
        <v>634</v>
      </c>
      <c r="O1674" s="1" t="str">
        <f t="shared" si="186"/>
        <v>25 2012</v>
      </c>
      <c r="P1674" s="1">
        <f t="shared" si="187"/>
        <v>23</v>
      </c>
      <c r="Q1674" s="1">
        <f t="shared" ca="1" si="188"/>
        <v>4050</v>
      </c>
      <c r="S1674" s="1">
        <f t="shared" si="182"/>
        <v>3958</v>
      </c>
    </row>
    <row r="1675" spans="1:19" x14ac:dyDescent="0.2">
      <c r="A1675" s="57" t="s">
        <v>231</v>
      </c>
      <c r="B1675" s="57" t="s">
        <v>225</v>
      </c>
      <c r="C1675" s="57" t="s">
        <v>226</v>
      </c>
      <c r="D1675" s="58">
        <v>317.08</v>
      </c>
      <c r="E1675" s="59">
        <v>41084</v>
      </c>
      <c r="F1675" s="58">
        <v>3958</v>
      </c>
      <c r="G1675" s="58">
        <v>810</v>
      </c>
      <c r="H1675" s="58">
        <v>920</v>
      </c>
      <c r="I1675" s="58">
        <v>3836</v>
      </c>
      <c r="J1675" s="58">
        <v>0</v>
      </c>
      <c r="K1675" s="1">
        <f t="shared" si="183"/>
        <v>291713.59999999998</v>
      </c>
      <c r="L1675" s="1" t="str">
        <f t="shared" si="184"/>
        <v/>
      </c>
      <c r="M1675" s="1">
        <f>VLOOKUP(B1675,'[1]Срок Годности'!$A$2:$B$4,2,0)</f>
        <v>500</v>
      </c>
      <c r="N1675" s="60">
        <f t="shared" si="185"/>
        <v>0</v>
      </c>
      <c r="O1675" s="1" t="str">
        <f t="shared" si="186"/>
        <v>26 2012</v>
      </c>
      <c r="P1675" s="1">
        <f t="shared" si="187"/>
        <v>23</v>
      </c>
      <c r="Q1675" s="1">
        <f t="shared" ca="1" si="188"/>
        <v>4049</v>
      </c>
      <c r="S1675" s="1">
        <f t="shared" si="182"/>
        <v>3836</v>
      </c>
    </row>
    <row r="1676" spans="1:19" x14ac:dyDescent="0.2">
      <c r="A1676" s="57" t="s">
        <v>231</v>
      </c>
      <c r="B1676" s="57" t="s">
        <v>225</v>
      </c>
      <c r="C1676" s="57" t="s">
        <v>226</v>
      </c>
      <c r="D1676" s="58">
        <v>317.08</v>
      </c>
      <c r="E1676" s="59">
        <v>41085</v>
      </c>
      <c r="F1676" s="58">
        <v>3836</v>
      </c>
      <c r="G1676" s="58">
        <v>1087</v>
      </c>
      <c r="H1676" s="58">
        <v>831</v>
      </c>
      <c r="I1676" s="58">
        <v>4081</v>
      </c>
      <c r="J1676" s="58">
        <v>0</v>
      </c>
      <c r="K1676" s="1">
        <f t="shared" si="183"/>
        <v>263493.48</v>
      </c>
      <c r="L1676" s="1" t="str">
        <f t="shared" si="184"/>
        <v/>
      </c>
      <c r="M1676" s="1">
        <f>VLOOKUP(B1676,'[1]Срок Годности'!$A$2:$B$4,2,0)</f>
        <v>500</v>
      </c>
      <c r="N1676" s="60">
        <f t="shared" si="185"/>
        <v>1087</v>
      </c>
      <c r="O1676" s="1" t="str">
        <f t="shared" si="186"/>
        <v>26 2012</v>
      </c>
      <c r="P1676" s="1">
        <f t="shared" si="187"/>
        <v>23</v>
      </c>
      <c r="Q1676" s="1">
        <f t="shared" ca="1" si="188"/>
        <v>4048</v>
      </c>
      <c r="S1676" s="1">
        <f t="shared" si="182"/>
        <v>4081</v>
      </c>
    </row>
    <row r="1677" spans="1:19" x14ac:dyDescent="0.2">
      <c r="A1677" s="57" t="s">
        <v>231</v>
      </c>
      <c r="B1677" s="57" t="s">
        <v>225</v>
      </c>
      <c r="C1677" s="57" t="s">
        <v>226</v>
      </c>
      <c r="D1677" s="58">
        <v>317.08</v>
      </c>
      <c r="E1677" s="59">
        <v>41086</v>
      </c>
      <c r="F1677" s="58">
        <v>4081</v>
      </c>
      <c r="G1677" s="58">
        <v>972</v>
      </c>
      <c r="H1677" s="58">
        <v>795</v>
      </c>
      <c r="I1677" s="58">
        <v>4250</v>
      </c>
      <c r="J1677" s="58">
        <v>0</v>
      </c>
      <c r="K1677" s="1">
        <f t="shared" si="183"/>
        <v>252078.59999999998</v>
      </c>
      <c r="L1677" s="1" t="str">
        <f t="shared" si="184"/>
        <v/>
      </c>
      <c r="M1677" s="1">
        <f>VLOOKUP(B1677,'[1]Срок Годности'!$A$2:$B$4,2,0)</f>
        <v>500</v>
      </c>
      <c r="N1677" s="60">
        <f t="shared" si="185"/>
        <v>972</v>
      </c>
      <c r="O1677" s="1" t="str">
        <f t="shared" si="186"/>
        <v>26 2012</v>
      </c>
      <c r="P1677" s="1">
        <f t="shared" si="187"/>
        <v>23</v>
      </c>
      <c r="Q1677" s="1">
        <f t="shared" ca="1" si="188"/>
        <v>4047</v>
      </c>
      <c r="S1677" s="1">
        <f t="shared" si="182"/>
        <v>4250</v>
      </c>
    </row>
    <row r="1678" spans="1:19" x14ac:dyDescent="0.2">
      <c r="A1678" s="57" t="s">
        <v>231</v>
      </c>
      <c r="B1678" s="57" t="s">
        <v>225</v>
      </c>
      <c r="C1678" s="57" t="s">
        <v>226</v>
      </c>
      <c r="D1678" s="58">
        <v>317.08</v>
      </c>
      <c r="E1678" s="59">
        <v>41087</v>
      </c>
      <c r="F1678" s="58">
        <v>4250</v>
      </c>
      <c r="G1678" s="58">
        <v>1048</v>
      </c>
      <c r="H1678" s="58">
        <v>859</v>
      </c>
      <c r="I1678" s="58">
        <v>4423</v>
      </c>
      <c r="J1678" s="58">
        <v>0</v>
      </c>
      <c r="K1678" s="1">
        <f t="shared" si="183"/>
        <v>272371.71999999997</v>
      </c>
      <c r="L1678" s="1" t="str">
        <f t="shared" si="184"/>
        <v/>
      </c>
      <c r="M1678" s="1">
        <f>VLOOKUP(B1678,'[1]Срок Годности'!$A$2:$B$4,2,0)</f>
        <v>500</v>
      </c>
      <c r="N1678" s="60">
        <f t="shared" si="185"/>
        <v>1048</v>
      </c>
      <c r="O1678" s="1" t="str">
        <f t="shared" si="186"/>
        <v>26 2012</v>
      </c>
      <c r="P1678" s="1">
        <f t="shared" si="187"/>
        <v>23</v>
      </c>
      <c r="Q1678" s="1">
        <f t="shared" ca="1" si="188"/>
        <v>4046</v>
      </c>
      <c r="S1678" s="1">
        <f t="shared" si="182"/>
        <v>4423</v>
      </c>
    </row>
    <row r="1679" spans="1:19" x14ac:dyDescent="0.2">
      <c r="A1679" s="57" t="s">
        <v>231</v>
      </c>
      <c r="B1679" s="57" t="s">
        <v>225</v>
      </c>
      <c r="C1679" s="57" t="s">
        <v>226</v>
      </c>
      <c r="D1679" s="58">
        <v>317.08</v>
      </c>
      <c r="E1679" s="59">
        <v>41088</v>
      </c>
      <c r="F1679" s="58">
        <v>4423</v>
      </c>
      <c r="G1679" s="58">
        <v>829</v>
      </c>
      <c r="H1679" s="58">
        <v>782</v>
      </c>
      <c r="I1679" s="58">
        <v>4469</v>
      </c>
      <c r="J1679" s="58">
        <v>0</v>
      </c>
      <c r="K1679" s="1">
        <f t="shared" si="183"/>
        <v>247956.56</v>
      </c>
      <c r="L1679" s="1" t="str">
        <f t="shared" si="184"/>
        <v/>
      </c>
      <c r="M1679" s="1">
        <f>VLOOKUP(B1679,'[1]Срок Годности'!$A$2:$B$4,2,0)</f>
        <v>500</v>
      </c>
      <c r="N1679" s="60">
        <f t="shared" si="185"/>
        <v>829</v>
      </c>
      <c r="O1679" s="1" t="str">
        <f t="shared" si="186"/>
        <v>26 2012</v>
      </c>
      <c r="P1679" s="1">
        <f t="shared" si="187"/>
        <v>23</v>
      </c>
      <c r="Q1679" s="1">
        <f t="shared" ca="1" si="188"/>
        <v>4045</v>
      </c>
      <c r="S1679" s="1">
        <f t="shared" si="182"/>
        <v>4469</v>
      </c>
    </row>
    <row r="1680" spans="1:19" x14ac:dyDescent="0.2">
      <c r="A1680" s="57" t="s">
        <v>231</v>
      </c>
      <c r="B1680" s="57" t="s">
        <v>225</v>
      </c>
      <c r="C1680" s="57" t="s">
        <v>226</v>
      </c>
      <c r="D1680" s="58">
        <v>317.08</v>
      </c>
      <c r="E1680" s="59">
        <v>41089</v>
      </c>
      <c r="F1680" s="58">
        <v>4469</v>
      </c>
      <c r="G1680" s="58">
        <v>1011</v>
      </c>
      <c r="H1680" s="58">
        <v>779</v>
      </c>
      <c r="I1680" s="58">
        <v>4688</v>
      </c>
      <c r="J1680" s="58">
        <v>0</v>
      </c>
      <c r="K1680" s="1">
        <f t="shared" si="183"/>
        <v>247005.31999999998</v>
      </c>
      <c r="L1680" s="1" t="str">
        <f t="shared" si="184"/>
        <v/>
      </c>
      <c r="M1680" s="1">
        <f>VLOOKUP(B1680,'[1]Срок Годности'!$A$2:$B$4,2,0)</f>
        <v>500</v>
      </c>
      <c r="N1680" s="60">
        <f t="shared" si="185"/>
        <v>1011</v>
      </c>
      <c r="O1680" s="1" t="str">
        <f t="shared" si="186"/>
        <v>26 2012</v>
      </c>
      <c r="P1680" s="1">
        <f t="shared" si="187"/>
        <v>23</v>
      </c>
      <c r="Q1680" s="1">
        <f t="shared" ca="1" si="188"/>
        <v>4044</v>
      </c>
      <c r="S1680" s="1">
        <f t="shared" si="182"/>
        <v>4688</v>
      </c>
    </row>
    <row r="1681" spans="1:19" x14ac:dyDescent="0.2">
      <c r="A1681" s="57" t="s">
        <v>231</v>
      </c>
      <c r="B1681" s="57" t="s">
        <v>225</v>
      </c>
      <c r="C1681" s="57" t="s">
        <v>226</v>
      </c>
      <c r="D1681" s="58">
        <v>317.08</v>
      </c>
      <c r="E1681" s="59">
        <v>41090</v>
      </c>
      <c r="F1681" s="58">
        <v>4688</v>
      </c>
      <c r="G1681" s="58">
        <v>757</v>
      </c>
      <c r="H1681" s="58">
        <v>973</v>
      </c>
      <c r="I1681" s="58">
        <v>4465</v>
      </c>
      <c r="J1681" s="58">
        <v>0</v>
      </c>
      <c r="K1681" s="1">
        <f t="shared" si="183"/>
        <v>308518.83999999997</v>
      </c>
      <c r="L1681" s="1" t="str">
        <f t="shared" si="184"/>
        <v/>
      </c>
      <c r="M1681" s="1">
        <f>VLOOKUP(B1681,'[1]Срок Годности'!$A$2:$B$4,2,0)</f>
        <v>500</v>
      </c>
      <c r="N1681" s="60">
        <f t="shared" si="185"/>
        <v>757</v>
      </c>
      <c r="O1681" s="1" t="str">
        <f t="shared" si="186"/>
        <v>26 2012</v>
      </c>
      <c r="P1681" s="1">
        <f t="shared" si="187"/>
        <v>23</v>
      </c>
      <c r="Q1681" s="1">
        <f t="shared" ca="1" si="188"/>
        <v>4043</v>
      </c>
      <c r="S1681" s="1">
        <f t="shared" si="182"/>
        <v>4465</v>
      </c>
    </row>
    <row r="1682" spans="1:19" x14ac:dyDescent="0.2">
      <c r="A1682" s="57" t="s">
        <v>231</v>
      </c>
      <c r="B1682" s="57" t="s">
        <v>225</v>
      </c>
      <c r="C1682" s="57" t="s">
        <v>226</v>
      </c>
      <c r="D1682" s="58">
        <v>317.08</v>
      </c>
      <c r="E1682" s="59">
        <v>41091</v>
      </c>
      <c r="F1682" s="58">
        <v>4465</v>
      </c>
      <c r="G1682" s="58">
        <v>638</v>
      </c>
      <c r="H1682" s="58">
        <v>964</v>
      </c>
      <c r="I1682" s="58">
        <v>4136</v>
      </c>
      <c r="J1682" s="58">
        <v>0</v>
      </c>
      <c r="K1682" s="1">
        <f t="shared" si="183"/>
        <v>305665.12</v>
      </c>
      <c r="L1682" s="1" t="str">
        <f t="shared" si="184"/>
        <v/>
      </c>
      <c r="M1682" s="1">
        <f>VLOOKUP(B1682,'[1]Срок Годности'!$A$2:$B$4,2,0)</f>
        <v>500</v>
      </c>
      <c r="N1682" s="60">
        <f t="shared" si="185"/>
        <v>0</v>
      </c>
      <c r="O1682" s="1" t="str">
        <f t="shared" si="186"/>
        <v>27 2012</v>
      </c>
      <c r="P1682" s="1">
        <f t="shared" si="187"/>
        <v>23</v>
      </c>
      <c r="Q1682" s="1">
        <f t="shared" ca="1" si="188"/>
        <v>4042</v>
      </c>
      <c r="S1682" s="1">
        <f t="shared" si="182"/>
        <v>4136</v>
      </c>
    </row>
    <row r="1683" spans="1:19" x14ac:dyDescent="0.2">
      <c r="A1683" s="57" t="s">
        <v>231</v>
      </c>
      <c r="B1683" s="57" t="s">
        <v>225</v>
      </c>
      <c r="C1683" s="57" t="s">
        <v>226</v>
      </c>
      <c r="D1683" s="58">
        <v>317.08</v>
      </c>
      <c r="E1683" s="59">
        <v>41092</v>
      </c>
      <c r="F1683" s="58">
        <v>4136</v>
      </c>
      <c r="G1683" s="58">
        <v>924</v>
      </c>
      <c r="H1683" s="58">
        <v>937</v>
      </c>
      <c r="I1683" s="58">
        <v>4112</v>
      </c>
      <c r="J1683" s="58">
        <v>0</v>
      </c>
      <c r="K1683" s="1">
        <f t="shared" si="183"/>
        <v>297103.95999999996</v>
      </c>
      <c r="L1683" s="1" t="str">
        <f t="shared" si="184"/>
        <v/>
      </c>
      <c r="M1683" s="1">
        <f>VLOOKUP(B1683,'[1]Срок Годности'!$A$2:$B$4,2,0)</f>
        <v>500</v>
      </c>
      <c r="N1683" s="60">
        <f t="shared" si="185"/>
        <v>924</v>
      </c>
      <c r="O1683" s="1" t="str">
        <f t="shared" si="186"/>
        <v>27 2012</v>
      </c>
      <c r="P1683" s="1">
        <f t="shared" si="187"/>
        <v>23</v>
      </c>
      <c r="Q1683" s="1">
        <f t="shared" ca="1" si="188"/>
        <v>4041</v>
      </c>
      <c r="S1683" s="1">
        <f t="shared" si="182"/>
        <v>4112</v>
      </c>
    </row>
    <row r="1684" spans="1:19" x14ac:dyDescent="0.2">
      <c r="A1684" s="57" t="s">
        <v>231</v>
      </c>
      <c r="B1684" s="57" t="s">
        <v>225</v>
      </c>
      <c r="C1684" s="57" t="s">
        <v>226</v>
      </c>
      <c r="D1684" s="58">
        <v>317.08</v>
      </c>
      <c r="E1684" s="59">
        <v>41093</v>
      </c>
      <c r="F1684" s="58">
        <v>4112</v>
      </c>
      <c r="G1684" s="58">
        <v>853</v>
      </c>
      <c r="H1684" s="58">
        <v>840</v>
      </c>
      <c r="I1684" s="58">
        <v>4106</v>
      </c>
      <c r="J1684" s="58">
        <v>0</v>
      </c>
      <c r="K1684" s="1">
        <f t="shared" si="183"/>
        <v>266347.2</v>
      </c>
      <c r="L1684" s="1" t="str">
        <f t="shared" si="184"/>
        <v/>
      </c>
      <c r="M1684" s="1">
        <f>VLOOKUP(B1684,'[1]Срок Годности'!$A$2:$B$4,2,0)</f>
        <v>500</v>
      </c>
      <c r="N1684" s="60">
        <f t="shared" si="185"/>
        <v>853</v>
      </c>
      <c r="O1684" s="1" t="str">
        <f t="shared" si="186"/>
        <v>27 2012</v>
      </c>
      <c r="P1684" s="1">
        <f t="shared" si="187"/>
        <v>23</v>
      </c>
      <c r="Q1684" s="1">
        <f t="shared" ca="1" si="188"/>
        <v>4040</v>
      </c>
      <c r="S1684" s="1">
        <f t="shared" si="182"/>
        <v>4106</v>
      </c>
    </row>
    <row r="1685" spans="1:19" x14ac:dyDescent="0.2">
      <c r="A1685" s="57" t="s">
        <v>231</v>
      </c>
      <c r="B1685" s="57" t="s">
        <v>225</v>
      </c>
      <c r="C1685" s="57" t="s">
        <v>226</v>
      </c>
      <c r="D1685" s="58">
        <v>317.08</v>
      </c>
      <c r="E1685" s="59">
        <v>41094</v>
      </c>
      <c r="F1685" s="58">
        <v>4106</v>
      </c>
      <c r="G1685" s="58">
        <v>809</v>
      </c>
      <c r="H1685" s="58">
        <v>922</v>
      </c>
      <c r="I1685" s="58">
        <v>3982</v>
      </c>
      <c r="J1685" s="58">
        <v>0</v>
      </c>
      <c r="K1685" s="1">
        <f t="shared" si="183"/>
        <v>292347.76</v>
      </c>
      <c r="L1685" s="1" t="str">
        <f t="shared" si="184"/>
        <v/>
      </c>
      <c r="M1685" s="1">
        <f>VLOOKUP(B1685,'[1]Срок Годности'!$A$2:$B$4,2,0)</f>
        <v>500</v>
      </c>
      <c r="N1685" s="60">
        <f t="shared" si="185"/>
        <v>809</v>
      </c>
      <c r="O1685" s="1" t="str">
        <f t="shared" si="186"/>
        <v>27 2012</v>
      </c>
      <c r="P1685" s="1">
        <f t="shared" si="187"/>
        <v>23</v>
      </c>
      <c r="Q1685" s="1">
        <f t="shared" ca="1" si="188"/>
        <v>4039</v>
      </c>
      <c r="S1685" s="1">
        <f t="shared" si="182"/>
        <v>3982</v>
      </c>
    </row>
    <row r="1686" spans="1:19" x14ac:dyDescent="0.2">
      <c r="A1686" s="57" t="s">
        <v>231</v>
      </c>
      <c r="B1686" s="57" t="s">
        <v>225</v>
      </c>
      <c r="C1686" s="57" t="s">
        <v>226</v>
      </c>
      <c r="D1686" s="58">
        <v>317.08</v>
      </c>
      <c r="E1686" s="59">
        <v>41095</v>
      </c>
      <c r="F1686" s="58">
        <v>3982</v>
      </c>
      <c r="G1686" s="58">
        <v>1050</v>
      </c>
      <c r="H1686" s="58">
        <v>879</v>
      </c>
      <c r="I1686" s="58">
        <v>4128</v>
      </c>
      <c r="J1686" s="58">
        <v>0</v>
      </c>
      <c r="K1686" s="1">
        <f t="shared" si="183"/>
        <v>278713.32</v>
      </c>
      <c r="L1686" s="1" t="str">
        <f t="shared" si="184"/>
        <v/>
      </c>
      <c r="M1686" s="1">
        <f>VLOOKUP(B1686,'[1]Срок Годности'!$A$2:$B$4,2,0)</f>
        <v>500</v>
      </c>
      <c r="N1686" s="60">
        <f t="shared" si="185"/>
        <v>1050</v>
      </c>
      <c r="O1686" s="1" t="str">
        <f t="shared" si="186"/>
        <v>27 2012</v>
      </c>
      <c r="P1686" s="1">
        <f t="shared" si="187"/>
        <v>23</v>
      </c>
      <c r="Q1686" s="1">
        <f t="shared" ca="1" si="188"/>
        <v>4038</v>
      </c>
      <c r="S1686" s="1">
        <f t="shared" si="182"/>
        <v>4128</v>
      </c>
    </row>
    <row r="1687" spans="1:19" x14ac:dyDescent="0.2">
      <c r="A1687" s="57" t="s">
        <v>231</v>
      </c>
      <c r="B1687" s="57" t="s">
        <v>225</v>
      </c>
      <c r="C1687" s="57" t="s">
        <v>226</v>
      </c>
      <c r="D1687" s="58">
        <v>317.08</v>
      </c>
      <c r="E1687" s="59">
        <v>41096</v>
      </c>
      <c r="F1687" s="58">
        <v>4128</v>
      </c>
      <c r="G1687" s="58">
        <v>898</v>
      </c>
      <c r="H1687" s="58">
        <v>868</v>
      </c>
      <c r="I1687" s="58">
        <v>4143</v>
      </c>
      <c r="J1687" s="58">
        <v>0</v>
      </c>
      <c r="K1687" s="1">
        <f t="shared" si="183"/>
        <v>275225.44</v>
      </c>
      <c r="L1687" s="1" t="str">
        <f t="shared" si="184"/>
        <v/>
      </c>
      <c r="M1687" s="1">
        <f>VLOOKUP(B1687,'[1]Срок Годности'!$A$2:$B$4,2,0)</f>
        <v>500</v>
      </c>
      <c r="N1687" s="60">
        <f t="shared" si="185"/>
        <v>898</v>
      </c>
      <c r="O1687" s="1" t="str">
        <f t="shared" si="186"/>
        <v>27 2012</v>
      </c>
      <c r="P1687" s="1">
        <f t="shared" si="187"/>
        <v>23</v>
      </c>
      <c r="Q1687" s="1">
        <f t="shared" ca="1" si="188"/>
        <v>4037</v>
      </c>
      <c r="S1687" s="1">
        <f t="shared" si="182"/>
        <v>4143</v>
      </c>
    </row>
    <row r="1688" spans="1:19" x14ac:dyDescent="0.2">
      <c r="A1688" s="57" t="s">
        <v>231</v>
      </c>
      <c r="B1688" s="57" t="s">
        <v>225</v>
      </c>
      <c r="C1688" s="57" t="s">
        <v>226</v>
      </c>
      <c r="D1688" s="58">
        <v>317.08</v>
      </c>
      <c r="E1688" s="59">
        <v>41097</v>
      </c>
      <c r="F1688" s="58">
        <v>4143</v>
      </c>
      <c r="G1688" s="58">
        <v>544</v>
      </c>
      <c r="H1688" s="58">
        <v>908</v>
      </c>
      <c r="I1688" s="58">
        <v>3769</v>
      </c>
      <c r="J1688" s="58">
        <v>0</v>
      </c>
      <c r="K1688" s="1">
        <f t="shared" si="183"/>
        <v>287908.64</v>
      </c>
      <c r="L1688" s="1" t="str">
        <f t="shared" si="184"/>
        <v/>
      </c>
      <c r="M1688" s="1">
        <f>VLOOKUP(B1688,'[1]Срок Годности'!$A$2:$B$4,2,0)</f>
        <v>500</v>
      </c>
      <c r="N1688" s="60">
        <f t="shared" si="185"/>
        <v>544</v>
      </c>
      <c r="O1688" s="1" t="str">
        <f t="shared" si="186"/>
        <v>27 2012</v>
      </c>
      <c r="P1688" s="1">
        <f t="shared" si="187"/>
        <v>23</v>
      </c>
      <c r="Q1688" s="1">
        <f t="shared" ca="1" si="188"/>
        <v>4036</v>
      </c>
      <c r="S1688" s="1">
        <f t="shared" si="182"/>
        <v>3769</v>
      </c>
    </row>
    <row r="1689" spans="1:19" x14ac:dyDescent="0.2">
      <c r="A1689" s="57" t="s">
        <v>231</v>
      </c>
      <c r="B1689" s="57" t="s">
        <v>225</v>
      </c>
      <c r="C1689" s="57" t="s">
        <v>226</v>
      </c>
      <c r="D1689" s="58">
        <v>317.08</v>
      </c>
      <c r="E1689" s="59">
        <v>41098</v>
      </c>
      <c r="F1689" s="58">
        <v>3769</v>
      </c>
      <c r="G1689" s="58">
        <v>498</v>
      </c>
      <c r="H1689" s="58">
        <v>728</v>
      </c>
      <c r="I1689" s="58">
        <v>3530</v>
      </c>
      <c r="J1689" s="58">
        <v>0</v>
      </c>
      <c r="K1689" s="1">
        <f t="shared" si="183"/>
        <v>230834.24</v>
      </c>
      <c r="L1689" s="1" t="str">
        <f t="shared" si="184"/>
        <v/>
      </c>
      <c r="M1689" s="1">
        <f>VLOOKUP(B1689,'[1]Срок Годности'!$A$2:$B$4,2,0)</f>
        <v>500</v>
      </c>
      <c r="N1689" s="60">
        <f t="shared" si="185"/>
        <v>0</v>
      </c>
      <c r="O1689" s="1" t="str">
        <f t="shared" si="186"/>
        <v>28 2012</v>
      </c>
      <c r="P1689" s="1">
        <f t="shared" si="187"/>
        <v>23</v>
      </c>
      <c r="Q1689" s="1">
        <f t="shared" ca="1" si="188"/>
        <v>4035</v>
      </c>
      <c r="S1689" s="1">
        <f t="shared" si="182"/>
        <v>3530</v>
      </c>
    </row>
    <row r="1690" spans="1:19" x14ac:dyDescent="0.2">
      <c r="A1690" s="57" t="s">
        <v>231</v>
      </c>
      <c r="B1690" s="57" t="s">
        <v>225</v>
      </c>
      <c r="C1690" s="57" t="s">
        <v>226</v>
      </c>
      <c r="D1690" s="58">
        <v>317.08</v>
      </c>
      <c r="E1690" s="59">
        <v>41099</v>
      </c>
      <c r="F1690" s="58">
        <v>3530</v>
      </c>
      <c r="G1690" s="58">
        <v>1429</v>
      </c>
      <c r="H1690" s="58">
        <v>723</v>
      </c>
      <c r="I1690" s="58">
        <v>4220</v>
      </c>
      <c r="J1690" s="58">
        <v>0</v>
      </c>
      <c r="K1690" s="1">
        <f t="shared" si="183"/>
        <v>229248.84</v>
      </c>
      <c r="L1690" s="1" t="str">
        <f t="shared" si="184"/>
        <v/>
      </c>
      <c r="M1690" s="1">
        <f>VLOOKUP(B1690,'[1]Срок Годности'!$A$2:$B$4,2,0)</f>
        <v>500</v>
      </c>
      <c r="N1690" s="60">
        <f t="shared" si="185"/>
        <v>1429</v>
      </c>
      <c r="O1690" s="1" t="str">
        <f t="shared" si="186"/>
        <v>28 2012</v>
      </c>
      <c r="P1690" s="1">
        <f t="shared" si="187"/>
        <v>23</v>
      </c>
      <c r="Q1690" s="1">
        <f t="shared" ca="1" si="188"/>
        <v>4034</v>
      </c>
      <c r="S1690" s="1">
        <f t="shared" si="182"/>
        <v>4220</v>
      </c>
    </row>
    <row r="1691" spans="1:19" x14ac:dyDescent="0.2">
      <c r="A1691" s="57" t="s">
        <v>231</v>
      </c>
      <c r="B1691" s="57" t="s">
        <v>225</v>
      </c>
      <c r="C1691" s="57" t="s">
        <v>226</v>
      </c>
      <c r="D1691" s="58">
        <v>317.08</v>
      </c>
      <c r="E1691" s="59">
        <v>41100</v>
      </c>
      <c r="F1691" s="58">
        <v>4220</v>
      </c>
      <c r="G1691" s="58">
        <v>676</v>
      </c>
      <c r="H1691" s="58">
        <v>709</v>
      </c>
      <c r="I1691" s="58">
        <v>4173</v>
      </c>
      <c r="J1691" s="58">
        <v>0</v>
      </c>
      <c r="K1691" s="1">
        <f t="shared" si="183"/>
        <v>224809.72</v>
      </c>
      <c r="L1691" s="1" t="str">
        <f t="shared" si="184"/>
        <v/>
      </c>
      <c r="M1691" s="1">
        <f>VLOOKUP(B1691,'[1]Срок Годности'!$A$2:$B$4,2,0)</f>
        <v>500</v>
      </c>
      <c r="N1691" s="60">
        <f t="shared" si="185"/>
        <v>676</v>
      </c>
      <c r="O1691" s="1" t="str">
        <f t="shared" si="186"/>
        <v>28 2012</v>
      </c>
      <c r="P1691" s="1">
        <f t="shared" si="187"/>
        <v>23</v>
      </c>
      <c r="Q1691" s="1">
        <f t="shared" ca="1" si="188"/>
        <v>4033</v>
      </c>
      <c r="S1691" s="1">
        <f t="shared" si="182"/>
        <v>4173</v>
      </c>
    </row>
    <row r="1692" spans="1:19" x14ac:dyDescent="0.2">
      <c r="A1692" s="57" t="s">
        <v>231</v>
      </c>
      <c r="B1692" s="57" t="s">
        <v>225</v>
      </c>
      <c r="C1692" s="57" t="s">
        <v>226</v>
      </c>
      <c r="D1692" s="58">
        <v>317.08</v>
      </c>
      <c r="E1692" s="59">
        <v>41101</v>
      </c>
      <c r="F1692" s="58">
        <v>4173</v>
      </c>
      <c r="G1692" s="58">
        <v>425</v>
      </c>
      <c r="H1692" s="58">
        <v>765</v>
      </c>
      <c r="I1692" s="58">
        <v>3806</v>
      </c>
      <c r="J1692" s="58">
        <v>0</v>
      </c>
      <c r="K1692" s="1">
        <f t="shared" si="183"/>
        <v>242566.19999999998</v>
      </c>
      <c r="L1692" s="1" t="str">
        <f t="shared" si="184"/>
        <v/>
      </c>
      <c r="M1692" s="1">
        <f>VLOOKUP(B1692,'[1]Срок Годности'!$A$2:$B$4,2,0)</f>
        <v>500</v>
      </c>
      <c r="N1692" s="60">
        <f t="shared" si="185"/>
        <v>425</v>
      </c>
      <c r="O1692" s="1" t="str">
        <f t="shared" si="186"/>
        <v>28 2012</v>
      </c>
      <c r="P1692" s="1">
        <f t="shared" si="187"/>
        <v>23</v>
      </c>
      <c r="Q1692" s="1">
        <f t="shared" ca="1" si="188"/>
        <v>4032</v>
      </c>
      <c r="S1692" s="1">
        <f t="shared" si="182"/>
        <v>3806</v>
      </c>
    </row>
    <row r="1693" spans="1:19" x14ac:dyDescent="0.2">
      <c r="A1693" s="57" t="s">
        <v>231</v>
      </c>
      <c r="B1693" s="57" t="s">
        <v>225</v>
      </c>
      <c r="C1693" s="57" t="s">
        <v>226</v>
      </c>
      <c r="D1693" s="58">
        <v>317.08</v>
      </c>
      <c r="E1693" s="59">
        <v>41102</v>
      </c>
      <c r="F1693" s="58">
        <v>3806</v>
      </c>
      <c r="G1693" s="58">
        <v>43</v>
      </c>
      <c r="H1693" s="58">
        <v>565</v>
      </c>
      <c r="I1693" s="58">
        <v>3276</v>
      </c>
      <c r="J1693" s="58">
        <v>0</v>
      </c>
      <c r="K1693" s="1">
        <f t="shared" si="183"/>
        <v>179150.19999999998</v>
      </c>
      <c r="L1693" s="1" t="str">
        <f t="shared" si="184"/>
        <v/>
      </c>
      <c r="M1693" s="1">
        <f>VLOOKUP(B1693,'[1]Срок Годности'!$A$2:$B$4,2,0)</f>
        <v>500</v>
      </c>
      <c r="N1693" s="60">
        <f t="shared" si="185"/>
        <v>43</v>
      </c>
      <c r="O1693" s="1" t="str">
        <f t="shared" si="186"/>
        <v>28 2012</v>
      </c>
      <c r="P1693" s="1">
        <f t="shared" si="187"/>
        <v>23</v>
      </c>
      <c r="Q1693" s="1">
        <f t="shared" ca="1" si="188"/>
        <v>4031</v>
      </c>
      <c r="S1693" s="1">
        <f t="shared" si="182"/>
        <v>3276</v>
      </c>
    </row>
    <row r="1694" spans="1:19" x14ac:dyDescent="0.2">
      <c r="A1694" s="57" t="s">
        <v>231</v>
      </c>
      <c r="B1694" s="57" t="s">
        <v>225</v>
      </c>
      <c r="C1694" s="57" t="s">
        <v>226</v>
      </c>
      <c r="D1694" s="58">
        <v>317.08</v>
      </c>
      <c r="E1694" s="59">
        <v>41103</v>
      </c>
      <c r="F1694" s="58">
        <v>3276</v>
      </c>
      <c r="G1694" s="58">
        <v>741</v>
      </c>
      <c r="H1694" s="58">
        <v>485</v>
      </c>
      <c r="I1694" s="58">
        <v>3526</v>
      </c>
      <c r="J1694" s="58">
        <v>0</v>
      </c>
      <c r="K1694" s="1">
        <f t="shared" si="183"/>
        <v>153783.79999999999</v>
      </c>
      <c r="L1694" s="1" t="str">
        <f t="shared" si="184"/>
        <v/>
      </c>
      <c r="M1694" s="1">
        <f>VLOOKUP(B1694,'[1]Срок Годности'!$A$2:$B$4,2,0)</f>
        <v>500</v>
      </c>
      <c r="N1694" s="60">
        <f t="shared" si="185"/>
        <v>741</v>
      </c>
      <c r="O1694" s="1" t="str">
        <f t="shared" si="186"/>
        <v>28 2012</v>
      </c>
      <c r="P1694" s="1">
        <f t="shared" si="187"/>
        <v>23</v>
      </c>
      <c r="Q1694" s="1">
        <f t="shared" ca="1" si="188"/>
        <v>4030</v>
      </c>
      <c r="S1694" s="1">
        <f t="shared" si="182"/>
        <v>3526</v>
      </c>
    </row>
    <row r="1695" spans="1:19" x14ac:dyDescent="0.2">
      <c r="A1695" s="57" t="s">
        <v>231</v>
      </c>
      <c r="B1695" s="57" t="s">
        <v>225</v>
      </c>
      <c r="C1695" s="57" t="s">
        <v>226</v>
      </c>
      <c r="D1695" s="58">
        <v>317.08</v>
      </c>
      <c r="E1695" s="59">
        <v>41104</v>
      </c>
      <c r="F1695" s="58">
        <v>3526</v>
      </c>
      <c r="G1695" s="58">
        <v>824</v>
      </c>
      <c r="H1695" s="58">
        <v>519</v>
      </c>
      <c r="I1695" s="58">
        <v>3820</v>
      </c>
      <c r="J1695" s="58">
        <v>0</v>
      </c>
      <c r="K1695" s="1">
        <f t="shared" si="183"/>
        <v>164564.51999999999</v>
      </c>
      <c r="L1695" s="1" t="str">
        <f t="shared" si="184"/>
        <v/>
      </c>
      <c r="M1695" s="1">
        <f>VLOOKUP(B1695,'[1]Срок Годности'!$A$2:$B$4,2,0)</f>
        <v>500</v>
      </c>
      <c r="N1695" s="60">
        <f t="shared" si="185"/>
        <v>824</v>
      </c>
      <c r="O1695" s="1" t="str">
        <f t="shared" si="186"/>
        <v>28 2012</v>
      </c>
      <c r="P1695" s="1">
        <f t="shared" si="187"/>
        <v>23</v>
      </c>
      <c r="Q1695" s="1">
        <f t="shared" ca="1" si="188"/>
        <v>4029</v>
      </c>
      <c r="S1695" s="1">
        <f t="shared" si="182"/>
        <v>3820</v>
      </c>
    </row>
    <row r="1696" spans="1:19" x14ac:dyDescent="0.2">
      <c r="A1696" s="57" t="s">
        <v>231</v>
      </c>
      <c r="B1696" s="57" t="s">
        <v>225</v>
      </c>
      <c r="C1696" s="57" t="s">
        <v>226</v>
      </c>
      <c r="D1696" s="58">
        <v>317.08</v>
      </c>
      <c r="E1696" s="59">
        <v>41105</v>
      </c>
      <c r="F1696" s="58">
        <v>3820</v>
      </c>
      <c r="G1696" s="58">
        <v>87</v>
      </c>
      <c r="H1696" s="58">
        <v>519</v>
      </c>
      <c r="I1696" s="58">
        <v>3364</v>
      </c>
      <c r="J1696" s="58">
        <v>0</v>
      </c>
      <c r="K1696" s="1">
        <f t="shared" si="183"/>
        <v>164564.51999999999</v>
      </c>
      <c r="L1696" s="1" t="str">
        <f t="shared" si="184"/>
        <v/>
      </c>
      <c r="M1696" s="1">
        <f>VLOOKUP(B1696,'[1]Срок Годности'!$A$2:$B$4,2,0)</f>
        <v>500</v>
      </c>
      <c r="N1696" s="60">
        <f t="shared" si="185"/>
        <v>0</v>
      </c>
      <c r="O1696" s="1" t="str">
        <f t="shared" si="186"/>
        <v>29 2012</v>
      </c>
      <c r="P1696" s="1">
        <f t="shared" si="187"/>
        <v>23</v>
      </c>
      <c r="Q1696" s="1">
        <f t="shared" ca="1" si="188"/>
        <v>4028</v>
      </c>
      <c r="S1696" s="1">
        <f t="shared" si="182"/>
        <v>3364</v>
      </c>
    </row>
    <row r="1697" spans="1:19" x14ac:dyDescent="0.2">
      <c r="A1697" s="57" t="s">
        <v>231</v>
      </c>
      <c r="B1697" s="57" t="s">
        <v>225</v>
      </c>
      <c r="C1697" s="57" t="s">
        <v>226</v>
      </c>
      <c r="D1697" s="58">
        <v>317.08</v>
      </c>
      <c r="E1697" s="59">
        <v>41106</v>
      </c>
      <c r="F1697" s="58">
        <v>3364</v>
      </c>
      <c r="G1697" s="58">
        <v>0</v>
      </c>
      <c r="H1697" s="58">
        <v>345</v>
      </c>
      <c r="I1697" s="58">
        <v>3022</v>
      </c>
      <c r="J1697" s="58">
        <v>0</v>
      </c>
      <c r="K1697" s="1">
        <f t="shared" si="183"/>
        <v>109392.59999999999</v>
      </c>
      <c r="L1697" s="1" t="str">
        <f t="shared" si="184"/>
        <v/>
      </c>
      <c r="M1697" s="1">
        <f>VLOOKUP(B1697,'[1]Срок Годности'!$A$2:$B$4,2,0)</f>
        <v>500</v>
      </c>
      <c r="N1697" s="60">
        <f t="shared" si="185"/>
        <v>0</v>
      </c>
      <c r="O1697" s="1" t="str">
        <f t="shared" si="186"/>
        <v>29 2012</v>
      </c>
      <c r="P1697" s="1">
        <f t="shared" si="187"/>
        <v>23</v>
      </c>
      <c r="Q1697" s="1">
        <f t="shared" ca="1" si="188"/>
        <v>4027</v>
      </c>
      <c r="S1697" s="1">
        <f t="shared" si="182"/>
        <v>3022</v>
      </c>
    </row>
    <row r="1698" spans="1:19" x14ac:dyDescent="0.2">
      <c r="A1698" s="57" t="s">
        <v>231</v>
      </c>
      <c r="B1698" s="57" t="s">
        <v>225</v>
      </c>
      <c r="C1698" s="57" t="s">
        <v>226</v>
      </c>
      <c r="D1698" s="58">
        <v>317.08</v>
      </c>
      <c r="E1698" s="59">
        <v>41107</v>
      </c>
      <c r="F1698" s="58">
        <v>3022</v>
      </c>
      <c r="G1698" s="58">
        <v>0</v>
      </c>
      <c r="H1698" s="58">
        <v>251</v>
      </c>
      <c r="I1698" s="58">
        <v>2763</v>
      </c>
      <c r="J1698" s="58">
        <v>0</v>
      </c>
      <c r="K1698" s="1">
        <f t="shared" si="183"/>
        <v>79587.08</v>
      </c>
      <c r="L1698" s="1" t="str">
        <f t="shared" si="184"/>
        <v/>
      </c>
      <c r="M1698" s="1">
        <f>VLOOKUP(B1698,'[1]Срок Годности'!$A$2:$B$4,2,0)</f>
        <v>500</v>
      </c>
      <c r="N1698" s="60">
        <f t="shared" si="185"/>
        <v>0</v>
      </c>
      <c r="O1698" s="1" t="str">
        <f t="shared" si="186"/>
        <v>29 2012</v>
      </c>
      <c r="P1698" s="1">
        <f t="shared" si="187"/>
        <v>23</v>
      </c>
      <c r="Q1698" s="1">
        <f t="shared" ca="1" si="188"/>
        <v>4026</v>
      </c>
      <c r="S1698" s="1">
        <f t="shared" si="182"/>
        <v>2763</v>
      </c>
    </row>
    <row r="1699" spans="1:19" x14ac:dyDescent="0.2">
      <c r="A1699" s="57" t="s">
        <v>231</v>
      </c>
      <c r="B1699" s="57" t="s">
        <v>244</v>
      </c>
      <c r="C1699" s="57" t="s">
        <v>245</v>
      </c>
      <c r="D1699" s="58">
        <v>33.659999999999997</v>
      </c>
      <c r="E1699" s="59">
        <v>41061</v>
      </c>
      <c r="F1699" s="58">
        <v>69152</v>
      </c>
      <c r="G1699" s="58">
        <v>8464</v>
      </c>
      <c r="H1699" s="58">
        <v>9417</v>
      </c>
      <c r="I1699" s="58">
        <v>68173</v>
      </c>
      <c r="J1699" s="58">
        <v>0</v>
      </c>
      <c r="K1699" s="1">
        <f t="shared" si="183"/>
        <v>316976.21999999997</v>
      </c>
      <c r="L1699" s="1">
        <f t="shared" si="184"/>
        <v>9417</v>
      </c>
      <c r="M1699" s="1">
        <f>VLOOKUP(B1699,'[1]Срок Годности'!$A$2:$B$4,2,0)</f>
        <v>1500</v>
      </c>
      <c r="N1699" s="60">
        <f t="shared" si="185"/>
        <v>8464</v>
      </c>
      <c r="O1699" s="1" t="str">
        <f t="shared" si="186"/>
        <v>22 2012</v>
      </c>
      <c r="P1699" s="1">
        <f t="shared" si="187"/>
        <v>21</v>
      </c>
      <c r="Q1699" s="1">
        <f t="shared" ca="1" si="188"/>
        <v>4072</v>
      </c>
      <c r="S1699" s="1">
        <f t="shared" si="182"/>
        <v>68173</v>
      </c>
    </row>
    <row r="1700" spans="1:19" x14ac:dyDescent="0.2">
      <c r="A1700" s="57" t="s">
        <v>231</v>
      </c>
      <c r="B1700" s="57" t="s">
        <v>244</v>
      </c>
      <c r="C1700" s="57" t="s">
        <v>245</v>
      </c>
      <c r="D1700" s="58">
        <v>33.659999999999997</v>
      </c>
      <c r="E1700" s="59">
        <v>41062</v>
      </c>
      <c r="F1700" s="58">
        <v>68173</v>
      </c>
      <c r="G1700" s="58">
        <v>8100</v>
      </c>
      <c r="H1700" s="58">
        <v>9786</v>
      </c>
      <c r="I1700" s="58">
        <v>66411</v>
      </c>
      <c r="J1700" s="58">
        <v>0</v>
      </c>
      <c r="K1700" s="1">
        <f t="shared" si="183"/>
        <v>329396.75999999995</v>
      </c>
      <c r="L1700" s="1">
        <f t="shared" si="184"/>
        <v>9786</v>
      </c>
      <c r="M1700" s="1">
        <f>VLOOKUP(B1700,'[1]Срок Годности'!$A$2:$B$4,2,0)</f>
        <v>1500</v>
      </c>
      <c r="N1700" s="60">
        <f t="shared" si="185"/>
        <v>8100</v>
      </c>
      <c r="O1700" s="1" t="str">
        <f t="shared" si="186"/>
        <v>22 2012</v>
      </c>
      <c r="P1700" s="1">
        <f t="shared" si="187"/>
        <v>21</v>
      </c>
      <c r="Q1700" s="1">
        <f t="shared" ca="1" si="188"/>
        <v>4071</v>
      </c>
      <c r="S1700" s="1">
        <f t="shared" si="182"/>
        <v>66411</v>
      </c>
    </row>
    <row r="1701" spans="1:19" x14ac:dyDescent="0.2">
      <c r="A1701" s="57" t="s">
        <v>231</v>
      </c>
      <c r="B1701" s="57" t="s">
        <v>244</v>
      </c>
      <c r="C1701" s="57" t="s">
        <v>245</v>
      </c>
      <c r="D1701" s="58">
        <v>33.659999999999997</v>
      </c>
      <c r="E1701" s="59">
        <v>41063</v>
      </c>
      <c r="F1701" s="58">
        <v>66411</v>
      </c>
      <c r="G1701" s="58">
        <v>11040</v>
      </c>
      <c r="H1701" s="58">
        <v>10343</v>
      </c>
      <c r="I1701" s="58">
        <v>67041</v>
      </c>
      <c r="J1701" s="58">
        <v>0</v>
      </c>
      <c r="K1701" s="1">
        <f t="shared" si="183"/>
        <v>348145.37999999995</v>
      </c>
      <c r="L1701" s="1">
        <f t="shared" si="184"/>
        <v>10343</v>
      </c>
      <c r="M1701" s="1">
        <f>VLOOKUP(B1701,'[1]Срок Годности'!$A$2:$B$4,2,0)</f>
        <v>1500</v>
      </c>
      <c r="N1701" s="60">
        <f t="shared" si="185"/>
        <v>0</v>
      </c>
      <c r="O1701" s="1" t="str">
        <f t="shared" si="186"/>
        <v>23 2012</v>
      </c>
      <c r="P1701" s="1">
        <f t="shared" si="187"/>
        <v>21</v>
      </c>
      <c r="Q1701" s="1">
        <f t="shared" ca="1" si="188"/>
        <v>4070</v>
      </c>
      <c r="S1701" s="1">
        <f t="shared" si="182"/>
        <v>67041</v>
      </c>
    </row>
    <row r="1702" spans="1:19" x14ac:dyDescent="0.2">
      <c r="A1702" s="57" t="s">
        <v>231</v>
      </c>
      <c r="B1702" s="57" t="s">
        <v>244</v>
      </c>
      <c r="C1702" s="57" t="s">
        <v>245</v>
      </c>
      <c r="D1702" s="58">
        <v>33.659999999999997</v>
      </c>
      <c r="E1702" s="59">
        <v>41064</v>
      </c>
      <c r="F1702" s="58">
        <v>67041</v>
      </c>
      <c r="G1702" s="58">
        <v>11922</v>
      </c>
      <c r="H1702" s="58">
        <v>12000</v>
      </c>
      <c r="I1702" s="58">
        <v>66822</v>
      </c>
      <c r="J1702" s="58">
        <v>0</v>
      </c>
      <c r="K1702" s="1">
        <f t="shared" si="183"/>
        <v>403919.99999999994</v>
      </c>
      <c r="L1702" s="1">
        <f t="shared" si="184"/>
        <v>12000</v>
      </c>
      <c r="M1702" s="1">
        <f>VLOOKUP(B1702,'[1]Срок Годности'!$A$2:$B$4,2,0)</f>
        <v>1500</v>
      </c>
      <c r="N1702" s="60">
        <f t="shared" si="185"/>
        <v>11922</v>
      </c>
      <c r="O1702" s="1" t="str">
        <f t="shared" si="186"/>
        <v>23 2012</v>
      </c>
      <c r="P1702" s="1">
        <f t="shared" si="187"/>
        <v>21</v>
      </c>
      <c r="Q1702" s="1">
        <f t="shared" ca="1" si="188"/>
        <v>4069</v>
      </c>
      <c r="S1702" s="1">
        <f t="shared" si="182"/>
        <v>66822</v>
      </c>
    </row>
    <row r="1703" spans="1:19" x14ac:dyDescent="0.2">
      <c r="A1703" s="57" t="s">
        <v>231</v>
      </c>
      <c r="B1703" s="57" t="s">
        <v>244</v>
      </c>
      <c r="C1703" s="57" t="s">
        <v>245</v>
      </c>
      <c r="D1703" s="58">
        <v>33.659999999999997</v>
      </c>
      <c r="E1703" s="59">
        <v>41065</v>
      </c>
      <c r="F1703" s="58">
        <v>66822</v>
      </c>
      <c r="G1703" s="58">
        <v>2631</v>
      </c>
      <c r="H1703" s="58">
        <v>12240</v>
      </c>
      <c r="I1703" s="58">
        <v>57151</v>
      </c>
      <c r="J1703" s="58">
        <v>0</v>
      </c>
      <c r="K1703" s="1">
        <f t="shared" si="183"/>
        <v>411998.39999999997</v>
      </c>
      <c r="L1703" s="1">
        <f t="shared" si="184"/>
        <v>12240</v>
      </c>
      <c r="M1703" s="1">
        <f>VLOOKUP(B1703,'[1]Срок Годности'!$A$2:$B$4,2,0)</f>
        <v>1500</v>
      </c>
      <c r="N1703" s="60">
        <f t="shared" si="185"/>
        <v>2631</v>
      </c>
      <c r="O1703" s="1" t="str">
        <f t="shared" si="186"/>
        <v>23 2012</v>
      </c>
      <c r="P1703" s="1">
        <f t="shared" si="187"/>
        <v>21</v>
      </c>
      <c r="Q1703" s="1">
        <f t="shared" ca="1" si="188"/>
        <v>4068</v>
      </c>
      <c r="S1703" s="1">
        <f t="shared" si="182"/>
        <v>57151</v>
      </c>
    </row>
    <row r="1704" spans="1:19" x14ac:dyDescent="0.2">
      <c r="A1704" s="57" t="s">
        <v>231</v>
      </c>
      <c r="B1704" s="57" t="s">
        <v>244</v>
      </c>
      <c r="C1704" s="57" t="s">
        <v>245</v>
      </c>
      <c r="D1704" s="58">
        <v>33.659999999999997</v>
      </c>
      <c r="E1704" s="59">
        <v>41066</v>
      </c>
      <c r="F1704" s="58">
        <v>57151</v>
      </c>
      <c r="G1704" s="58">
        <v>14931</v>
      </c>
      <c r="H1704" s="58">
        <v>11894</v>
      </c>
      <c r="I1704" s="58">
        <v>60141</v>
      </c>
      <c r="J1704" s="58">
        <v>0</v>
      </c>
      <c r="K1704" s="1">
        <f t="shared" si="183"/>
        <v>400352.04</v>
      </c>
      <c r="L1704" s="1">
        <f t="shared" si="184"/>
        <v>11894</v>
      </c>
      <c r="M1704" s="1">
        <f>VLOOKUP(B1704,'[1]Срок Годности'!$A$2:$B$4,2,0)</f>
        <v>1500</v>
      </c>
      <c r="N1704" s="60">
        <f t="shared" si="185"/>
        <v>14931</v>
      </c>
      <c r="O1704" s="1" t="str">
        <f t="shared" si="186"/>
        <v>23 2012</v>
      </c>
      <c r="P1704" s="1">
        <f t="shared" si="187"/>
        <v>21</v>
      </c>
      <c r="Q1704" s="1">
        <f t="shared" ca="1" si="188"/>
        <v>4067</v>
      </c>
      <c r="S1704" s="1">
        <f t="shared" si="182"/>
        <v>60141</v>
      </c>
    </row>
    <row r="1705" spans="1:19" x14ac:dyDescent="0.2">
      <c r="A1705" s="57" t="s">
        <v>231</v>
      </c>
      <c r="B1705" s="57" t="s">
        <v>244</v>
      </c>
      <c r="C1705" s="57" t="s">
        <v>245</v>
      </c>
      <c r="D1705" s="58">
        <v>33.659999999999997</v>
      </c>
      <c r="E1705" s="59">
        <v>41067</v>
      </c>
      <c r="F1705" s="58">
        <v>60141</v>
      </c>
      <c r="G1705" s="58">
        <v>26142</v>
      </c>
      <c r="H1705" s="58">
        <v>12830</v>
      </c>
      <c r="I1705" s="58">
        <v>73370</v>
      </c>
      <c r="J1705" s="58">
        <v>1</v>
      </c>
      <c r="K1705" s="1">
        <f t="shared" si="183"/>
        <v>431857.79999999993</v>
      </c>
      <c r="L1705" s="1">
        <f t="shared" si="184"/>
        <v>12830</v>
      </c>
      <c r="M1705" s="1">
        <f>VLOOKUP(B1705,'[1]Срок Годности'!$A$2:$B$4,2,0)</f>
        <v>1500</v>
      </c>
      <c r="N1705" s="60">
        <f t="shared" si="185"/>
        <v>26142</v>
      </c>
      <c r="O1705" s="1" t="str">
        <f t="shared" si="186"/>
        <v>23 2012</v>
      </c>
      <c r="P1705" s="1">
        <f t="shared" si="187"/>
        <v>21</v>
      </c>
      <c r="Q1705" s="1">
        <f t="shared" ca="1" si="188"/>
        <v>4066</v>
      </c>
      <c r="S1705" s="1">
        <f t="shared" si="182"/>
        <v>73369</v>
      </c>
    </row>
    <row r="1706" spans="1:19" x14ac:dyDescent="0.2">
      <c r="A1706" s="57" t="s">
        <v>231</v>
      </c>
      <c r="B1706" s="57" t="s">
        <v>244</v>
      </c>
      <c r="C1706" s="57" t="s">
        <v>245</v>
      </c>
      <c r="D1706" s="58">
        <v>33.659999999999997</v>
      </c>
      <c r="E1706" s="59">
        <v>41068</v>
      </c>
      <c r="F1706" s="58">
        <v>73370</v>
      </c>
      <c r="G1706" s="58">
        <v>14799</v>
      </c>
      <c r="H1706" s="58">
        <v>13879</v>
      </c>
      <c r="I1706" s="58">
        <v>74270</v>
      </c>
      <c r="J1706" s="58">
        <v>0</v>
      </c>
      <c r="K1706" s="1">
        <f t="shared" si="183"/>
        <v>467167.13999999996</v>
      </c>
      <c r="L1706" s="1">
        <f t="shared" si="184"/>
        <v>13879</v>
      </c>
      <c r="M1706" s="1">
        <f>VLOOKUP(B1706,'[1]Срок Годности'!$A$2:$B$4,2,0)</f>
        <v>1500</v>
      </c>
      <c r="N1706" s="60">
        <f t="shared" si="185"/>
        <v>14799</v>
      </c>
      <c r="O1706" s="1" t="str">
        <f t="shared" si="186"/>
        <v>23 2012</v>
      </c>
      <c r="P1706" s="1">
        <f t="shared" si="187"/>
        <v>21</v>
      </c>
      <c r="Q1706" s="1">
        <f t="shared" ca="1" si="188"/>
        <v>4065</v>
      </c>
      <c r="S1706" s="1">
        <f t="shared" si="182"/>
        <v>74270</v>
      </c>
    </row>
    <row r="1707" spans="1:19" x14ac:dyDescent="0.2">
      <c r="A1707" s="57" t="s">
        <v>231</v>
      </c>
      <c r="B1707" s="57" t="s">
        <v>244</v>
      </c>
      <c r="C1707" s="57" t="s">
        <v>245</v>
      </c>
      <c r="D1707" s="58">
        <v>33.659999999999997</v>
      </c>
      <c r="E1707" s="59">
        <v>41069</v>
      </c>
      <c r="F1707" s="58">
        <v>74270</v>
      </c>
      <c r="G1707" s="58">
        <v>13913</v>
      </c>
      <c r="H1707" s="58">
        <v>14195</v>
      </c>
      <c r="I1707" s="58">
        <v>73891</v>
      </c>
      <c r="J1707" s="58">
        <v>0</v>
      </c>
      <c r="K1707" s="1">
        <f t="shared" si="183"/>
        <v>477803.69999999995</v>
      </c>
      <c r="L1707" s="1">
        <f t="shared" si="184"/>
        <v>14195</v>
      </c>
      <c r="M1707" s="1">
        <f>VLOOKUP(B1707,'[1]Срок Годности'!$A$2:$B$4,2,0)</f>
        <v>1500</v>
      </c>
      <c r="N1707" s="60">
        <f t="shared" si="185"/>
        <v>13913</v>
      </c>
      <c r="O1707" s="1" t="str">
        <f t="shared" si="186"/>
        <v>23 2012</v>
      </c>
      <c r="P1707" s="1">
        <f t="shared" si="187"/>
        <v>21</v>
      </c>
      <c r="Q1707" s="1">
        <f t="shared" ca="1" si="188"/>
        <v>4064</v>
      </c>
      <c r="S1707" s="1">
        <f t="shared" si="182"/>
        <v>73891</v>
      </c>
    </row>
    <row r="1708" spans="1:19" x14ac:dyDescent="0.2">
      <c r="A1708" s="57" t="s">
        <v>231</v>
      </c>
      <c r="B1708" s="57" t="s">
        <v>244</v>
      </c>
      <c r="C1708" s="57" t="s">
        <v>245</v>
      </c>
      <c r="D1708" s="58">
        <v>33.659999999999997</v>
      </c>
      <c r="E1708" s="59">
        <v>41070</v>
      </c>
      <c r="F1708" s="58">
        <v>73891</v>
      </c>
      <c r="G1708" s="58">
        <v>12210</v>
      </c>
      <c r="H1708" s="58">
        <v>14255</v>
      </c>
      <c r="I1708" s="58">
        <v>71784</v>
      </c>
      <c r="J1708" s="58">
        <v>0</v>
      </c>
      <c r="K1708" s="1">
        <f t="shared" si="183"/>
        <v>479823.29999999993</v>
      </c>
      <c r="L1708" s="1">
        <f t="shared" si="184"/>
        <v>14255</v>
      </c>
      <c r="M1708" s="1">
        <f>VLOOKUP(B1708,'[1]Срок Годности'!$A$2:$B$4,2,0)</f>
        <v>1500</v>
      </c>
      <c r="N1708" s="60">
        <f t="shared" si="185"/>
        <v>0</v>
      </c>
      <c r="O1708" s="1" t="str">
        <f t="shared" si="186"/>
        <v>24 2012</v>
      </c>
      <c r="P1708" s="1">
        <f t="shared" si="187"/>
        <v>21</v>
      </c>
      <c r="Q1708" s="1">
        <f t="shared" ca="1" si="188"/>
        <v>4063</v>
      </c>
      <c r="S1708" s="1">
        <f t="shared" si="182"/>
        <v>71784</v>
      </c>
    </row>
    <row r="1709" spans="1:19" x14ac:dyDescent="0.2">
      <c r="A1709" s="57" t="s">
        <v>231</v>
      </c>
      <c r="B1709" s="57" t="s">
        <v>244</v>
      </c>
      <c r="C1709" s="57" t="s">
        <v>245</v>
      </c>
      <c r="D1709" s="58">
        <v>33.659999999999997</v>
      </c>
      <c r="E1709" s="59">
        <v>41071</v>
      </c>
      <c r="F1709" s="58">
        <v>71784</v>
      </c>
      <c r="G1709" s="58">
        <v>12324</v>
      </c>
      <c r="H1709" s="58">
        <v>13270</v>
      </c>
      <c r="I1709" s="58">
        <v>70725</v>
      </c>
      <c r="J1709" s="58">
        <v>0</v>
      </c>
      <c r="K1709" s="1">
        <f t="shared" si="183"/>
        <v>446668.19999999995</v>
      </c>
      <c r="L1709" s="1">
        <f t="shared" si="184"/>
        <v>13270</v>
      </c>
      <c r="M1709" s="1">
        <f>VLOOKUP(B1709,'[1]Срок Годности'!$A$2:$B$4,2,0)</f>
        <v>1500</v>
      </c>
      <c r="N1709" s="60">
        <f t="shared" si="185"/>
        <v>12324</v>
      </c>
      <c r="O1709" s="1" t="str">
        <f t="shared" si="186"/>
        <v>24 2012</v>
      </c>
      <c r="P1709" s="1">
        <f t="shared" si="187"/>
        <v>21</v>
      </c>
      <c r="Q1709" s="1">
        <f t="shared" ca="1" si="188"/>
        <v>4062</v>
      </c>
      <c r="S1709" s="1">
        <f t="shared" si="182"/>
        <v>70725</v>
      </c>
    </row>
    <row r="1710" spans="1:19" x14ac:dyDescent="0.2">
      <c r="A1710" s="57" t="s">
        <v>231</v>
      </c>
      <c r="B1710" s="57" t="s">
        <v>244</v>
      </c>
      <c r="C1710" s="57" t="s">
        <v>245</v>
      </c>
      <c r="D1710" s="58">
        <v>33.659999999999997</v>
      </c>
      <c r="E1710" s="59">
        <v>41072</v>
      </c>
      <c r="F1710" s="58">
        <v>70725</v>
      </c>
      <c r="G1710" s="58">
        <v>11722</v>
      </c>
      <c r="H1710" s="58">
        <v>13827</v>
      </c>
      <c r="I1710" s="58">
        <v>68425</v>
      </c>
      <c r="J1710" s="58">
        <v>1</v>
      </c>
      <c r="K1710" s="1">
        <f t="shared" si="183"/>
        <v>465416.81999999995</v>
      </c>
      <c r="L1710" s="1">
        <f t="shared" si="184"/>
        <v>13827</v>
      </c>
      <c r="M1710" s="1">
        <f>VLOOKUP(B1710,'[1]Срок Годности'!$A$2:$B$4,2,0)</f>
        <v>1500</v>
      </c>
      <c r="N1710" s="60">
        <f t="shared" si="185"/>
        <v>11722</v>
      </c>
      <c r="O1710" s="1" t="str">
        <f t="shared" si="186"/>
        <v>24 2012</v>
      </c>
      <c r="P1710" s="1">
        <f t="shared" si="187"/>
        <v>21</v>
      </c>
      <c r="Q1710" s="1">
        <f t="shared" ca="1" si="188"/>
        <v>4061</v>
      </c>
      <c r="S1710" s="1">
        <f t="shared" si="182"/>
        <v>68424</v>
      </c>
    </row>
    <row r="1711" spans="1:19" x14ac:dyDescent="0.2">
      <c r="A1711" s="57" t="s">
        <v>231</v>
      </c>
      <c r="B1711" s="57" t="s">
        <v>244</v>
      </c>
      <c r="C1711" s="57" t="s">
        <v>245</v>
      </c>
      <c r="D1711" s="58">
        <v>33.659999999999997</v>
      </c>
      <c r="E1711" s="59">
        <v>41073</v>
      </c>
      <c r="F1711" s="58">
        <v>68425</v>
      </c>
      <c r="G1711" s="58">
        <v>4952</v>
      </c>
      <c r="H1711" s="58">
        <v>15867</v>
      </c>
      <c r="I1711" s="58">
        <v>57206</v>
      </c>
      <c r="J1711" s="58">
        <v>0</v>
      </c>
      <c r="K1711" s="1">
        <f t="shared" si="183"/>
        <v>534083.22</v>
      </c>
      <c r="L1711" s="1">
        <f t="shared" si="184"/>
        <v>15867</v>
      </c>
      <c r="M1711" s="1">
        <f>VLOOKUP(B1711,'[1]Срок Годности'!$A$2:$B$4,2,0)</f>
        <v>1500</v>
      </c>
      <c r="N1711" s="60">
        <f t="shared" si="185"/>
        <v>4952</v>
      </c>
      <c r="O1711" s="1" t="str">
        <f t="shared" si="186"/>
        <v>24 2012</v>
      </c>
      <c r="P1711" s="1">
        <f t="shared" si="187"/>
        <v>21</v>
      </c>
      <c r="Q1711" s="1">
        <f t="shared" ca="1" si="188"/>
        <v>4060</v>
      </c>
      <c r="S1711" s="1">
        <f t="shared" si="182"/>
        <v>57206</v>
      </c>
    </row>
    <row r="1712" spans="1:19" x14ac:dyDescent="0.2">
      <c r="A1712" s="57" t="s">
        <v>231</v>
      </c>
      <c r="B1712" s="57" t="s">
        <v>244</v>
      </c>
      <c r="C1712" s="57" t="s">
        <v>245</v>
      </c>
      <c r="D1712" s="58">
        <v>33.659999999999997</v>
      </c>
      <c r="E1712" s="59">
        <v>41074</v>
      </c>
      <c r="F1712" s="58">
        <v>57206</v>
      </c>
      <c r="G1712" s="58">
        <v>13570</v>
      </c>
      <c r="H1712" s="58">
        <v>13620</v>
      </c>
      <c r="I1712" s="58">
        <v>56645</v>
      </c>
      <c r="J1712" s="58">
        <v>2</v>
      </c>
      <c r="K1712" s="1">
        <f t="shared" si="183"/>
        <v>458449.19999999995</v>
      </c>
      <c r="L1712" s="1">
        <f t="shared" si="184"/>
        <v>13620</v>
      </c>
      <c r="M1712" s="1">
        <f>VLOOKUP(B1712,'[1]Срок Годности'!$A$2:$B$4,2,0)</f>
        <v>1500</v>
      </c>
      <c r="N1712" s="60">
        <f t="shared" si="185"/>
        <v>13570</v>
      </c>
      <c r="O1712" s="1" t="str">
        <f t="shared" si="186"/>
        <v>24 2012</v>
      </c>
      <c r="P1712" s="1">
        <f t="shared" si="187"/>
        <v>21</v>
      </c>
      <c r="Q1712" s="1">
        <f t="shared" ca="1" si="188"/>
        <v>4059</v>
      </c>
      <c r="S1712" s="1">
        <f t="shared" si="182"/>
        <v>56643</v>
      </c>
    </row>
    <row r="1713" spans="1:19" x14ac:dyDescent="0.2">
      <c r="A1713" s="57" t="s">
        <v>231</v>
      </c>
      <c r="B1713" s="57" t="s">
        <v>244</v>
      </c>
      <c r="C1713" s="57" t="s">
        <v>245</v>
      </c>
      <c r="D1713" s="58">
        <v>33.659999999999997</v>
      </c>
      <c r="E1713" s="59">
        <v>41075</v>
      </c>
      <c r="F1713" s="58">
        <v>56645</v>
      </c>
      <c r="G1713" s="58">
        <v>18828</v>
      </c>
      <c r="H1713" s="58">
        <v>13315</v>
      </c>
      <c r="I1713" s="58">
        <v>62202</v>
      </c>
      <c r="J1713" s="58">
        <v>0</v>
      </c>
      <c r="K1713" s="1">
        <f t="shared" si="183"/>
        <v>448182.89999999997</v>
      </c>
      <c r="L1713" s="1">
        <f t="shared" si="184"/>
        <v>13315</v>
      </c>
      <c r="M1713" s="1">
        <f>VLOOKUP(B1713,'[1]Срок Годности'!$A$2:$B$4,2,0)</f>
        <v>1500</v>
      </c>
      <c r="N1713" s="60">
        <f t="shared" si="185"/>
        <v>18828</v>
      </c>
      <c r="O1713" s="1" t="str">
        <f t="shared" si="186"/>
        <v>24 2012</v>
      </c>
      <c r="P1713" s="1">
        <f t="shared" si="187"/>
        <v>21</v>
      </c>
      <c r="Q1713" s="1">
        <f t="shared" ca="1" si="188"/>
        <v>4058</v>
      </c>
      <c r="S1713" s="1">
        <f t="shared" si="182"/>
        <v>62202</v>
      </c>
    </row>
    <row r="1714" spans="1:19" x14ac:dyDescent="0.2">
      <c r="A1714" s="57" t="s">
        <v>231</v>
      </c>
      <c r="B1714" s="57" t="s">
        <v>244</v>
      </c>
      <c r="C1714" s="57" t="s">
        <v>245</v>
      </c>
      <c r="D1714" s="58">
        <v>33.659999999999997</v>
      </c>
      <c r="E1714" s="59">
        <v>41076</v>
      </c>
      <c r="F1714" s="58">
        <v>62202</v>
      </c>
      <c r="G1714" s="58">
        <v>14447</v>
      </c>
      <c r="H1714" s="58">
        <v>14105</v>
      </c>
      <c r="I1714" s="58">
        <v>62784</v>
      </c>
      <c r="J1714" s="58">
        <v>0</v>
      </c>
      <c r="K1714" s="1">
        <f t="shared" si="183"/>
        <v>474774.29999999993</v>
      </c>
      <c r="L1714" s="1">
        <f t="shared" si="184"/>
        <v>14105</v>
      </c>
      <c r="M1714" s="1">
        <f>VLOOKUP(B1714,'[1]Срок Годности'!$A$2:$B$4,2,0)</f>
        <v>1500</v>
      </c>
      <c r="N1714" s="60">
        <f t="shared" si="185"/>
        <v>14447</v>
      </c>
      <c r="O1714" s="1" t="str">
        <f t="shared" si="186"/>
        <v>24 2012</v>
      </c>
      <c r="P1714" s="1">
        <f t="shared" si="187"/>
        <v>21</v>
      </c>
      <c r="Q1714" s="1">
        <f t="shared" ca="1" si="188"/>
        <v>4057</v>
      </c>
      <c r="S1714" s="1">
        <f t="shared" si="182"/>
        <v>62784</v>
      </c>
    </row>
    <row r="1715" spans="1:19" x14ac:dyDescent="0.2">
      <c r="A1715" s="57" t="s">
        <v>231</v>
      </c>
      <c r="B1715" s="57" t="s">
        <v>244</v>
      </c>
      <c r="C1715" s="57" t="s">
        <v>245</v>
      </c>
      <c r="D1715" s="58">
        <v>33.659999999999997</v>
      </c>
      <c r="E1715" s="59">
        <v>41077</v>
      </c>
      <c r="F1715" s="58">
        <v>62784</v>
      </c>
      <c r="G1715" s="58">
        <v>15717</v>
      </c>
      <c r="H1715" s="58">
        <v>15597</v>
      </c>
      <c r="I1715" s="58">
        <v>62865</v>
      </c>
      <c r="J1715" s="58">
        <v>0</v>
      </c>
      <c r="K1715" s="1">
        <f t="shared" si="183"/>
        <v>524995.0199999999</v>
      </c>
      <c r="L1715" s="1">
        <f t="shared" si="184"/>
        <v>15597</v>
      </c>
      <c r="M1715" s="1">
        <f>VLOOKUP(B1715,'[1]Срок Годности'!$A$2:$B$4,2,0)</f>
        <v>1500</v>
      </c>
      <c r="N1715" s="60">
        <f t="shared" si="185"/>
        <v>0</v>
      </c>
      <c r="O1715" s="1" t="str">
        <f t="shared" si="186"/>
        <v>25 2012</v>
      </c>
      <c r="P1715" s="1">
        <f t="shared" si="187"/>
        <v>21</v>
      </c>
      <c r="Q1715" s="1">
        <f t="shared" ca="1" si="188"/>
        <v>4056</v>
      </c>
      <c r="S1715" s="1">
        <f t="shared" si="182"/>
        <v>62865</v>
      </c>
    </row>
    <row r="1716" spans="1:19" x14ac:dyDescent="0.2">
      <c r="A1716" s="57" t="s">
        <v>231</v>
      </c>
      <c r="B1716" s="57" t="s">
        <v>244</v>
      </c>
      <c r="C1716" s="57" t="s">
        <v>245</v>
      </c>
      <c r="D1716" s="58">
        <v>33.659999999999997</v>
      </c>
      <c r="E1716" s="59">
        <v>41078</v>
      </c>
      <c r="F1716" s="58">
        <v>62865</v>
      </c>
      <c r="G1716" s="58">
        <v>14268</v>
      </c>
      <c r="H1716" s="58">
        <v>16462</v>
      </c>
      <c r="I1716" s="58">
        <v>60637</v>
      </c>
      <c r="J1716" s="58">
        <v>0</v>
      </c>
      <c r="K1716" s="1">
        <f t="shared" si="183"/>
        <v>554110.91999999993</v>
      </c>
      <c r="L1716" s="1">
        <f t="shared" si="184"/>
        <v>16462</v>
      </c>
      <c r="M1716" s="1">
        <f>VLOOKUP(B1716,'[1]Срок Годности'!$A$2:$B$4,2,0)</f>
        <v>1500</v>
      </c>
      <c r="N1716" s="60">
        <f t="shared" si="185"/>
        <v>14268</v>
      </c>
      <c r="O1716" s="1" t="str">
        <f t="shared" si="186"/>
        <v>25 2012</v>
      </c>
      <c r="P1716" s="1">
        <f t="shared" si="187"/>
        <v>21</v>
      </c>
      <c r="Q1716" s="1">
        <f t="shared" ca="1" si="188"/>
        <v>4055</v>
      </c>
      <c r="S1716" s="1">
        <f t="shared" si="182"/>
        <v>60637</v>
      </c>
    </row>
    <row r="1717" spans="1:19" x14ac:dyDescent="0.2">
      <c r="A1717" s="57" t="s">
        <v>231</v>
      </c>
      <c r="B1717" s="57" t="s">
        <v>244</v>
      </c>
      <c r="C1717" s="57" t="s">
        <v>245</v>
      </c>
      <c r="D1717" s="58">
        <v>33.659999999999997</v>
      </c>
      <c r="E1717" s="59">
        <v>41079</v>
      </c>
      <c r="F1717" s="58">
        <v>60637</v>
      </c>
      <c r="G1717" s="58">
        <v>10698</v>
      </c>
      <c r="H1717" s="58">
        <v>13570</v>
      </c>
      <c r="I1717" s="58">
        <v>57847</v>
      </c>
      <c r="J1717" s="58">
        <v>0</v>
      </c>
      <c r="K1717" s="1">
        <f t="shared" si="183"/>
        <v>456766.19999999995</v>
      </c>
      <c r="L1717" s="1">
        <f t="shared" si="184"/>
        <v>13570</v>
      </c>
      <c r="M1717" s="1">
        <f>VLOOKUP(B1717,'[1]Срок Годности'!$A$2:$B$4,2,0)</f>
        <v>1500</v>
      </c>
      <c r="N1717" s="60">
        <f t="shared" si="185"/>
        <v>10698</v>
      </c>
      <c r="O1717" s="1" t="str">
        <f t="shared" si="186"/>
        <v>25 2012</v>
      </c>
      <c r="P1717" s="1">
        <f t="shared" si="187"/>
        <v>21</v>
      </c>
      <c r="Q1717" s="1">
        <f t="shared" ca="1" si="188"/>
        <v>4054</v>
      </c>
      <c r="S1717" s="1">
        <f t="shared" si="182"/>
        <v>57847</v>
      </c>
    </row>
    <row r="1718" spans="1:19" x14ac:dyDescent="0.2">
      <c r="A1718" s="57" t="s">
        <v>231</v>
      </c>
      <c r="B1718" s="57" t="s">
        <v>244</v>
      </c>
      <c r="C1718" s="57" t="s">
        <v>245</v>
      </c>
      <c r="D1718" s="58">
        <v>33.659999999999997</v>
      </c>
      <c r="E1718" s="59">
        <v>41080</v>
      </c>
      <c r="F1718" s="58">
        <v>57847</v>
      </c>
      <c r="G1718" s="58">
        <v>537</v>
      </c>
      <c r="H1718" s="58">
        <v>13315</v>
      </c>
      <c r="I1718" s="58">
        <v>44898</v>
      </c>
      <c r="J1718" s="58">
        <v>0</v>
      </c>
      <c r="K1718" s="1">
        <f t="shared" si="183"/>
        <v>448182.89999999997</v>
      </c>
      <c r="L1718" s="1">
        <f t="shared" si="184"/>
        <v>13315</v>
      </c>
      <c r="M1718" s="1">
        <f>VLOOKUP(B1718,'[1]Срок Годности'!$A$2:$B$4,2,0)</f>
        <v>1500</v>
      </c>
      <c r="N1718" s="60">
        <f t="shared" si="185"/>
        <v>537</v>
      </c>
      <c r="O1718" s="1" t="str">
        <f t="shared" si="186"/>
        <v>25 2012</v>
      </c>
      <c r="P1718" s="1">
        <f t="shared" si="187"/>
        <v>21</v>
      </c>
      <c r="Q1718" s="1">
        <f t="shared" ca="1" si="188"/>
        <v>4053</v>
      </c>
      <c r="S1718" s="1">
        <f t="shared" si="182"/>
        <v>44898</v>
      </c>
    </row>
    <row r="1719" spans="1:19" x14ac:dyDescent="0.2">
      <c r="A1719" s="57" t="s">
        <v>231</v>
      </c>
      <c r="B1719" s="57" t="s">
        <v>244</v>
      </c>
      <c r="C1719" s="57" t="s">
        <v>245</v>
      </c>
      <c r="D1719" s="58">
        <v>33.659999999999997</v>
      </c>
      <c r="E1719" s="59">
        <v>41081</v>
      </c>
      <c r="F1719" s="58">
        <v>44898</v>
      </c>
      <c r="G1719" s="58">
        <v>21028</v>
      </c>
      <c r="H1719" s="58">
        <v>11685</v>
      </c>
      <c r="I1719" s="58">
        <v>54630</v>
      </c>
      <c r="J1719" s="58">
        <v>0</v>
      </c>
      <c r="K1719" s="1">
        <f t="shared" si="183"/>
        <v>393317.1</v>
      </c>
      <c r="L1719" s="1">
        <f t="shared" si="184"/>
        <v>11685</v>
      </c>
      <c r="M1719" s="1">
        <f>VLOOKUP(B1719,'[1]Срок Годности'!$A$2:$B$4,2,0)</f>
        <v>1500</v>
      </c>
      <c r="N1719" s="60">
        <f t="shared" si="185"/>
        <v>21028</v>
      </c>
      <c r="O1719" s="1" t="str">
        <f t="shared" si="186"/>
        <v>25 2012</v>
      </c>
      <c r="P1719" s="1">
        <f t="shared" si="187"/>
        <v>21</v>
      </c>
      <c r="Q1719" s="1">
        <f t="shared" ca="1" si="188"/>
        <v>4052</v>
      </c>
      <c r="S1719" s="1">
        <f t="shared" si="182"/>
        <v>54630</v>
      </c>
    </row>
    <row r="1720" spans="1:19" x14ac:dyDescent="0.2">
      <c r="A1720" s="57" t="s">
        <v>231</v>
      </c>
      <c r="B1720" s="57" t="s">
        <v>244</v>
      </c>
      <c r="C1720" s="57" t="s">
        <v>245</v>
      </c>
      <c r="D1720" s="58">
        <v>33.659999999999997</v>
      </c>
      <c r="E1720" s="59">
        <v>41082</v>
      </c>
      <c r="F1720" s="58">
        <v>54630</v>
      </c>
      <c r="G1720" s="58">
        <v>22088</v>
      </c>
      <c r="H1720" s="58">
        <v>9544</v>
      </c>
      <c r="I1720" s="58">
        <v>67110</v>
      </c>
      <c r="J1720" s="58">
        <v>0</v>
      </c>
      <c r="K1720" s="1">
        <f t="shared" si="183"/>
        <v>321251.03999999998</v>
      </c>
      <c r="L1720" s="1">
        <f t="shared" si="184"/>
        <v>9544</v>
      </c>
      <c r="M1720" s="1">
        <f>VLOOKUP(B1720,'[1]Срок Годности'!$A$2:$B$4,2,0)</f>
        <v>1500</v>
      </c>
      <c r="N1720" s="60">
        <f t="shared" si="185"/>
        <v>22088</v>
      </c>
      <c r="O1720" s="1" t="str">
        <f t="shared" si="186"/>
        <v>25 2012</v>
      </c>
      <c r="P1720" s="1">
        <f t="shared" si="187"/>
        <v>21</v>
      </c>
      <c r="Q1720" s="1">
        <f t="shared" ca="1" si="188"/>
        <v>4051</v>
      </c>
      <c r="S1720" s="1">
        <f t="shared" si="182"/>
        <v>67110</v>
      </c>
    </row>
    <row r="1721" spans="1:19" x14ac:dyDescent="0.2">
      <c r="A1721" s="57" t="s">
        <v>231</v>
      </c>
      <c r="B1721" s="57" t="s">
        <v>244</v>
      </c>
      <c r="C1721" s="57" t="s">
        <v>245</v>
      </c>
      <c r="D1721" s="58">
        <v>33.659999999999997</v>
      </c>
      <c r="E1721" s="59">
        <v>41083</v>
      </c>
      <c r="F1721" s="58">
        <v>67110</v>
      </c>
      <c r="G1721" s="58">
        <v>25800</v>
      </c>
      <c r="H1721" s="58">
        <v>9654</v>
      </c>
      <c r="I1721" s="58">
        <v>83095</v>
      </c>
      <c r="J1721" s="58">
        <v>0</v>
      </c>
      <c r="K1721" s="1">
        <f t="shared" si="183"/>
        <v>324953.63999999996</v>
      </c>
      <c r="L1721" s="1">
        <f t="shared" si="184"/>
        <v>9654</v>
      </c>
      <c r="M1721" s="1">
        <f>VLOOKUP(B1721,'[1]Срок Годности'!$A$2:$B$4,2,0)</f>
        <v>1500</v>
      </c>
      <c r="N1721" s="60">
        <f t="shared" si="185"/>
        <v>25800</v>
      </c>
      <c r="O1721" s="1" t="str">
        <f t="shared" si="186"/>
        <v>25 2012</v>
      </c>
      <c r="P1721" s="1">
        <f t="shared" si="187"/>
        <v>21</v>
      </c>
      <c r="Q1721" s="1">
        <f t="shared" ca="1" si="188"/>
        <v>4050</v>
      </c>
      <c r="S1721" s="1">
        <f t="shared" si="182"/>
        <v>83095</v>
      </c>
    </row>
    <row r="1722" spans="1:19" x14ac:dyDescent="0.2">
      <c r="A1722" s="57" t="s">
        <v>231</v>
      </c>
      <c r="B1722" s="57" t="s">
        <v>244</v>
      </c>
      <c r="C1722" s="57" t="s">
        <v>245</v>
      </c>
      <c r="D1722" s="58">
        <v>33.659999999999997</v>
      </c>
      <c r="E1722" s="59">
        <v>41084</v>
      </c>
      <c r="F1722" s="58">
        <v>83095</v>
      </c>
      <c r="G1722" s="58">
        <v>23612</v>
      </c>
      <c r="H1722" s="58">
        <v>11790</v>
      </c>
      <c r="I1722" s="58">
        <v>94913</v>
      </c>
      <c r="J1722" s="58">
        <v>2</v>
      </c>
      <c r="K1722" s="1">
        <f t="shared" si="183"/>
        <v>396851.39999999997</v>
      </c>
      <c r="L1722" s="1">
        <f t="shared" si="184"/>
        <v>11790</v>
      </c>
      <c r="M1722" s="1">
        <f>VLOOKUP(B1722,'[1]Срок Годности'!$A$2:$B$4,2,0)</f>
        <v>1500</v>
      </c>
      <c r="N1722" s="60">
        <f t="shared" si="185"/>
        <v>0</v>
      </c>
      <c r="O1722" s="1" t="str">
        <f t="shared" si="186"/>
        <v>26 2012</v>
      </c>
      <c r="P1722" s="1">
        <f t="shared" si="187"/>
        <v>21</v>
      </c>
      <c r="Q1722" s="1">
        <f t="shared" ca="1" si="188"/>
        <v>4049</v>
      </c>
      <c r="S1722" s="1">
        <f t="shared" si="182"/>
        <v>94911</v>
      </c>
    </row>
    <row r="1723" spans="1:19" x14ac:dyDescent="0.2">
      <c r="A1723" s="57" t="s">
        <v>231</v>
      </c>
      <c r="B1723" s="57" t="s">
        <v>244</v>
      </c>
      <c r="C1723" s="57" t="s">
        <v>245</v>
      </c>
      <c r="D1723" s="58">
        <v>33.659999999999997</v>
      </c>
      <c r="E1723" s="59">
        <v>41085</v>
      </c>
      <c r="F1723" s="58">
        <v>94913</v>
      </c>
      <c r="G1723" s="58">
        <v>14981</v>
      </c>
      <c r="H1723" s="58">
        <v>13358</v>
      </c>
      <c r="I1723" s="58">
        <v>96401</v>
      </c>
      <c r="J1723" s="58">
        <v>0</v>
      </c>
      <c r="K1723" s="1">
        <f t="shared" si="183"/>
        <v>449630.27999999997</v>
      </c>
      <c r="L1723" s="1">
        <f t="shared" si="184"/>
        <v>13358</v>
      </c>
      <c r="M1723" s="1">
        <f>VLOOKUP(B1723,'[1]Срок Годности'!$A$2:$B$4,2,0)</f>
        <v>1500</v>
      </c>
      <c r="N1723" s="60">
        <f t="shared" si="185"/>
        <v>14981</v>
      </c>
      <c r="O1723" s="1" t="str">
        <f t="shared" si="186"/>
        <v>26 2012</v>
      </c>
      <c r="P1723" s="1">
        <f t="shared" si="187"/>
        <v>21</v>
      </c>
      <c r="Q1723" s="1">
        <f t="shared" ca="1" si="188"/>
        <v>4048</v>
      </c>
      <c r="S1723" s="1">
        <f t="shared" si="182"/>
        <v>96401</v>
      </c>
    </row>
    <row r="1724" spans="1:19" x14ac:dyDescent="0.2">
      <c r="A1724" s="57" t="s">
        <v>231</v>
      </c>
      <c r="B1724" s="57" t="s">
        <v>244</v>
      </c>
      <c r="C1724" s="57" t="s">
        <v>245</v>
      </c>
      <c r="D1724" s="58">
        <v>33.659999999999997</v>
      </c>
      <c r="E1724" s="59">
        <v>41086</v>
      </c>
      <c r="F1724" s="58">
        <v>96401</v>
      </c>
      <c r="G1724" s="58">
        <v>11477</v>
      </c>
      <c r="H1724" s="58">
        <v>12293</v>
      </c>
      <c r="I1724" s="58">
        <v>95452</v>
      </c>
      <c r="J1724" s="58">
        <v>1</v>
      </c>
      <c r="K1724" s="1">
        <f t="shared" si="183"/>
        <v>413782.37999999995</v>
      </c>
      <c r="L1724" s="1">
        <f t="shared" si="184"/>
        <v>12293</v>
      </c>
      <c r="M1724" s="1">
        <f>VLOOKUP(B1724,'[1]Срок Годности'!$A$2:$B$4,2,0)</f>
        <v>1500</v>
      </c>
      <c r="N1724" s="60">
        <f t="shared" si="185"/>
        <v>11477</v>
      </c>
      <c r="O1724" s="1" t="str">
        <f t="shared" si="186"/>
        <v>26 2012</v>
      </c>
      <c r="P1724" s="1">
        <f t="shared" si="187"/>
        <v>21</v>
      </c>
      <c r="Q1724" s="1">
        <f t="shared" ca="1" si="188"/>
        <v>4047</v>
      </c>
      <c r="S1724" s="1">
        <f t="shared" si="182"/>
        <v>95451</v>
      </c>
    </row>
    <row r="1725" spans="1:19" x14ac:dyDescent="0.2">
      <c r="A1725" s="57" t="s">
        <v>231</v>
      </c>
      <c r="B1725" s="57" t="s">
        <v>244</v>
      </c>
      <c r="C1725" s="57" t="s">
        <v>245</v>
      </c>
      <c r="D1725" s="58">
        <v>33.659999999999997</v>
      </c>
      <c r="E1725" s="59">
        <v>41087</v>
      </c>
      <c r="F1725" s="58">
        <v>95452</v>
      </c>
      <c r="G1725" s="58">
        <v>14648</v>
      </c>
      <c r="H1725" s="58">
        <v>12097</v>
      </c>
      <c r="I1725" s="58">
        <v>97863</v>
      </c>
      <c r="J1725" s="58">
        <v>0</v>
      </c>
      <c r="K1725" s="1">
        <f t="shared" si="183"/>
        <v>407185.01999999996</v>
      </c>
      <c r="L1725" s="1">
        <f t="shared" si="184"/>
        <v>12097</v>
      </c>
      <c r="M1725" s="1">
        <f>VLOOKUP(B1725,'[1]Срок Годности'!$A$2:$B$4,2,0)</f>
        <v>1500</v>
      </c>
      <c r="N1725" s="60">
        <f t="shared" si="185"/>
        <v>14648</v>
      </c>
      <c r="O1725" s="1" t="str">
        <f t="shared" si="186"/>
        <v>26 2012</v>
      </c>
      <c r="P1725" s="1">
        <f t="shared" si="187"/>
        <v>21</v>
      </c>
      <c r="Q1725" s="1">
        <f t="shared" ca="1" si="188"/>
        <v>4046</v>
      </c>
      <c r="S1725" s="1">
        <f t="shared" si="182"/>
        <v>97863</v>
      </c>
    </row>
    <row r="1726" spans="1:19" x14ac:dyDescent="0.2">
      <c r="A1726" s="57" t="s">
        <v>231</v>
      </c>
      <c r="B1726" s="57" t="s">
        <v>244</v>
      </c>
      <c r="C1726" s="57" t="s">
        <v>245</v>
      </c>
      <c r="D1726" s="58">
        <v>33.659999999999997</v>
      </c>
      <c r="E1726" s="59">
        <v>41088</v>
      </c>
      <c r="F1726" s="58">
        <v>97863</v>
      </c>
      <c r="G1726" s="58">
        <v>9147</v>
      </c>
      <c r="H1726" s="58">
        <v>11891</v>
      </c>
      <c r="I1726" s="58">
        <v>95279</v>
      </c>
      <c r="J1726" s="58">
        <v>0</v>
      </c>
      <c r="K1726" s="1">
        <f t="shared" si="183"/>
        <v>400251.05999999994</v>
      </c>
      <c r="L1726" s="1">
        <f t="shared" si="184"/>
        <v>11891</v>
      </c>
      <c r="M1726" s="1">
        <f>VLOOKUP(B1726,'[1]Срок Годности'!$A$2:$B$4,2,0)</f>
        <v>1500</v>
      </c>
      <c r="N1726" s="60">
        <f t="shared" si="185"/>
        <v>9147</v>
      </c>
      <c r="O1726" s="1" t="str">
        <f t="shared" si="186"/>
        <v>26 2012</v>
      </c>
      <c r="P1726" s="1">
        <f t="shared" si="187"/>
        <v>21</v>
      </c>
      <c r="Q1726" s="1">
        <f t="shared" ca="1" si="188"/>
        <v>4045</v>
      </c>
      <c r="S1726" s="1">
        <f t="shared" si="182"/>
        <v>95279</v>
      </c>
    </row>
    <row r="1727" spans="1:19" x14ac:dyDescent="0.2">
      <c r="A1727" s="57" t="s">
        <v>231</v>
      </c>
      <c r="B1727" s="57" t="s">
        <v>244</v>
      </c>
      <c r="C1727" s="57" t="s">
        <v>245</v>
      </c>
      <c r="D1727" s="58">
        <v>33.659999999999997</v>
      </c>
      <c r="E1727" s="59">
        <v>41089</v>
      </c>
      <c r="F1727" s="58">
        <v>95279</v>
      </c>
      <c r="G1727" s="58">
        <v>10410</v>
      </c>
      <c r="H1727" s="58">
        <v>10903</v>
      </c>
      <c r="I1727" s="58">
        <v>94699</v>
      </c>
      <c r="J1727" s="58">
        <v>0</v>
      </c>
      <c r="K1727" s="1">
        <f t="shared" si="183"/>
        <v>366994.98</v>
      </c>
      <c r="L1727" s="1">
        <f t="shared" si="184"/>
        <v>10903</v>
      </c>
      <c r="M1727" s="1">
        <f>VLOOKUP(B1727,'[1]Срок Годности'!$A$2:$B$4,2,0)</f>
        <v>1500</v>
      </c>
      <c r="N1727" s="60">
        <f t="shared" si="185"/>
        <v>10410</v>
      </c>
      <c r="O1727" s="1" t="str">
        <f t="shared" si="186"/>
        <v>26 2012</v>
      </c>
      <c r="P1727" s="1">
        <f t="shared" si="187"/>
        <v>21</v>
      </c>
      <c r="Q1727" s="1">
        <f t="shared" ca="1" si="188"/>
        <v>4044</v>
      </c>
      <c r="S1727" s="1">
        <f t="shared" si="182"/>
        <v>94699</v>
      </c>
    </row>
    <row r="1728" spans="1:19" x14ac:dyDescent="0.2">
      <c r="A1728" s="57" t="s">
        <v>231</v>
      </c>
      <c r="B1728" s="57" t="s">
        <v>244</v>
      </c>
      <c r="C1728" s="57" t="s">
        <v>245</v>
      </c>
      <c r="D1728" s="58">
        <v>33.659999999999997</v>
      </c>
      <c r="E1728" s="59">
        <v>41090</v>
      </c>
      <c r="F1728" s="58">
        <v>94699</v>
      </c>
      <c r="G1728" s="58">
        <v>10917</v>
      </c>
      <c r="H1728" s="58">
        <v>11632</v>
      </c>
      <c r="I1728" s="58">
        <v>93949</v>
      </c>
      <c r="J1728" s="58">
        <v>0</v>
      </c>
      <c r="K1728" s="1">
        <f t="shared" si="183"/>
        <v>391533.11999999994</v>
      </c>
      <c r="L1728" s="1">
        <f t="shared" si="184"/>
        <v>11632</v>
      </c>
      <c r="M1728" s="1">
        <f>VLOOKUP(B1728,'[1]Срок Годности'!$A$2:$B$4,2,0)</f>
        <v>1500</v>
      </c>
      <c r="N1728" s="60">
        <f t="shared" si="185"/>
        <v>10917</v>
      </c>
      <c r="O1728" s="1" t="str">
        <f t="shared" si="186"/>
        <v>26 2012</v>
      </c>
      <c r="P1728" s="1">
        <f t="shared" si="187"/>
        <v>21</v>
      </c>
      <c r="Q1728" s="1">
        <f t="shared" ca="1" si="188"/>
        <v>4043</v>
      </c>
      <c r="S1728" s="1">
        <f t="shared" si="182"/>
        <v>93949</v>
      </c>
    </row>
    <row r="1729" spans="1:19" x14ac:dyDescent="0.2">
      <c r="A1729" s="57" t="s">
        <v>231</v>
      </c>
      <c r="B1729" s="57" t="s">
        <v>244</v>
      </c>
      <c r="C1729" s="57" t="s">
        <v>245</v>
      </c>
      <c r="D1729" s="58">
        <v>33.659999999999997</v>
      </c>
      <c r="E1729" s="59">
        <v>41091</v>
      </c>
      <c r="F1729" s="58">
        <v>93949</v>
      </c>
      <c r="G1729" s="58">
        <v>9304</v>
      </c>
      <c r="H1729" s="58">
        <v>13199</v>
      </c>
      <c r="I1729" s="58">
        <v>89972</v>
      </c>
      <c r="J1729" s="58">
        <v>0</v>
      </c>
      <c r="K1729" s="1">
        <f t="shared" si="183"/>
        <v>444278.33999999997</v>
      </c>
      <c r="L1729" s="1">
        <f t="shared" si="184"/>
        <v>13199</v>
      </c>
      <c r="M1729" s="1">
        <f>VLOOKUP(B1729,'[1]Срок Годности'!$A$2:$B$4,2,0)</f>
        <v>1500</v>
      </c>
      <c r="N1729" s="60">
        <f t="shared" si="185"/>
        <v>0</v>
      </c>
      <c r="O1729" s="1" t="str">
        <f t="shared" si="186"/>
        <v>27 2012</v>
      </c>
      <c r="P1729" s="1">
        <f t="shared" si="187"/>
        <v>21</v>
      </c>
      <c r="Q1729" s="1">
        <f t="shared" ca="1" si="188"/>
        <v>4042</v>
      </c>
      <c r="S1729" s="1">
        <f t="shared" si="182"/>
        <v>89972</v>
      </c>
    </row>
    <row r="1730" spans="1:19" x14ac:dyDescent="0.2">
      <c r="A1730" s="57" t="s">
        <v>231</v>
      </c>
      <c r="B1730" s="57" t="s">
        <v>244</v>
      </c>
      <c r="C1730" s="57" t="s">
        <v>245</v>
      </c>
      <c r="D1730" s="58">
        <v>33.659999999999997</v>
      </c>
      <c r="E1730" s="59">
        <v>41092</v>
      </c>
      <c r="F1730" s="58">
        <v>89972</v>
      </c>
      <c r="G1730" s="58">
        <v>9763</v>
      </c>
      <c r="H1730" s="58">
        <v>14998</v>
      </c>
      <c r="I1730" s="58">
        <v>84678</v>
      </c>
      <c r="J1730" s="58">
        <v>0</v>
      </c>
      <c r="K1730" s="1">
        <f t="shared" si="183"/>
        <v>504832.67999999993</v>
      </c>
      <c r="L1730" s="1">
        <f t="shared" si="184"/>
        <v>14998</v>
      </c>
      <c r="M1730" s="1">
        <f>VLOOKUP(B1730,'[1]Срок Годности'!$A$2:$B$4,2,0)</f>
        <v>1500</v>
      </c>
      <c r="N1730" s="60">
        <f t="shared" si="185"/>
        <v>9763</v>
      </c>
      <c r="O1730" s="1" t="str">
        <f t="shared" si="186"/>
        <v>27 2012</v>
      </c>
      <c r="P1730" s="1">
        <f t="shared" si="187"/>
        <v>21</v>
      </c>
      <c r="Q1730" s="1">
        <f t="shared" ca="1" si="188"/>
        <v>4041</v>
      </c>
      <c r="S1730" s="1">
        <f t="shared" si="182"/>
        <v>84678</v>
      </c>
    </row>
    <row r="1731" spans="1:19" x14ac:dyDescent="0.2">
      <c r="A1731" s="57" t="s">
        <v>231</v>
      </c>
      <c r="B1731" s="57" t="s">
        <v>244</v>
      </c>
      <c r="C1731" s="57" t="s">
        <v>245</v>
      </c>
      <c r="D1731" s="58">
        <v>33.659999999999997</v>
      </c>
      <c r="E1731" s="59">
        <v>41093</v>
      </c>
      <c r="F1731" s="58">
        <v>84678</v>
      </c>
      <c r="G1731" s="58">
        <v>10664</v>
      </c>
      <c r="H1731" s="58">
        <v>14581</v>
      </c>
      <c r="I1731" s="58">
        <v>80699</v>
      </c>
      <c r="J1731" s="58">
        <v>0</v>
      </c>
      <c r="K1731" s="1">
        <f t="shared" si="183"/>
        <v>490796.45999999996</v>
      </c>
      <c r="L1731" s="1">
        <f t="shared" si="184"/>
        <v>14581</v>
      </c>
      <c r="M1731" s="1">
        <f>VLOOKUP(B1731,'[1]Срок Годности'!$A$2:$B$4,2,0)</f>
        <v>1500</v>
      </c>
      <c r="N1731" s="60">
        <f t="shared" si="185"/>
        <v>10664</v>
      </c>
      <c r="O1731" s="1" t="str">
        <f t="shared" si="186"/>
        <v>27 2012</v>
      </c>
      <c r="P1731" s="1">
        <f t="shared" si="187"/>
        <v>21</v>
      </c>
      <c r="Q1731" s="1">
        <f t="shared" ca="1" si="188"/>
        <v>4040</v>
      </c>
      <c r="S1731" s="1">
        <f t="shared" si="182"/>
        <v>80699</v>
      </c>
    </row>
    <row r="1732" spans="1:19" x14ac:dyDescent="0.2">
      <c r="A1732" s="57" t="s">
        <v>231</v>
      </c>
      <c r="B1732" s="57" t="s">
        <v>244</v>
      </c>
      <c r="C1732" s="57" t="s">
        <v>245</v>
      </c>
      <c r="D1732" s="58">
        <v>33.659999999999997</v>
      </c>
      <c r="E1732" s="59">
        <v>41094</v>
      </c>
      <c r="F1732" s="58">
        <v>80699</v>
      </c>
      <c r="G1732" s="58">
        <v>16354</v>
      </c>
      <c r="H1732" s="58">
        <v>14994</v>
      </c>
      <c r="I1732" s="58">
        <v>81958</v>
      </c>
      <c r="J1732" s="58">
        <v>0</v>
      </c>
      <c r="K1732" s="1">
        <f t="shared" si="183"/>
        <v>504698.03999999992</v>
      </c>
      <c r="L1732" s="1">
        <f t="shared" si="184"/>
        <v>14994</v>
      </c>
      <c r="M1732" s="1">
        <f>VLOOKUP(B1732,'[1]Срок Годности'!$A$2:$B$4,2,0)</f>
        <v>1500</v>
      </c>
      <c r="N1732" s="60">
        <f t="shared" si="185"/>
        <v>16354</v>
      </c>
      <c r="O1732" s="1" t="str">
        <f t="shared" si="186"/>
        <v>27 2012</v>
      </c>
      <c r="P1732" s="1">
        <f t="shared" si="187"/>
        <v>21</v>
      </c>
      <c r="Q1732" s="1">
        <f t="shared" ca="1" si="188"/>
        <v>4039</v>
      </c>
      <c r="S1732" s="1">
        <f t="shared" si="182"/>
        <v>81958</v>
      </c>
    </row>
    <row r="1733" spans="1:19" x14ac:dyDescent="0.2">
      <c r="A1733" s="57" t="s">
        <v>231</v>
      </c>
      <c r="B1733" s="57" t="s">
        <v>244</v>
      </c>
      <c r="C1733" s="57" t="s">
        <v>245</v>
      </c>
      <c r="D1733" s="58">
        <v>33.659999999999997</v>
      </c>
      <c r="E1733" s="59">
        <v>41095</v>
      </c>
      <c r="F1733" s="58">
        <v>81958</v>
      </c>
      <c r="G1733" s="58">
        <v>7014</v>
      </c>
      <c r="H1733" s="58">
        <v>14189</v>
      </c>
      <c r="I1733" s="58">
        <v>74666</v>
      </c>
      <c r="J1733" s="58">
        <v>0</v>
      </c>
      <c r="K1733" s="1">
        <f t="shared" si="183"/>
        <v>477601.73999999993</v>
      </c>
      <c r="L1733" s="1">
        <f t="shared" si="184"/>
        <v>14189</v>
      </c>
      <c r="M1733" s="1">
        <f>VLOOKUP(B1733,'[1]Срок Годности'!$A$2:$B$4,2,0)</f>
        <v>1500</v>
      </c>
      <c r="N1733" s="60">
        <f t="shared" si="185"/>
        <v>7014</v>
      </c>
      <c r="O1733" s="1" t="str">
        <f t="shared" si="186"/>
        <v>27 2012</v>
      </c>
      <c r="P1733" s="1">
        <f t="shared" si="187"/>
        <v>21</v>
      </c>
      <c r="Q1733" s="1">
        <f t="shared" ca="1" si="188"/>
        <v>4038</v>
      </c>
      <c r="S1733" s="1">
        <f t="shared" si="182"/>
        <v>74666</v>
      </c>
    </row>
    <row r="1734" spans="1:19" x14ac:dyDescent="0.2">
      <c r="A1734" s="57" t="s">
        <v>231</v>
      </c>
      <c r="B1734" s="57" t="s">
        <v>244</v>
      </c>
      <c r="C1734" s="57" t="s">
        <v>245</v>
      </c>
      <c r="D1734" s="58">
        <v>33.659999999999997</v>
      </c>
      <c r="E1734" s="59">
        <v>41096</v>
      </c>
      <c r="F1734" s="58">
        <v>74666</v>
      </c>
      <c r="G1734" s="58">
        <v>54</v>
      </c>
      <c r="H1734" s="58">
        <v>13397</v>
      </c>
      <c r="I1734" s="58">
        <v>61219</v>
      </c>
      <c r="J1734" s="58">
        <v>0</v>
      </c>
      <c r="K1734" s="1">
        <f t="shared" si="183"/>
        <v>450943.01999999996</v>
      </c>
      <c r="L1734" s="1">
        <f t="shared" si="184"/>
        <v>13397</v>
      </c>
      <c r="M1734" s="1">
        <f>VLOOKUP(B1734,'[1]Срок Годности'!$A$2:$B$4,2,0)</f>
        <v>1500</v>
      </c>
      <c r="N1734" s="60">
        <f t="shared" si="185"/>
        <v>54</v>
      </c>
      <c r="O1734" s="1" t="str">
        <f t="shared" si="186"/>
        <v>27 2012</v>
      </c>
      <c r="P1734" s="1">
        <f t="shared" si="187"/>
        <v>21</v>
      </c>
      <c r="Q1734" s="1">
        <f t="shared" ca="1" si="188"/>
        <v>4037</v>
      </c>
      <c r="S1734" s="1">
        <f t="shared" si="182"/>
        <v>61219</v>
      </c>
    </row>
    <row r="1735" spans="1:19" x14ac:dyDescent="0.2">
      <c r="A1735" s="57" t="s">
        <v>231</v>
      </c>
      <c r="B1735" s="57" t="s">
        <v>244</v>
      </c>
      <c r="C1735" s="57" t="s">
        <v>245</v>
      </c>
      <c r="D1735" s="58">
        <v>33.659999999999997</v>
      </c>
      <c r="E1735" s="59">
        <v>41097</v>
      </c>
      <c r="F1735" s="58">
        <v>61219</v>
      </c>
      <c r="G1735" s="58">
        <v>31026</v>
      </c>
      <c r="H1735" s="58">
        <v>12898</v>
      </c>
      <c r="I1735" s="58">
        <v>79197</v>
      </c>
      <c r="J1735" s="58">
        <v>0</v>
      </c>
      <c r="K1735" s="1">
        <f t="shared" si="183"/>
        <v>434146.67999999993</v>
      </c>
      <c r="L1735" s="1">
        <f t="shared" si="184"/>
        <v>12898</v>
      </c>
      <c r="M1735" s="1">
        <f>VLOOKUP(B1735,'[1]Срок Годности'!$A$2:$B$4,2,0)</f>
        <v>1500</v>
      </c>
      <c r="N1735" s="60">
        <f t="shared" si="185"/>
        <v>31026</v>
      </c>
      <c r="O1735" s="1" t="str">
        <f t="shared" si="186"/>
        <v>27 2012</v>
      </c>
      <c r="P1735" s="1">
        <f t="shared" si="187"/>
        <v>21</v>
      </c>
      <c r="Q1735" s="1">
        <f t="shared" ca="1" si="188"/>
        <v>4036</v>
      </c>
      <c r="S1735" s="1">
        <f t="shared" ref="S1735:S1798" si="189">I1735-J1735</f>
        <v>79197</v>
      </c>
    </row>
    <row r="1736" spans="1:19" x14ac:dyDescent="0.2">
      <c r="A1736" s="57" t="s">
        <v>231</v>
      </c>
      <c r="B1736" s="57" t="s">
        <v>244</v>
      </c>
      <c r="C1736" s="57" t="s">
        <v>245</v>
      </c>
      <c r="D1736" s="58">
        <v>33.659999999999997</v>
      </c>
      <c r="E1736" s="59">
        <v>41098</v>
      </c>
      <c r="F1736" s="58">
        <v>79197</v>
      </c>
      <c r="G1736" s="58">
        <v>18203</v>
      </c>
      <c r="H1736" s="58">
        <v>13493</v>
      </c>
      <c r="I1736" s="58">
        <v>83630</v>
      </c>
      <c r="J1736" s="58">
        <v>0</v>
      </c>
      <c r="K1736" s="1">
        <f t="shared" ref="K1736:K1799" si="190">H1736*D1736</f>
        <v>454174.37999999995</v>
      </c>
      <c r="L1736" s="1">
        <f t="shared" ref="L1736:L1799" si="191">IF(H1736&gt;1000,H1736,"")</f>
        <v>13493</v>
      </c>
      <c r="M1736" s="1">
        <f>VLOOKUP(B1736,'[1]Срок Годности'!$A$2:$B$4,2,0)</f>
        <v>1500</v>
      </c>
      <c r="N1736" s="60">
        <f t="shared" ref="N1736:N1799" si="192">IF(WEEKDAY(E1736) = 1, 0, G1736)</f>
        <v>0</v>
      </c>
      <c r="O1736" s="1" t="str">
        <f t="shared" ref="O1736:O1799" si="193">WEEKNUM(E1736) &amp; " " &amp; YEAR(E1736)</f>
        <v>28 2012</v>
      </c>
      <c r="P1736" s="1">
        <f t="shared" ref="P1736:P1799" si="194">LEN(C1736)</f>
        <v>21</v>
      </c>
      <c r="Q1736" s="1">
        <f t="shared" ref="Q1736:Q1799" ca="1" si="195">DATEDIF(E1736,NOW(),"D")</f>
        <v>4035</v>
      </c>
      <c r="S1736" s="1">
        <f t="shared" si="189"/>
        <v>83630</v>
      </c>
    </row>
    <row r="1737" spans="1:19" x14ac:dyDescent="0.2">
      <c r="A1737" s="57" t="s">
        <v>231</v>
      </c>
      <c r="B1737" s="57" t="s">
        <v>244</v>
      </c>
      <c r="C1737" s="57" t="s">
        <v>245</v>
      </c>
      <c r="D1737" s="58">
        <v>33.659999999999997</v>
      </c>
      <c r="E1737" s="59">
        <v>41099</v>
      </c>
      <c r="F1737" s="58">
        <v>83630</v>
      </c>
      <c r="G1737" s="58">
        <v>992</v>
      </c>
      <c r="H1737" s="58">
        <v>13033</v>
      </c>
      <c r="I1737" s="58">
        <v>71388</v>
      </c>
      <c r="J1737" s="58">
        <v>0</v>
      </c>
      <c r="K1737" s="1">
        <f t="shared" si="190"/>
        <v>438690.77999999997</v>
      </c>
      <c r="L1737" s="1">
        <f t="shared" si="191"/>
        <v>13033</v>
      </c>
      <c r="M1737" s="1">
        <f>VLOOKUP(B1737,'[1]Срок Годности'!$A$2:$B$4,2,0)</f>
        <v>1500</v>
      </c>
      <c r="N1737" s="60">
        <f t="shared" si="192"/>
        <v>992</v>
      </c>
      <c r="O1737" s="1" t="str">
        <f t="shared" si="193"/>
        <v>28 2012</v>
      </c>
      <c r="P1737" s="1">
        <f t="shared" si="194"/>
        <v>21</v>
      </c>
      <c r="Q1737" s="1">
        <f t="shared" ca="1" si="195"/>
        <v>4034</v>
      </c>
      <c r="S1737" s="1">
        <f t="shared" si="189"/>
        <v>71388</v>
      </c>
    </row>
    <row r="1738" spans="1:19" x14ac:dyDescent="0.2">
      <c r="A1738" s="57" t="s">
        <v>231</v>
      </c>
      <c r="B1738" s="57" t="s">
        <v>244</v>
      </c>
      <c r="C1738" s="57" t="s">
        <v>245</v>
      </c>
      <c r="D1738" s="58">
        <v>33.659999999999997</v>
      </c>
      <c r="E1738" s="59">
        <v>41100</v>
      </c>
      <c r="F1738" s="58">
        <v>71388</v>
      </c>
      <c r="G1738" s="58">
        <v>20026</v>
      </c>
      <c r="H1738" s="58">
        <v>11278</v>
      </c>
      <c r="I1738" s="58">
        <v>79928</v>
      </c>
      <c r="J1738" s="58">
        <v>0</v>
      </c>
      <c r="K1738" s="1">
        <f t="shared" si="190"/>
        <v>379617.48</v>
      </c>
      <c r="L1738" s="1">
        <f t="shared" si="191"/>
        <v>11278</v>
      </c>
      <c r="M1738" s="1">
        <f>VLOOKUP(B1738,'[1]Срок Годности'!$A$2:$B$4,2,0)</f>
        <v>1500</v>
      </c>
      <c r="N1738" s="60">
        <f t="shared" si="192"/>
        <v>20026</v>
      </c>
      <c r="O1738" s="1" t="str">
        <f t="shared" si="193"/>
        <v>28 2012</v>
      </c>
      <c r="P1738" s="1">
        <f t="shared" si="194"/>
        <v>21</v>
      </c>
      <c r="Q1738" s="1">
        <f t="shared" ca="1" si="195"/>
        <v>4033</v>
      </c>
      <c r="S1738" s="1">
        <f t="shared" si="189"/>
        <v>79928</v>
      </c>
    </row>
    <row r="1739" spans="1:19" x14ac:dyDescent="0.2">
      <c r="A1739" s="57" t="s">
        <v>231</v>
      </c>
      <c r="B1739" s="57" t="s">
        <v>244</v>
      </c>
      <c r="C1739" s="57" t="s">
        <v>245</v>
      </c>
      <c r="D1739" s="58">
        <v>33.659999999999997</v>
      </c>
      <c r="E1739" s="59">
        <v>41101</v>
      </c>
      <c r="F1739" s="58">
        <v>79928</v>
      </c>
      <c r="G1739" s="58">
        <v>29610</v>
      </c>
      <c r="H1739" s="58">
        <v>10591</v>
      </c>
      <c r="I1739" s="58">
        <v>98735</v>
      </c>
      <c r="J1739" s="58">
        <v>0</v>
      </c>
      <c r="K1739" s="1">
        <f t="shared" si="190"/>
        <v>356493.05999999994</v>
      </c>
      <c r="L1739" s="1">
        <f t="shared" si="191"/>
        <v>10591</v>
      </c>
      <c r="M1739" s="1">
        <f>VLOOKUP(B1739,'[1]Срок Годности'!$A$2:$B$4,2,0)</f>
        <v>1500</v>
      </c>
      <c r="N1739" s="60">
        <f t="shared" si="192"/>
        <v>29610</v>
      </c>
      <c r="O1739" s="1" t="str">
        <f t="shared" si="193"/>
        <v>28 2012</v>
      </c>
      <c r="P1739" s="1">
        <f t="shared" si="194"/>
        <v>21</v>
      </c>
      <c r="Q1739" s="1">
        <f t="shared" ca="1" si="195"/>
        <v>4032</v>
      </c>
      <c r="S1739" s="1">
        <f t="shared" si="189"/>
        <v>98735</v>
      </c>
    </row>
    <row r="1740" spans="1:19" x14ac:dyDescent="0.2">
      <c r="A1740" s="57" t="s">
        <v>231</v>
      </c>
      <c r="B1740" s="57" t="s">
        <v>244</v>
      </c>
      <c r="C1740" s="57" t="s">
        <v>245</v>
      </c>
      <c r="D1740" s="58">
        <v>33.659999999999997</v>
      </c>
      <c r="E1740" s="59">
        <v>41102</v>
      </c>
      <c r="F1740" s="58">
        <v>98735</v>
      </c>
      <c r="G1740" s="58">
        <v>12577</v>
      </c>
      <c r="H1740" s="58">
        <v>11109</v>
      </c>
      <c r="I1740" s="58">
        <v>100008</v>
      </c>
      <c r="J1740" s="58">
        <v>1</v>
      </c>
      <c r="K1740" s="1">
        <f t="shared" si="190"/>
        <v>373928.93999999994</v>
      </c>
      <c r="L1740" s="1">
        <f t="shared" si="191"/>
        <v>11109</v>
      </c>
      <c r="M1740" s="1">
        <f>VLOOKUP(B1740,'[1]Срок Годности'!$A$2:$B$4,2,0)</f>
        <v>1500</v>
      </c>
      <c r="N1740" s="60">
        <f t="shared" si="192"/>
        <v>12577</v>
      </c>
      <c r="O1740" s="1" t="str">
        <f t="shared" si="193"/>
        <v>28 2012</v>
      </c>
      <c r="P1740" s="1">
        <f t="shared" si="194"/>
        <v>21</v>
      </c>
      <c r="Q1740" s="1">
        <f t="shared" ca="1" si="195"/>
        <v>4031</v>
      </c>
      <c r="S1740" s="1">
        <f t="shared" si="189"/>
        <v>100007</v>
      </c>
    </row>
    <row r="1741" spans="1:19" x14ac:dyDescent="0.2">
      <c r="A1741" s="57" t="s">
        <v>231</v>
      </c>
      <c r="B1741" s="57" t="s">
        <v>244</v>
      </c>
      <c r="C1741" s="57" t="s">
        <v>245</v>
      </c>
      <c r="D1741" s="58">
        <v>33.659999999999997</v>
      </c>
      <c r="E1741" s="59">
        <v>41103</v>
      </c>
      <c r="F1741" s="58">
        <v>100008</v>
      </c>
      <c r="G1741" s="58">
        <v>9398</v>
      </c>
      <c r="H1741" s="58">
        <v>9279</v>
      </c>
      <c r="I1741" s="58">
        <v>99958</v>
      </c>
      <c r="J1741" s="58">
        <v>3</v>
      </c>
      <c r="K1741" s="1">
        <f t="shared" si="190"/>
        <v>312331.13999999996</v>
      </c>
      <c r="L1741" s="1">
        <f t="shared" si="191"/>
        <v>9279</v>
      </c>
      <c r="M1741" s="1">
        <f>VLOOKUP(B1741,'[1]Срок Годности'!$A$2:$B$4,2,0)</f>
        <v>1500</v>
      </c>
      <c r="N1741" s="60">
        <f t="shared" si="192"/>
        <v>9398</v>
      </c>
      <c r="O1741" s="1" t="str">
        <f t="shared" si="193"/>
        <v>28 2012</v>
      </c>
      <c r="P1741" s="1">
        <f t="shared" si="194"/>
        <v>21</v>
      </c>
      <c r="Q1741" s="1">
        <f t="shared" ca="1" si="195"/>
        <v>4030</v>
      </c>
      <c r="S1741" s="1">
        <f t="shared" si="189"/>
        <v>99955</v>
      </c>
    </row>
    <row r="1742" spans="1:19" x14ac:dyDescent="0.2">
      <c r="A1742" s="57" t="s">
        <v>231</v>
      </c>
      <c r="B1742" s="57" t="s">
        <v>244</v>
      </c>
      <c r="C1742" s="57" t="s">
        <v>245</v>
      </c>
      <c r="D1742" s="58">
        <v>33.659999999999997</v>
      </c>
      <c r="E1742" s="59">
        <v>41104</v>
      </c>
      <c r="F1742" s="58">
        <v>99958</v>
      </c>
      <c r="G1742" s="58">
        <v>7071</v>
      </c>
      <c r="H1742" s="58">
        <v>9812</v>
      </c>
      <c r="I1742" s="58">
        <v>97067</v>
      </c>
      <c r="J1742" s="58">
        <v>0</v>
      </c>
      <c r="K1742" s="1">
        <f t="shared" si="190"/>
        <v>330271.92</v>
      </c>
      <c r="L1742" s="1">
        <f t="shared" si="191"/>
        <v>9812</v>
      </c>
      <c r="M1742" s="1">
        <f>VLOOKUP(B1742,'[1]Срок Годности'!$A$2:$B$4,2,0)</f>
        <v>1500</v>
      </c>
      <c r="N1742" s="60">
        <f t="shared" si="192"/>
        <v>7071</v>
      </c>
      <c r="O1742" s="1" t="str">
        <f t="shared" si="193"/>
        <v>28 2012</v>
      </c>
      <c r="P1742" s="1">
        <f t="shared" si="194"/>
        <v>21</v>
      </c>
      <c r="Q1742" s="1">
        <f t="shared" ca="1" si="195"/>
        <v>4029</v>
      </c>
      <c r="S1742" s="1">
        <f t="shared" si="189"/>
        <v>97067</v>
      </c>
    </row>
    <row r="1743" spans="1:19" x14ac:dyDescent="0.2">
      <c r="A1743" s="57" t="s">
        <v>231</v>
      </c>
      <c r="B1743" s="57" t="s">
        <v>244</v>
      </c>
      <c r="C1743" s="57" t="s">
        <v>245</v>
      </c>
      <c r="D1743" s="58">
        <v>33.659999999999997</v>
      </c>
      <c r="E1743" s="59">
        <v>41105</v>
      </c>
      <c r="F1743" s="58">
        <v>97067</v>
      </c>
      <c r="G1743" s="58">
        <v>6088</v>
      </c>
      <c r="H1743" s="58">
        <v>10042</v>
      </c>
      <c r="I1743" s="58">
        <v>92981</v>
      </c>
      <c r="J1743" s="58">
        <v>0</v>
      </c>
      <c r="K1743" s="1">
        <f t="shared" si="190"/>
        <v>338013.72</v>
      </c>
      <c r="L1743" s="1">
        <f t="shared" si="191"/>
        <v>10042</v>
      </c>
      <c r="M1743" s="1">
        <f>VLOOKUP(B1743,'[1]Срок Годности'!$A$2:$B$4,2,0)</f>
        <v>1500</v>
      </c>
      <c r="N1743" s="60">
        <f t="shared" si="192"/>
        <v>0</v>
      </c>
      <c r="O1743" s="1" t="str">
        <f t="shared" si="193"/>
        <v>29 2012</v>
      </c>
      <c r="P1743" s="1">
        <f t="shared" si="194"/>
        <v>21</v>
      </c>
      <c r="Q1743" s="1">
        <f t="shared" ca="1" si="195"/>
        <v>4028</v>
      </c>
      <c r="S1743" s="1">
        <f t="shared" si="189"/>
        <v>92981</v>
      </c>
    </row>
    <row r="1744" spans="1:19" x14ac:dyDescent="0.2">
      <c r="A1744" s="57" t="s">
        <v>231</v>
      </c>
      <c r="B1744" s="57" t="s">
        <v>244</v>
      </c>
      <c r="C1744" s="57" t="s">
        <v>245</v>
      </c>
      <c r="D1744" s="58">
        <v>33.659999999999997</v>
      </c>
      <c r="E1744" s="59">
        <v>41106</v>
      </c>
      <c r="F1744" s="58">
        <v>92981</v>
      </c>
      <c r="G1744" s="58">
        <v>5532</v>
      </c>
      <c r="H1744" s="58">
        <v>10961</v>
      </c>
      <c r="I1744" s="58">
        <v>87410</v>
      </c>
      <c r="J1744" s="58">
        <v>0</v>
      </c>
      <c r="K1744" s="1">
        <f t="shared" si="190"/>
        <v>368947.25999999995</v>
      </c>
      <c r="L1744" s="1">
        <f t="shared" si="191"/>
        <v>10961</v>
      </c>
      <c r="M1744" s="1">
        <f>VLOOKUP(B1744,'[1]Срок Годности'!$A$2:$B$4,2,0)</f>
        <v>1500</v>
      </c>
      <c r="N1744" s="60">
        <f t="shared" si="192"/>
        <v>5532</v>
      </c>
      <c r="O1744" s="1" t="str">
        <f t="shared" si="193"/>
        <v>29 2012</v>
      </c>
      <c r="P1744" s="1">
        <f t="shared" si="194"/>
        <v>21</v>
      </c>
      <c r="Q1744" s="1">
        <f t="shared" ca="1" si="195"/>
        <v>4027</v>
      </c>
      <c r="S1744" s="1">
        <f t="shared" si="189"/>
        <v>87410</v>
      </c>
    </row>
    <row r="1745" spans="1:19" x14ac:dyDescent="0.2">
      <c r="A1745" s="57" t="s">
        <v>231</v>
      </c>
      <c r="B1745" s="57" t="s">
        <v>244</v>
      </c>
      <c r="C1745" s="57" t="s">
        <v>245</v>
      </c>
      <c r="D1745" s="58">
        <v>33.659999999999997</v>
      </c>
      <c r="E1745" s="59">
        <v>41107</v>
      </c>
      <c r="F1745" s="58">
        <v>87410</v>
      </c>
      <c r="G1745" s="58">
        <v>6391</v>
      </c>
      <c r="H1745" s="58">
        <v>9761</v>
      </c>
      <c r="I1745" s="58">
        <v>84029</v>
      </c>
      <c r="J1745" s="58">
        <v>0</v>
      </c>
      <c r="K1745" s="1">
        <f t="shared" si="190"/>
        <v>328555.25999999995</v>
      </c>
      <c r="L1745" s="1">
        <f t="shared" si="191"/>
        <v>9761</v>
      </c>
      <c r="M1745" s="1">
        <f>VLOOKUP(B1745,'[1]Срок Годности'!$A$2:$B$4,2,0)</f>
        <v>1500</v>
      </c>
      <c r="N1745" s="60">
        <f t="shared" si="192"/>
        <v>6391</v>
      </c>
      <c r="O1745" s="1" t="str">
        <f t="shared" si="193"/>
        <v>29 2012</v>
      </c>
      <c r="P1745" s="1">
        <f t="shared" si="194"/>
        <v>21</v>
      </c>
      <c r="Q1745" s="1">
        <f t="shared" ca="1" si="195"/>
        <v>4026</v>
      </c>
      <c r="S1745" s="1">
        <f t="shared" si="189"/>
        <v>84029</v>
      </c>
    </row>
    <row r="1746" spans="1:19" x14ac:dyDescent="0.2">
      <c r="A1746" s="57" t="s">
        <v>231</v>
      </c>
      <c r="B1746" s="57" t="s">
        <v>237</v>
      </c>
      <c r="C1746" s="57" t="s">
        <v>238</v>
      </c>
      <c r="D1746" s="58">
        <v>165.05</v>
      </c>
      <c r="E1746" s="59">
        <v>41061</v>
      </c>
      <c r="F1746" s="58">
        <v>10761</v>
      </c>
      <c r="G1746" s="58">
        <v>1327</v>
      </c>
      <c r="H1746" s="58">
        <v>1518</v>
      </c>
      <c r="I1746" s="58">
        <v>10518</v>
      </c>
      <c r="J1746" s="58">
        <v>0</v>
      </c>
      <c r="K1746" s="1">
        <f t="shared" si="190"/>
        <v>250545.90000000002</v>
      </c>
      <c r="L1746" s="1">
        <f t="shared" si="191"/>
        <v>1518</v>
      </c>
      <c r="M1746" s="1">
        <f>VLOOKUP(B1746,'[1]Срок Годности'!$A$2:$B$4,2,0)</f>
        <v>1000</v>
      </c>
      <c r="N1746" s="60">
        <f t="shared" si="192"/>
        <v>1327</v>
      </c>
      <c r="O1746" s="1" t="str">
        <f t="shared" si="193"/>
        <v>22 2012</v>
      </c>
      <c r="P1746" s="1">
        <f t="shared" si="194"/>
        <v>22</v>
      </c>
      <c r="Q1746" s="1">
        <f t="shared" ca="1" si="195"/>
        <v>4072</v>
      </c>
      <c r="S1746" s="1">
        <f t="shared" si="189"/>
        <v>10518</v>
      </c>
    </row>
    <row r="1747" spans="1:19" x14ac:dyDescent="0.2">
      <c r="A1747" s="57" t="s">
        <v>231</v>
      </c>
      <c r="B1747" s="57" t="s">
        <v>237</v>
      </c>
      <c r="C1747" s="57" t="s">
        <v>238</v>
      </c>
      <c r="D1747" s="58">
        <v>165.05</v>
      </c>
      <c r="E1747" s="59">
        <v>41062</v>
      </c>
      <c r="F1747" s="58">
        <v>10518</v>
      </c>
      <c r="G1747" s="58">
        <v>1322</v>
      </c>
      <c r="H1747" s="58">
        <v>1654</v>
      </c>
      <c r="I1747" s="58">
        <v>10159</v>
      </c>
      <c r="J1747" s="58">
        <v>0</v>
      </c>
      <c r="K1747" s="1">
        <f t="shared" si="190"/>
        <v>272992.7</v>
      </c>
      <c r="L1747" s="1">
        <f t="shared" si="191"/>
        <v>1654</v>
      </c>
      <c r="M1747" s="1">
        <f>VLOOKUP(B1747,'[1]Срок Годности'!$A$2:$B$4,2,0)</f>
        <v>1000</v>
      </c>
      <c r="N1747" s="60">
        <f t="shared" si="192"/>
        <v>1322</v>
      </c>
      <c r="O1747" s="1" t="str">
        <f t="shared" si="193"/>
        <v>22 2012</v>
      </c>
      <c r="P1747" s="1">
        <f t="shared" si="194"/>
        <v>22</v>
      </c>
      <c r="Q1747" s="1">
        <f t="shared" ca="1" si="195"/>
        <v>4071</v>
      </c>
      <c r="S1747" s="1">
        <f t="shared" si="189"/>
        <v>10159</v>
      </c>
    </row>
    <row r="1748" spans="1:19" x14ac:dyDescent="0.2">
      <c r="A1748" s="57" t="s">
        <v>231</v>
      </c>
      <c r="B1748" s="57" t="s">
        <v>237</v>
      </c>
      <c r="C1748" s="57" t="s">
        <v>238</v>
      </c>
      <c r="D1748" s="58">
        <v>165.05</v>
      </c>
      <c r="E1748" s="59">
        <v>41063</v>
      </c>
      <c r="F1748" s="58">
        <v>10159</v>
      </c>
      <c r="G1748" s="58">
        <v>1767</v>
      </c>
      <c r="H1748" s="58">
        <v>1770</v>
      </c>
      <c r="I1748" s="58">
        <v>10138</v>
      </c>
      <c r="J1748" s="58">
        <v>0</v>
      </c>
      <c r="K1748" s="1">
        <f t="shared" si="190"/>
        <v>292138.5</v>
      </c>
      <c r="L1748" s="1">
        <f t="shared" si="191"/>
        <v>1770</v>
      </c>
      <c r="M1748" s="1">
        <f>VLOOKUP(B1748,'[1]Срок Годности'!$A$2:$B$4,2,0)</f>
        <v>1000</v>
      </c>
      <c r="N1748" s="60">
        <f t="shared" si="192"/>
        <v>0</v>
      </c>
      <c r="O1748" s="1" t="str">
        <f t="shared" si="193"/>
        <v>23 2012</v>
      </c>
      <c r="P1748" s="1">
        <f t="shared" si="194"/>
        <v>22</v>
      </c>
      <c r="Q1748" s="1">
        <f t="shared" ca="1" si="195"/>
        <v>4070</v>
      </c>
      <c r="S1748" s="1">
        <f t="shared" si="189"/>
        <v>10138</v>
      </c>
    </row>
    <row r="1749" spans="1:19" x14ac:dyDescent="0.2">
      <c r="A1749" s="57" t="s">
        <v>231</v>
      </c>
      <c r="B1749" s="57" t="s">
        <v>237</v>
      </c>
      <c r="C1749" s="57" t="s">
        <v>238</v>
      </c>
      <c r="D1749" s="58">
        <v>165.05</v>
      </c>
      <c r="E1749" s="59">
        <v>41064</v>
      </c>
      <c r="F1749" s="58">
        <v>10138</v>
      </c>
      <c r="G1749" s="58">
        <v>1860</v>
      </c>
      <c r="H1749" s="58">
        <v>1982</v>
      </c>
      <c r="I1749" s="58">
        <v>9910</v>
      </c>
      <c r="J1749" s="58">
        <v>0</v>
      </c>
      <c r="K1749" s="1">
        <f t="shared" si="190"/>
        <v>327129.10000000003</v>
      </c>
      <c r="L1749" s="1">
        <f t="shared" si="191"/>
        <v>1982</v>
      </c>
      <c r="M1749" s="1">
        <f>VLOOKUP(B1749,'[1]Срок Годности'!$A$2:$B$4,2,0)</f>
        <v>1000</v>
      </c>
      <c r="N1749" s="60">
        <f t="shared" si="192"/>
        <v>1860</v>
      </c>
      <c r="O1749" s="1" t="str">
        <f t="shared" si="193"/>
        <v>23 2012</v>
      </c>
      <c r="P1749" s="1">
        <f t="shared" si="194"/>
        <v>22</v>
      </c>
      <c r="Q1749" s="1">
        <f t="shared" ca="1" si="195"/>
        <v>4069</v>
      </c>
      <c r="S1749" s="1">
        <f t="shared" si="189"/>
        <v>9910</v>
      </c>
    </row>
    <row r="1750" spans="1:19" x14ac:dyDescent="0.2">
      <c r="A1750" s="57" t="s">
        <v>231</v>
      </c>
      <c r="B1750" s="57" t="s">
        <v>237</v>
      </c>
      <c r="C1750" s="57" t="s">
        <v>238</v>
      </c>
      <c r="D1750" s="58">
        <v>165.05</v>
      </c>
      <c r="E1750" s="59">
        <v>41065</v>
      </c>
      <c r="F1750" s="58">
        <v>9910</v>
      </c>
      <c r="G1750" s="58">
        <v>1832</v>
      </c>
      <c r="H1750" s="58">
        <v>2076</v>
      </c>
      <c r="I1750" s="58">
        <v>9640</v>
      </c>
      <c r="J1750" s="58">
        <v>0</v>
      </c>
      <c r="K1750" s="1">
        <f t="shared" si="190"/>
        <v>342643.80000000005</v>
      </c>
      <c r="L1750" s="1">
        <f t="shared" si="191"/>
        <v>2076</v>
      </c>
      <c r="M1750" s="1">
        <f>VLOOKUP(B1750,'[1]Срок Годности'!$A$2:$B$4,2,0)</f>
        <v>1000</v>
      </c>
      <c r="N1750" s="60">
        <f t="shared" si="192"/>
        <v>1832</v>
      </c>
      <c r="O1750" s="1" t="str">
        <f t="shared" si="193"/>
        <v>23 2012</v>
      </c>
      <c r="P1750" s="1">
        <f t="shared" si="194"/>
        <v>22</v>
      </c>
      <c r="Q1750" s="1">
        <f t="shared" ca="1" si="195"/>
        <v>4068</v>
      </c>
      <c r="S1750" s="1">
        <f t="shared" si="189"/>
        <v>9640</v>
      </c>
    </row>
    <row r="1751" spans="1:19" x14ac:dyDescent="0.2">
      <c r="A1751" s="57" t="s">
        <v>231</v>
      </c>
      <c r="B1751" s="57" t="s">
        <v>237</v>
      </c>
      <c r="C1751" s="57" t="s">
        <v>238</v>
      </c>
      <c r="D1751" s="58">
        <v>165.05</v>
      </c>
      <c r="E1751" s="59">
        <v>41066</v>
      </c>
      <c r="F1751" s="58">
        <v>9640</v>
      </c>
      <c r="G1751" s="58">
        <v>2703</v>
      </c>
      <c r="H1751" s="58">
        <v>2368</v>
      </c>
      <c r="I1751" s="58">
        <v>10002</v>
      </c>
      <c r="J1751" s="58">
        <v>0</v>
      </c>
      <c r="K1751" s="1">
        <f t="shared" si="190"/>
        <v>390838.4</v>
      </c>
      <c r="L1751" s="1">
        <f t="shared" si="191"/>
        <v>2368</v>
      </c>
      <c r="M1751" s="1">
        <f>VLOOKUP(B1751,'[1]Срок Годности'!$A$2:$B$4,2,0)</f>
        <v>1000</v>
      </c>
      <c r="N1751" s="60">
        <f t="shared" si="192"/>
        <v>2703</v>
      </c>
      <c r="O1751" s="1" t="str">
        <f t="shared" si="193"/>
        <v>23 2012</v>
      </c>
      <c r="P1751" s="1">
        <f t="shared" si="194"/>
        <v>22</v>
      </c>
      <c r="Q1751" s="1">
        <f t="shared" ca="1" si="195"/>
        <v>4067</v>
      </c>
      <c r="S1751" s="1">
        <f t="shared" si="189"/>
        <v>10002</v>
      </c>
    </row>
    <row r="1752" spans="1:19" x14ac:dyDescent="0.2">
      <c r="A1752" s="57" t="s">
        <v>231</v>
      </c>
      <c r="B1752" s="57" t="s">
        <v>237</v>
      </c>
      <c r="C1752" s="57" t="s">
        <v>238</v>
      </c>
      <c r="D1752" s="58">
        <v>165.05</v>
      </c>
      <c r="E1752" s="59">
        <v>41067</v>
      </c>
      <c r="F1752" s="58">
        <v>10002</v>
      </c>
      <c r="G1752" s="58">
        <v>2848</v>
      </c>
      <c r="H1752" s="58">
        <v>2388</v>
      </c>
      <c r="I1752" s="58">
        <v>10386</v>
      </c>
      <c r="J1752" s="58">
        <v>0</v>
      </c>
      <c r="K1752" s="1">
        <f t="shared" si="190"/>
        <v>394139.4</v>
      </c>
      <c r="L1752" s="1">
        <f t="shared" si="191"/>
        <v>2388</v>
      </c>
      <c r="M1752" s="1">
        <f>VLOOKUP(B1752,'[1]Срок Годности'!$A$2:$B$4,2,0)</f>
        <v>1000</v>
      </c>
      <c r="N1752" s="60">
        <f t="shared" si="192"/>
        <v>2848</v>
      </c>
      <c r="O1752" s="1" t="str">
        <f t="shared" si="193"/>
        <v>23 2012</v>
      </c>
      <c r="P1752" s="1">
        <f t="shared" si="194"/>
        <v>22</v>
      </c>
      <c r="Q1752" s="1">
        <f t="shared" ca="1" si="195"/>
        <v>4066</v>
      </c>
      <c r="S1752" s="1">
        <f t="shared" si="189"/>
        <v>10386</v>
      </c>
    </row>
    <row r="1753" spans="1:19" x14ac:dyDescent="0.2">
      <c r="A1753" s="57" t="s">
        <v>231</v>
      </c>
      <c r="B1753" s="57" t="s">
        <v>237</v>
      </c>
      <c r="C1753" s="57" t="s">
        <v>238</v>
      </c>
      <c r="D1753" s="58">
        <v>165.05</v>
      </c>
      <c r="E1753" s="59">
        <v>41068</v>
      </c>
      <c r="F1753" s="58">
        <v>10386</v>
      </c>
      <c r="G1753" s="58">
        <v>2775</v>
      </c>
      <c r="H1753" s="58">
        <v>2731</v>
      </c>
      <c r="I1753" s="58">
        <v>10335</v>
      </c>
      <c r="J1753" s="58">
        <v>0</v>
      </c>
      <c r="K1753" s="1">
        <f t="shared" si="190"/>
        <v>450751.55000000005</v>
      </c>
      <c r="L1753" s="1">
        <f t="shared" si="191"/>
        <v>2731</v>
      </c>
      <c r="M1753" s="1">
        <f>VLOOKUP(B1753,'[1]Срок Годности'!$A$2:$B$4,2,0)</f>
        <v>1000</v>
      </c>
      <c r="N1753" s="60">
        <f t="shared" si="192"/>
        <v>2775</v>
      </c>
      <c r="O1753" s="1" t="str">
        <f t="shared" si="193"/>
        <v>23 2012</v>
      </c>
      <c r="P1753" s="1">
        <f t="shared" si="194"/>
        <v>22</v>
      </c>
      <c r="Q1753" s="1">
        <f t="shared" ca="1" si="195"/>
        <v>4065</v>
      </c>
      <c r="S1753" s="1">
        <f t="shared" si="189"/>
        <v>10335</v>
      </c>
    </row>
    <row r="1754" spans="1:19" x14ac:dyDescent="0.2">
      <c r="A1754" s="57" t="s">
        <v>231</v>
      </c>
      <c r="B1754" s="57" t="s">
        <v>237</v>
      </c>
      <c r="C1754" s="57" t="s">
        <v>238</v>
      </c>
      <c r="D1754" s="58">
        <v>165.05</v>
      </c>
      <c r="E1754" s="59">
        <v>41069</v>
      </c>
      <c r="F1754" s="58">
        <v>10335</v>
      </c>
      <c r="G1754" s="58">
        <v>2884</v>
      </c>
      <c r="H1754" s="58">
        <v>2357</v>
      </c>
      <c r="I1754" s="58">
        <v>10778</v>
      </c>
      <c r="J1754" s="58">
        <v>0</v>
      </c>
      <c r="K1754" s="1">
        <f t="shared" si="190"/>
        <v>389022.85000000003</v>
      </c>
      <c r="L1754" s="1">
        <f t="shared" si="191"/>
        <v>2357</v>
      </c>
      <c r="M1754" s="1">
        <f>VLOOKUP(B1754,'[1]Срок Годности'!$A$2:$B$4,2,0)</f>
        <v>1000</v>
      </c>
      <c r="N1754" s="60">
        <f t="shared" si="192"/>
        <v>2884</v>
      </c>
      <c r="O1754" s="1" t="str">
        <f t="shared" si="193"/>
        <v>23 2012</v>
      </c>
      <c r="P1754" s="1">
        <f t="shared" si="194"/>
        <v>22</v>
      </c>
      <c r="Q1754" s="1">
        <f t="shared" ca="1" si="195"/>
        <v>4064</v>
      </c>
      <c r="S1754" s="1">
        <f t="shared" si="189"/>
        <v>10778</v>
      </c>
    </row>
    <row r="1755" spans="1:19" x14ac:dyDescent="0.2">
      <c r="A1755" s="57" t="s">
        <v>231</v>
      </c>
      <c r="B1755" s="57" t="s">
        <v>237</v>
      </c>
      <c r="C1755" s="57" t="s">
        <v>238</v>
      </c>
      <c r="D1755" s="58">
        <v>165.05</v>
      </c>
      <c r="E1755" s="59">
        <v>41070</v>
      </c>
      <c r="F1755" s="58">
        <v>10778</v>
      </c>
      <c r="G1755" s="58">
        <v>91</v>
      </c>
      <c r="H1755" s="58">
        <v>2916</v>
      </c>
      <c r="I1755" s="58">
        <v>8380</v>
      </c>
      <c r="J1755" s="58">
        <v>0</v>
      </c>
      <c r="K1755" s="1">
        <f t="shared" si="190"/>
        <v>481285.80000000005</v>
      </c>
      <c r="L1755" s="1">
        <f t="shared" si="191"/>
        <v>2916</v>
      </c>
      <c r="M1755" s="1">
        <f>VLOOKUP(B1755,'[1]Срок Годности'!$A$2:$B$4,2,0)</f>
        <v>1000</v>
      </c>
      <c r="N1755" s="60">
        <f t="shared" si="192"/>
        <v>0</v>
      </c>
      <c r="O1755" s="1" t="str">
        <f t="shared" si="193"/>
        <v>24 2012</v>
      </c>
      <c r="P1755" s="1">
        <f t="shared" si="194"/>
        <v>22</v>
      </c>
      <c r="Q1755" s="1">
        <f t="shared" ca="1" si="195"/>
        <v>4063</v>
      </c>
      <c r="S1755" s="1">
        <f t="shared" si="189"/>
        <v>8380</v>
      </c>
    </row>
    <row r="1756" spans="1:19" x14ac:dyDescent="0.2">
      <c r="A1756" s="57" t="s">
        <v>231</v>
      </c>
      <c r="B1756" s="57" t="s">
        <v>237</v>
      </c>
      <c r="C1756" s="57" t="s">
        <v>238</v>
      </c>
      <c r="D1756" s="58">
        <v>165.05</v>
      </c>
      <c r="E1756" s="59">
        <v>41071</v>
      </c>
      <c r="F1756" s="58">
        <v>8380</v>
      </c>
      <c r="G1756" s="58">
        <v>5</v>
      </c>
      <c r="H1756" s="58">
        <v>1434</v>
      </c>
      <c r="I1756" s="58">
        <v>6471</v>
      </c>
      <c r="J1756" s="58">
        <v>0</v>
      </c>
      <c r="K1756" s="1">
        <f t="shared" si="190"/>
        <v>236681.7</v>
      </c>
      <c r="L1756" s="1">
        <f t="shared" si="191"/>
        <v>1434</v>
      </c>
      <c r="M1756" s="1">
        <f>VLOOKUP(B1756,'[1]Срок Годности'!$A$2:$B$4,2,0)</f>
        <v>1000</v>
      </c>
      <c r="N1756" s="60">
        <f t="shared" si="192"/>
        <v>5</v>
      </c>
      <c r="O1756" s="1" t="str">
        <f t="shared" si="193"/>
        <v>24 2012</v>
      </c>
      <c r="P1756" s="1">
        <f t="shared" si="194"/>
        <v>22</v>
      </c>
      <c r="Q1756" s="1">
        <f t="shared" ca="1" si="195"/>
        <v>4062</v>
      </c>
      <c r="S1756" s="1">
        <f t="shared" si="189"/>
        <v>6471</v>
      </c>
    </row>
    <row r="1757" spans="1:19" x14ac:dyDescent="0.2">
      <c r="A1757" s="57" t="s">
        <v>231</v>
      </c>
      <c r="B1757" s="57" t="s">
        <v>237</v>
      </c>
      <c r="C1757" s="57" t="s">
        <v>238</v>
      </c>
      <c r="D1757" s="58">
        <v>165.05</v>
      </c>
      <c r="E1757" s="59">
        <v>41072</v>
      </c>
      <c r="F1757" s="58">
        <v>6471</v>
      </c>
      <c r="G1757" s="58">
        <v>45</v>
      </c>
      <c r="H1757" s="58">
        <v>1535</v>
      </c>
      <c r="I1757" s="58">
        <v>4960</v>
      </c>
      <c r="J1757" s="58">
        <v>0</v>
      </c>
      <c r="K1757" s="1">
        <f t="shared" si="190"/>
        <v>253351.75000000003</v>
      </c>
      <c r="L1757" s="1">
        <f t="shared" si="191"/>
        <v>1535</v>
      </c>
      <c r="M1757" s="1">
        <f>VLOOKUP(B1757,'[1]Срок Годности'!$A$2:$B$4,2,0)</f>
        <v>1000</v>
      </c>
      <c r="N1757" s="60">
        <f t="shared" si="192"/>
        <v>45</v>
      </c>
      <c r="O1757" s="1" t="str">
        <f t="shared" si="193"/>
        <v>24 2012</v>
      </c>
      <c r="P1757" s="1">
        <f t="shared" si="194"/>
        <v>22</v>
      </c>
      <c r="Q1757" s="1">
        <f t="shared" ca="1" si="195"/>
        <v>4061</v>
      </c>
      <c r="S1757" s="1">
        <f t="shared" si="189"/>
        <v>4960</v>
      </c>
    </row>
    <row r="1758" spans="1:19" x14ac:dyDescent="0.2">
      <c r="A1758" s="57" t="s">
        <v>231</v>
      </c>
      <c r="B1758" s="57" t="s">
        <v>237</v>
      </c>
      <c r="C1758" s="57" t="s">
        <v>238</v>
      </c>
      <c r="D1758" s="58">
        <v>165.05</v>
      </c>
      <c r="E1758" s="59">
        <v>41073</v>
      </c>
      <c r="F1758" s="58">
        <v>4960</v>
      </c>
      <c r="G1758" s="58">
        <v>6</v>
      </c>
      <c r="H1758" s="58">
        <v>1121</v>
      </c>
      <c r="I1758" s="58">
        <v>3871</v>
      </c>
      <c r="J1758" s="58">
        <v>0</v>
      </c>
      <c r="K1758" s="1">
        <f t="shared" si="190"/>
        <v>185021.05000000002</v>
      </c>
      <c r="L1758" s="1">
        <f t="shared" si="191"/>
        <v>1121</v>
      </c>
      <c r="M1758" s="1">
        <f>VLOOKUP(B1758,'[1]Срок Годности'!$A$2:$B$4,2,0)</f>
        <v>1000</v>
      </c>
      <c r="N1758" s="60">
        <f t="shared" si="192"/>
        <v>6</v>
      </c>
      <c r="O1758" s="1" t="str">
        <f t="shared" si="193"/>
        <v>24 2012</v>
      </c>
      <c r="P1758" s="1">
        <f t="shared" si="194"/>
        <v>22</v>
      </c>
      <c r="Q1758" s="1">
        <f t="shared" ca="1" si="195"/>
        <v>4060</v>
      </c>
      <c r="S1758" s="1">
        <f t="shared" si="189"/>
        <v>3871</v>
      </c>
    </row>
    <row r="1759" spans="1:19" x14ac:dyDescent="0.2">
      <c r="A1759" s="57" t="s">
        <v>231</v>
      </c>
      <c r="B1759" s="57" t="s">
        <v>237</v>
      </c>
      <c r="C1759" s="57" t="s">
        <v>238</v>
      </c>
      <c r="D1759" s="58">
        <v>165.05</v>
      </c>
      <c r="E1759" s="59">
        <v>41074</v>
      </c>
      <c r="F1759" s="58">
        <v>3871</v>
      </c>
      <c r="G1759" s="58">
        <v>38</v>
      </c>
      <c r="H1759" s="58">
        <v>745</v>
      </c>
      <c r="I1759" s="58">
        <v>3176</v>
      </c>
      <c r="J1759" s="58">
        <v>0</v>
      </c>
      <c r="K1759" s="1">
        <f t="shared" si="190"/>
        <v>122962.25000000001</v>
      </c>
      <c r="L1759" s="1" t="str">
        <f t="shared" si="191"/>
        <v/>
      </c>
      <c r="M1759" s="1">
        <f>VLOOKUP(B1759,'[1]Срок Годности'!$A$2:$B$4,2,0)</f>
        <v>1000</v>
      </c>
      <c r="N1759" s="60">
        <f t="shared" si="192"/>
        <v>38</v>
      </c>
      <c r="O1759" s="1" t="str">
        <f t="shared" si="193"/>
        <v>24 2012</v>
      </c>
      <c r="P1759" s="1">
        <f t="shared" si="194"/>
        <v>22</v>
      </c>
      <c r="Q1759" s="1">
        <f t="shared" ca="1" si="195"/>
        <v>4059</v>
      </c>
      <c r="S1759" s="1">
        <f t="shared" si="189"/>
        <v>3176</v>
      </c>
    </row>
    <row r="1760" spans="1:19" x14ac:dyDescent="0.2">
      <c r="A1760" s="57" t="s">
        <v>231</v>
      </c>
      <c r="B1760" s="57" t="s">
        <v>237</v>
      </c>
      <c r="C1760" s="57" t="s">
        <v>238</v>
      </c>
      <c r="D1760" s="58">
        <v>165.05</v>
      </c>
      <c r="E1760" s="59">
        <v>41075</v>
      </c>
      <c r="F1760" s="58">
        <v>3176</v>
      </c>
      <c r="G1760" s="58">
        <v>3152</v>
      </c>
      <c r="H1760" s="58">
        <v>770</v>
      </c>
      <c r="I1760" s="58">
        <v>5550</v>
      </c>
      <c r="J1760" s="58">
        <v>0</v>
      </c>
      <c r="K1760" s="1">
        <f t="shared" si="190"/>
        <v>127088.50000000001</v>
      </c>
      <c r="L1760" s="1" t="str">
        <f t="shared" si="191"/>
        <v/>
      </c>
      <c r="M1760" s="1">
        <f>VLOOKUP(B1760,'[1]Срок Годности'!$A$2:$B$4,2,0)</f>
        <v>1000</v>
      </c>
      <c r="N1760" s="60">
        <f t="shared" si="192"/>
        <v>3152</v>
      </c>
      <c r="O1760" s="1" t="str">
        <f t="shared" si="193"/>
        <v>24 2012</v>
      </c>
      <c r="P1760" s="1">
        <f t="shared" si="194"/>
        <v>22</v>
      </c>
      <c r="Q1760" s="1">
        <f t="shared" ca="1" si="195"/>
        <v>4058</v>
      </c>
      <c r="S1760" s="1">
        <f t="shared" si="189"/>
        <v>5550</v>
      </c>
    </row>
    <row r="1761" spans="1:19" x14ac:dyDescent="0.2">
      <c r="A1761" s="57" t="s">
        <v>231</v>
      </c>
      <c r="B1761" s="57" t="s">
        <v>237</v>
      </c>
      <c r="C1761" s="57" t="s">
        <v>238</v>
      </c>
      <c r="D1761" s="58">
        <v>165.05</v>
      </c>
      <c r="E1761" s="59">
        <v>41076</v>
      </c>
      <c r="F1761" s="58">
        <v>5550</v>
      </c>
      <c r="G1761" s="58">
        <v>5885</v>
      </c>
      <c r="H1761" s="58">
        <v>1412</v>
      </c>
      <c r="I1761" s="58">
        <v>10047</v>
      </c>
      <c r="J1761" s="58">
        <v>0</v>
      </c>
      <c r="K1761" s="1">
        <f t="shared" si="190"/>
        <v>233050.6</v>
      </c>
      <c r="L1761" s="1">
        <f t="shared" si="191"/>
        <v>1412</v>
      </c>
      <c r="M1761" s="1">
        <f>VLOOKUP(B1761,'[1]Срок Годности'!$A$2:$B$4,2,0)</f>
        <v>1000</v>
      </c>
      <c r="N1761" s="60">
        <f t="shared" si="192"/>
        <v>5885</v>
      </c>
      <c r="O1761" s="1" t="str">
        <f t="shared" si="193"/>
        <v>24 2012</v>
      </c>
      <c r="P1761" s="1">
        <f t="shared" si="194"/>
        <v>22</v>
      </c>
      <c r="Q1761" s="1">
        <f t="shared" ca="1" si="195"/>
        <v>4057</v>
      </c>
      <c r="S1761" s="1">
        <f t="shared" si="189"/>
        <v>10047</v>
      </c>
    </row>
    <row r="1762" spans="1:19" x14ac:dyDescent="0.2">
      <c r="A1762" s="57" t="s">
        <v>231</v>
      </c>
      <c r="B1762" s="57" t="s">
        <v>237</v>
      </c>
      <c r="C1762" s="57" t="s">
        <v>238</v>
      </c>
      <c r="D1762" s="58">
        <v>165.05</v>
      </c>
      <c r="E1762" s="59">
        <v>41077</v>
      </c>
      <c r="F1762" s="58">
        <v>10047</v>
      </c>
      <c r="G1762" s="58">
        <v>785</v>
      </c>
      <c r="H1762" s="58">
        <v>2145</v>
      </c>
      <c r="I1762" s="58">
        <v>8643</v>
      </c>
      <c r="J1762" s="58">
        <v>0</v>
      </c>
      <c r="K1762" s="1">
        <f t="shared" si="190"/>
        <v>354032.25</v>
      </c>
      <c r="L1762" s="1">
        <f t="shared" si="191"/>
        <v>2145</v>
      </c>
      <c r="M1762" s="1">
        <f>VLOOKUP(B1762,'[1]Срок Годности'!$A$2:$B$4,2,0)</f>
        <v>1000</v>
      </c>
      <c r="N1762" s="60">
        <f t="shared" si="192"/>
        <v>0</v>
      </c>
      <c r="O1762" s="1" t="str">
        <f t="shared" si="193"/>
        <v>25 2012</v>
      </c>
      <c r="P1762" s="1">
        <f t="shared" si="194"/>
        <v>22</v>
      </c>
      <c r="Q1762" s="1">
        <f t="shared" ca="1" si="195"/>
        <v>4056</v>
      </c>
      <c r="S1762" s="1">
        <f t="shared" si="189"/>
        <v>8643</v>
      </c>
    </row>
    <row r="1763" spans="1:19" x14ac:dyDescent="0.2">
      <c r="A1763" s="57" t="s">
        <v>231</v>
      </c>
      <c r="B1763" s="57" t="s">
        <v>237</v>
      </c>
      <c r="C1763" s="57" t="s">
        <v>238</v>
      </c>
      <c r="D1763" s="58">
        <v>165.05</v>
      </c>
      <c r="E1763" s="59">
        <v>41078</v>
      </c>
      <c r="F1763" s="58">
        <v>8643</v>
      </c>
      <c r="G1763" s="58">
        <v>1277</v>
      </c>
      <c r="H1763" s="58">
        <v>1890</v>
      </c>
      <c r="I1763" s="58">
        <v>7998</v>
      </c>
      <c r="J1763" s="58">
        <v>0</v>
      </c>
      <c r="K1763" s="1">
        <f t="shared" si="190"/>
        <v>311944.5</v>
      </c>
      <c r="L1763" s="1">
        <f t="shared" si="191"/>
        <v>1890</v>
      </c>
      <c r="M1763" s="1">
        <f>VLOOKUP(B1763,'[1]Срок Годности'!$A$2:$B$4,2,0)</f>
        <v>1000</v>
      </c>
      <c r="N1763" s="60">
        <f t="shared" si="192"/>
        <v>1277</v>
      </c>
      <c r="O1763" s="1" t="str">
        <f t="shared" si="193"/>
        <v>25 2012</v>
      </c>
      <c r="P1763" s="1">
        <f t="shared" si="194"/>
        <v>22</v>
      </c>
      <c r="Q1763" s="1">
        <f t="shared" ca="1" si="195"/>
        <v>4055</v>
      </c>
      <c r="S1763" s="1">
        <f t="shared" si="189"/>
        <v>7998</v>
      </c>
    </row>
    <row r="1764" spans="1:19" x14ac:dyDescent="0.2">
      <c r="A1764" s="57" t="s">
        <v>231</v>
      </c>
      <c r="B1764" s="57" t="s">
        <v>237</v>
      </c>
      <c r="C1764" s="57" t="s">
        <v>238</v>
      </c>
      <c r="D1764" s="58">
        <v>165.05</v>
      </c>
      <c r="E1764" s="59">
        <v>41079</v>
      </c>
      <c r="F1764" s="58">
        <v>7998</v>
      </c>
      <c r="G1764" s="58">
        <v>5515</v>
      </c>
      <c r="H1764" s="58">
        <v>1677</v>
      </c>
      <c r="I1764" s="58">
        <v>11789</v>
      </c>
      <c r="J1764" s="58">
        <v>0</v>
      </c>
      <c r="K1764" s="1">
        <f t="shared" si="190"/>
        <v>276788.85000000003</v>
      </c>
      <c r="L1764" s="1">
        <f t="shared" si="191"/>
        <v>1677</v>
      </c>
      <c r="M1764" s="1">
        <f>VLOOKUP(B1764,'[1]Срок Годности'!$A$2:$B$4,2,0)</f>
        <v>1000</v>
      </c>
      <c r="N1764" s="60">
        <f t="shared" si="192"/>
        <v>5515</v>
      </c>
      <c r="O1764" s="1" t="str">
        <f t="shared" si="193"/>
        <v>25 2012</v>
      </c>
      <c r="P1764" s="1">
        <f t="shared" si="194"/>
        <v>22</v>
      </c>
      <c r="Q1764" s="1">
        <f t="shared" ca="1" si="195"/>
        <v>4054</v>
      </c>
      <c r="S1764" s="1">
        <f t="shared" si="189"/>
        <v>11789</v>
      </c>
    </row>
    <row r="1765" spans="1:19" x14ac:dyDescent="0.2">
      <c r="A1765" s="57" t="s">
        <v>231</v>
      </c>
      <c r="B1765" s="57" t="s">
        <v>237</v>
      </c>
      <c r="C1765" s="57" t="s">
        <v>238</v>
      </c>
      <c r="D1765" s="58">
        <v>165.05</v>
      </c>
      <c r="E1765" s="59">
        <v>41080</v>
      </c>
      <c r="F1765" s="58">
        <v>11789</v>
      </c>
      <c r="G1765" s="58">
        <v>2783</v>
      </c>
      <c r="H1765" s="58">
        <v>2095</v>
      </c>
      <c r="I1765" s="58">
        <v>12415</v>
      </c>
      <c r="J1765" s="58">
        <v>0</v>
      </c>
      <c r="K1765" s="1">
        <f t="shared" si="190"/>
        <v>345779.75</v>
      </c>
      <c r="L1765" s="1">
        <f t="shared" si="191"/>
        <v>2095</v>
      </c>
      <c r="M1765" s="1">
        <f>VLOOKUP(B1765,'[1]Срок Годности'!$A$2:$B$4,2,0)</f>
        <v>1000</v>
      </c>
      <c r="N1765" s="60">
        <f t="shared" si="192"/>
        <v>2783</v>
      </c>
      <c r="O1765" s="1" t="str">
        <f t="shared" si="193"/>
        <v>25 2012</v>
      </c>
      <c r="P1765" s="1">
        <f t="shared" si="194"/>
        <v>22</v>
      </c>
      <c r="Q1765" s="1">
        <f t="shared" ca="1" si="195"/>
        <v>4053</v>
      </c>
      <c r="S1765" s="1">
        <f t="shared" si="189"/>
        <v>12415</v>
      </c>
    </row>
    <row r="1766" spans="1:19" x14ac:dyDescent="0.2">
      <c r="A1766" s="57" t="s">
        <v>231</v>
      </c>
      <c r="B1766" s="57" t="s">
        <v>237</v>
      </c>
      <c r="C1766" s="57" t="s">
        <v>238</v>
      </c>
      <c r="D1766" s="58">
        <v>165.05</v>
      </c>
      <c r="E1766" s="59">
        <v>41081</v>
      </c>
      <c r="F1766" s="58">
        <v>12415</v>
      </c>
      <c r="G1766" s="58">
        <v>215</v>
      </c>
      <c r="H1766" s="58">
        <v>2329</v>
      </c>
      <c r="I1766" s="58">
        <v>10195</v>
      </c>
      <c r="J1766" s="58">
        <v>0</v>
      </c>
      <c r="K1766" s="1">
        <f t="shared" si="190"/>
        <v>384401.45</v>
      </c>
      <c r="L1766" s="1">
        <f t="shared" si="191"/>
        <v>2329</v>
      </c>
      <c r="M1766" s="1">
        <f>VLOOKUP(B1766,'[1]Срок Годности'!$A$2:$B$4,2,0)</f>
        <v>1000</v>
      </c>
      <c r="N1766" s="60">
        <f t="shared" si="192"/>
        <v>215</v>
      </c>
      <c r="O1766" s="1" t="str">
        <f t="shared" si="193"/>
        <v>25 2012</v>
      </c>
      <c r="P1766" s="1">
        <f t="shared" si="194"/>
        <v>22</v>
      </c>
      <c r="Q1766" s="1">
        <f t="shared" ca="1" si="195"/>
        <v>4052</v>
      </c>
      <c r="S1766" s="1">
        <f t="shared" si="189"/>
        <v>10195</v>
      </c>
    </row>
    <row r="1767" spans="1:19" x14ac:dyDescent="0.2">
      <c r="A1767" s="57" t="s">
        <v>231</v>
      </c>
      <c r="B1767" s="57" t="s">
        <v>237</v>
      </c>
      <c r="C1767" s="57" t="s">
        <v>238</v>
      </c>
      <c r="D1767" s="58">
        <v>165.05</v>
      </c>
      <c r="E1767" s="59">
        <v>41082</v>
      </c>
      <c r="F1767" s="58">
        <v>10195</v>
      </c>
      <c r="G1767" s="58">
        <v>2213</v>
      </c>
      <c r="H1767" s="58">
        <v>2285</v>
      </c>
      <c r="I1767" s="58">
        <v>10103</v>
      </c>
      <c r="J1767" s="58">
        <v>0</v>
      </c>
      <c r="K1767" s="1">
        <f t="shared" si="190"/>
        <v>377139.25</v>
      </c>
      <c r="L1767" s="1">
        <f t="shared" si="191"/>
        <v>2285</v>
      </c>
      <c r="M1767" s="1">
        <f>VLOOKUP(B1767,'[1]Срок Годности'!$A$2:$B$4,2,0)</f>
        <v>1000</v>
      </c>
      <c r="N1767" s="60">
        <f t="shared" si="192"/>
        <v>2213</v>
      </c>
      <c r="O1767" s="1" t="str">
        <f t="shared" si="193"/>
        <v>25 2012</v>
      </c>
      <c r="P1767" s="1">
        <f t="shared" si="194"/>
        <v>22</v>
      </c>
      <c r="Q1767" s="1">
        <f t="shared" ca="1" si="195"/>
        <v>4051</v>
      </c>
      <c r="S1767" s="1">
        <f t="shared" si="189"/>
        <v>10103</v>
      </c>
    </row>
    <row r="1768" spans="1:19" x14ac:dyDescent="0.2">
      <c r="A1768" s="57" t="s">
        <v>231</v>
      </c>
      <c r="B1768" s="57" t="s">
        <v>237</v>
      </c>
      <c r="C1768" s="57" t="s">
        <v>238</v>
      </c>
      <c r="D1768" s="58">
        <v>165.05</v>
      </c>
      <c r="E1768" s="59">
        <v>41083</v>
      </c>
      <c r="F1768" s="58">
        <v>10103</v>
      </c>
      <c r="G1768" s="58">
        <v>3421</v>
      </c>
      <c r="H1768" s="58">
        <v>2245</v>
      </c>
      <c r="I1768" s="58">
        <v>11216</v>
      </c>
      <c r="J1768" s="58">
        <v>0</v>
      </c>
      <c r="K1768" s="1">
        <f t="shared" si="190"/>
        <v>370537.25</v>
      </c>
      <c r="L1768" s="1">
        <f t="shared" si="191"/>
        <v>2245</v>
      </c>
      <c r="M1768" s="1">
        <f>VLOOKUP(B1768,'[1]Срок Годности'!$A$2:$B$4,2,0)</f>
        <v>1000</v>
      </c>
      <c r="N1768" s="60">
        <f t="shared" si="192"/>
        <v>3421</v>
      </c>
      <c r="O1768" s="1" t="str">
        <f t="shared" si="193"/>
        <v>25 2012</v>
      </c>
      <c r="P1768" s="1">
        <f t="shared" si="194"/>
        <v>22</v>
      </c>
      <c r="Q1768" s="1">
        <f t="shared" ca="1" si="195"/>
        <v>4050</v>
      </c>
      <c r="S1768" s="1">
        <f t="shared" si="189"/>
        <v>11216</v>
      </c>
    </row>
    <row r="1769" spans="1:19" x14ac:dyDescent="0.2">
      <c r="A1769" s="57" t="s">
        <v>231</v>
      </c>
      <c r="B1769" s="57" t="s">
        <v>237</v>
      </c>
      <c r="C1769" s="57" t="s">
        <v>238</v>
      </c>
      <c r="D1769" s="58">
        <v>165.05</v>
      </c>
      <c r="E1769" s="59">
        <v>41084</v>
      </c>
      <c r="F1769" s="58">
        <v>11216</v>
      </c>
      <c r="G1769" s="58">
        <v>3080</v>
      </c>
      <c r="H1769" s="58">
        <v>2813</v>
      </c>
      <c r="I1769" s="58">
        <v>11441</v>
      </c>
      <c r="J1769" s="58">
        <v>0</v>
      </c>
      <c r="K1769" s="1">
        <f t="shared" si="190"/>
        <v>464285.65</v>
      </c>
      <c r="L1769" s="1">
        <f t="shared" si="191"/>
        <v>2813</v>
      </c>
      <c r="M1769" s="1">
        <f>VLOOKUP(B1769,'[1]Срок Годности'!$A$2:$B$4,2,0)</f>
        <v>1000</v>
      </c>
      <c r="N1769" s="60">
        <f t="shared" si="192"/>
        <v>0</v>
      </c>
      <c r="O1769" s="1" t="str">
        <f t="shared" si="193"/>
        <v>26 2012</v>
      </c>
      <c r="P1769" s="1">
        <f t="shared" si="194"/>
        <v>22</v>
      </c>
      <c r="Q1769" s="1">
        <f t="shared" ca="1" si="195"/>
        <v>4049</v>
      </c>
      <c r="S1769" s="1">
        <f t="shared" si="189"/>
        <v>11441</v>
      </c>
    </row>
    <row r="1770" spans="1:19" x14ac:dyDescent="0.2">
      <c r="A1770" s="57" t="s">
        <v>231</v>
      </c>
      <c r="B1770" s="57" t="s">
        <v>237</v>
      </c>
      <c r="C1770" s="57" t="s">
        <v>238</v>
      </c>
      <c r="D1770" s="58">
        <v>165.05</v>
      </c>
      <c r="E1770" s="59">
        <v>41085</v>
      </c>
      <c r="F1770" s="58">
        <v>11441</v>
      </c>
      <c r="G1770" s="58">
        <v>2378</v>
      </c>
      <c r="H1770" s="58">
        <v>3015</v>
      </c>
      <c r="I1770" s="58">
        <v>10703</v>
      </c>
      <c r="J1770" s="58">
        <v>0</v>
      </c>
      <c r="K1770" s="1">
        <f t="shared" si="190"/>
        <v>497625.75000000006</v>
      </c>
      <c r="L1770" s="1">
        <f t="shared" si="191"/>
        <v>3015</v>
      </c>
      <c r="M1770" s="1">
        <f>VLOOKUP(B1770,'[1]Срок Годности'!$A$2:$B$4,2,0)</f>
        <v>1000</v>
      </c>
      <c r="N1770" s="60">
        <f t="shared" si="192"/>
        <v>2378</v>
      </c>
      <c r="O1770" s="1" t="str">
        <f t="shared" si="193"/>
        <v>26 2012</v>
      </c>
      <c r="P1770" s="1">
        <f t="shared" si="194"/>
        <v>22</v>
      </c>
      <c r="Q1770" s="1">
        <f t="shared" ca="1" si="195"/>
        <v>4048</v>
      </c>
      <c r="S1770" s="1">
        <f t="shared" si="189"/>
        <v>10703</v>
      </c>
    </row>
    <row r="1771" spans="1:19" x14ac:dyDescent="0.2">
      <c r="A1771" s="57" t="s">
        <v>231</v>
      </c>
      <c r="B1771" s="57" t="s">
        <v>237</v>
      </c>
      <c r="C1771" s="57" t="s">
        <v>238</v>
      </c>
      <c r="D1771" s="58">
        <v>165.05</v>
      </c>
      <c r="E1771" s="59">
        <v>41086</v>
      </c>
      <c r="F1771" s="58">
        <v>10703</v>
      </c>
      <c r="G1771" s="58">
        <v>3146</v>
      </c>
      <c r="H1771" s="58">
        <v>2611</v>
      </c>
      <c r="I1771" s="58">
        <v>11223</v>
      </c>
      <c r="J1771" s="58">
        <v>0</v>
      </c>
      <c r="K1771" s="1">
        <f t="shared" si="190"/>
        <v>430945.55000000005</v>
      </c>
      <c r="L1771" s="1">
        <f t="shared" si="191"/>
        <v>2611</v>
      </c>
      <c r="M1771" s="1">
        <f>VLOOKUP(B1771,'[1]Срок Годности'!$A$2:$B$4,2,0)</f>
        <v>1000</v>
      </c>
      <c r="N1771" s="60">
        <f t="shared" si="192"/>
        <v>3146</v>
      </c>
      <c r="O1771" s="1" t="str">
        <f t="shared" si="193"/>
        <v>26 2012</v>
      </c>
      <c r="P1771" s="1">
        <f t="shared" si="194"/>
        <v>22</v>
      </c>
      <c r="Q1771" s="1">
        <f t="shared" ca="1" si="195"/>
        <v>4047</v>
      </c>
      <c r="S1771" s="1">
        <f t="shared" si="189"/>
        <v>11223</v>
      </c>
    </row>
    <row r="1772" spans="1:19" x14ac:dyDescent="0.2">
      <c r="A1772" s="57" t="s">
        <v>231</v>
      </c>
      <c r="B1772" s="57" t="s">
        <v>237</v>
      </c>
      <c r="C1772" s="57" t="s">
        <v>238</v>
      </c>
      <c r="D1772" s="58">
        <v>165.05</v>
      </c>
      <c r="E1772" s="59">
        <v>41087</v>
      </c>
      <c r="F1772" s="58">
        <v>11223</v>
      </c>
      <c r="G1772" s="58">
        <v>3751</v>
      </c>
      <c r="H1772" s="58">
        <v>2620</v>
      </c>
      <c r="I1772" s="58">
        <v>12309</v>
      </c>
      <c r="J1772" s="58">
        <v>0</v>
      </c>
      <c r="K1772" s="1">
        <f t="shared" si="190"/>
        <v>432431.00000000006</v>
      </c>
      <c r="L1772" s="1">
        <f t="shared" si="191"/>
        <v>2620</v>
      </c>
      <c r="M1772" s="1">
        <f>VLOOKUP(B1772,'[1]Срок Годности'!$A$2:$B$4,2,0)</f>
        <v>1000</v>
      </c>
      <c r="N1772" s="60">
        <f t="shared" si="192"/>
        <v>3751</v>
      </c>
      <c r="O1772" s="1" t="str">
        <f t="shared" si="193"/>
        <v>26 2012</v>
      </c>
      <c r="P1772" s="1">
        <f t="shared" si="194"/>
        <v>22</v>
      </c>
      <c r="Q1772" s="1">
        <f t="shared" ca="1" si="195"/>
        <v>4046</v>
      </c>
      <c r="S1772" s="1">
        <f t="shared" si="189"/>
        <v>12309</v>
      </c>
    </row>
    <row r="1773" spans="1:19" x14ac:dyDescent="0.2">
      <c r="A1773" s="57" t="s">
        <v>231</v>
      </c>
      <c r="B1773" s="57" t="s">
        <v>237</v>
      </c>
      <c r="C1773" s="57" t="s">
        <v>238</v>
      </c>
      <c r="D1773" s="58">
        <v>165.05</v>
      </c>
      <c r="E1773" s="59">
        <v>41088</v>
      </c>
      <c r="F1773" s="58">
        <v>12309</v>
      </c>
      <c r="G1773" s="58">
        <v>4123</v>
      </c>
      <c r="H1773" s="58">
        <v>2452</v>
      </c>
      <c r="I1773" s="58">
        <v>13893</v>
      </c>
      <c r="J1773" s="58">
        <v>0</v>
      </c>
      <c r="K1773" s="1">
        <f t="shared" si="190"/>
        <v>404702.60000000003</v>
      </c>
      <c r="L1773" s="1">
        <f t="shared" si="191"/>
        <v>2452</v>
      </c>
      <c r="M1773" s="1">
        <f>VLOOKUP(B1773,'[1]Срок Годности'!$A$2:$B$4,2,0)</f>
        <v>1000</v>
      </c>
      <c r="N1773" s="60">
        <f t="shared" si="192"/>
        <v>4123</v>
      </c>
      <c r="O1773" s="1" t="str">
        <f t="shared" si="193"/>
        <v>26 2012</v>
      </c>
      <c r="P1773" s="1">
        <f t="shared" si="194"/>
        <v>22</v>
      </c>
      <c r="Q1773" s="1">
        <f t="shared" ca="1" si="195"/>
        <v>4045</v>
      </c>
      <c r="S1773" s="1">
        <f t="shared" si="189"/>
        <v>13893</v>
      </c>
    </row>
    <row r="1774" spans="1:19" x14ac:dyDescent="0.2">
      <c r="A1774" s="57" t="s">
        <v>231</v>
      </c>
      <c r="B1774" s="57" t="s">
        <v>237</v>
      </c>
      <c r="C1774" s="57" t="s">
        <v>238</v>
      </c>
      <c r="D1774" s="58">
        <v>165.05</v>
      </c>
      <c r="E1774" s="59">
        <v>41089</v>
      </c>
      <c r="F1774" s="58">
        <v>13893</v>
      </c>
      <c r="G1774" s="58">
        <v>2213</v>
      </c>
      <c r="H1774" s="58">
        <v>2749</v>
      </c>
      <c r="I1774" s="58">
        <v>13321</v>
      </c>
      <c r="J1774" s="58">
        <v>0</v>
      </c>
      <c r="K1774" s="1">
        <f t="shared" si="190"/>
        <v>453722.45</v>
      </c>
      <c r="L1774" s="1">
        <f t="shared" si="191"/>
        <v>2749</v>
      </c>
      <c r="M1774" s="1">
        <f>VLOOKUP(B1774,'[1]Срок Годности'!$A$2:$B$4,2,0)</f>
        <v>1000</v>
      </c>
      <c r="N1774" s="60">
        <f t="shared" si="192"/>
        <v>2213</v>
      </c>
      <c r="O1774" s="1" t="str">
        <f t="shared" si="193"/>
        <v>26 2012</v>
      </c>
      <c r="P1774" s="1">
        <f t="shared" si="194"/>
        <v>22</v>
      </c>
      <c r="Q1774" s="1">
        <f t="shared" ca="1" si="195"/>
        <v>4044</v>
      </c>
      <c r="S1774" s="1">
        <f t="shared" si="189"/>
        <v>13321</v>
      </c>
    </row>
    <row r="1775" spans="1:19" x14ac:dyDescent="0.2">
      <c r="A1775" s="57" t="s">
        <v>231</v>
      </c>
      <c r="B1775" s="57" t="s">
        <v>237</v>
      </c>
      <c r="C1775" s="57" t="s">
        <v>238</v>
      </c>
      <c r="D1775" s="58">
        <v>165.05</v>
      </c>
      <c r="E1775" s="59">
        <v>41090</v>
      </c>
      <c r="F1775" s="58">
        <v>13321</v>
      </c>
      <c r="G1775" s="58">
        <v>-32</v>
      </c>
      <c r="H1775" s="58">
        <v>2733</v>
      </c>
      <c r="I1775" s="58">
        <v>10517</v>
      </c>
      <c r="J1775" s="58">
        <v>0</v>
      </c>
      <c r="K1775" s="1">
        <f t="shared" si="190"/>
        <v>451081.65</v>
      </c>
      <c r="L1775" s="1">
        <f t="shared" si="191"/>
        <v>2733</v>
      </c>
      <c r="M1775" s="1">
        <f>VLOOKUP(B1775,'[1]Срок Годности'!$A$2:$B$4,2,0)</f>
        <v>1000</v>
      </c>
      <c r="N1775" s="60">
        <f t="shared" si="192"/>
        <v>-32</v>
      </c>
      <c r="O1775" s="1" t="str">
        <f t="shared" si="193"/>
        <v>26 2012</v>
      </c>
      <c r="P1775" s="1">
        <f t="shared" si="194"/>
        <v>22</v>
      </c>
      <c r="Q1775" s="1">
        <f t="shared" ca="1" si="195"/>
        <v>4043</v>
      </c>
      <c r="S1775" s="1">
        <f t="shared" si="189"/>
        <v>10517</v>
      </c>
    </row>
    <row r="1776" spans="1:19" x14ac:dyDescent="0.2">
      <c r="A1776" s="57" t="s">
        <v>231</v>
      </c>
      <c r="B1776" s="57" t="s">
        <v>237</v>
      </c>
      <c r="C1776" s="57" t="s">
        <v>238</v>
      </c>
      <c r="D1776" s="58">
        <v>165.05</v>
      </c>
      <c r="E1776" s="59">
        <v>41091</v>
      </c>
      <c r="F1776" s="58">
        <v>10517</v>
      </c>
      <c r="G1776" s="58">
        <v>-8</v>
      </c>
      <c r="H1776" s="58">
        <v>2603</v>
      </c>
      <c r="I1776" s="58">
        <v>7910</v>
      </c>
      <c r="J1776" s="58">
        <v>0</v>
      </c>
      <c r="K1776" s="1">
        <f t="shared" si="190"/>
        <v>429625.15</v>
      </c>
      <c r="L1776" s="1">
        <f t="shared" si="191"/>
        <v>2603</v>
      </c>
      <c r="M1776" s="1">
        <f>VLOOKUP(B1776,'[1]Срок Годности'!$A$2:$B$4,2,0)</f>
        <v>1000</v>
      </c>
      <c r="N1776" s="60">
        <f t="shared" si="192"/>
        <v>0</v>
      </c>
      <c r="O1776" s="1" t="str">
        <f t="shared" si="193"/>
        <v>27 2012</v>
      </c>
      <c r="P1776" s="1">
        <f t="shared" si="194"/>
        <v>22</v>
      </c>
      <c r="Q1776" s="1">
        <f t="shared" ca="1" si="195"/>
        <v>4042</v>
      </c>
      <c r="S1776" s="1">
        <f t="shared" si="189"/>
        <v>7910</v>
      </c>
    </row>
    <row r="1777" spans="1:19" x14ac:dyDescent="0.2">
      <c r="A1777" s="57" t="s">
        <v>231</v>
      </c>
      <c r="B1777" s="57" t="s">
        <v>237</v>
      </c>
      <c r="C1777" s="57" t="s">
        <v>238</v>
      </c>
      <c r="D1777" s="58">
        <v>165.05</v>
      </c>
      <c r="E1777" s="59">
        <v>41092</v>
      </c>
      <c r="F1777" s="58">
        <v>7910</v>
      </c>
      <c r="G1777" s="58">
        <v>61</v>
      </c>
      <c r="H1777" s="58">
        <v>1940</v>
      </c>
      <c r="I1777" s="58">
        <v>6040</v>
      </c>
      <c r="J1777" s="58">
        <v>0</v>
      </c>
      <c r="K1777" s="1">
        <f t="shared" si="190"/>
        <v>320197</v>
      </c>
      <c r="L1777" s="1">
        <f t="shared" si="191"/>
        <v>1940</v>
      </c>
      <c r="M1777" s="1">
        <f>VLOOKUP(B1777,'[1]Срок Годности'!$A$2:$B$4,2,0)</f>
        <v>1000</v>
      </c>
      <c r="N1777" s="60">
        <f t="shared" si="192"/>
        <v>61</v>
      </c>
      <c r="O1777" s="1" t="str">
        <f t="shared" si="193"/>
        <v>27 2012</v>
      </c>
      <c r="P1777" s="1">
        <f t="shared" si="194"/>
        <v>22</v>
      </c>
      <c r="Q1777" s="1">
        <f t="shared" ca="1" si="195"/>
        <v>4041</v>
      </c>
      <c r="S1777" s="1">
        <f t="shared" si="189"/>
        <v>6040</v>
      </c>
    </row>
    <row r="1778" spans="1:19" x14ac:dyDescent="0.2">
      <c r="A1778" s="57" t="s">
        <v>231</v>
      </c>
      <c r="B1778" s="57" t="s">
        <v>237</v>
      </c>
      <c r="C1778" s="57" t="s">
        <v>238</v>
      </c>
      <c r="D1778" s="58">
        <v>165.05</v>
      </c>
      <c r="E1778" s="59">
        <v>41093</v>
      </c>
      <c r="F1778" s="58">
        <v>6040</v>
      </c>
      <c r="G1778" s="58">
        <v>162</v>
      </c>
      <c r="H1778" s="58">
        <v>1643</v>
      </c>
      <c r="I1778" s="58">
        <v>4523</v>
      </c>
      <c r="J1778" s="58">
        <v>0</v>
      </c>
      <c r="K1778" s="1">
        <f t="shared" si="190"/>
        <v>271177.15000000002</v>
      </c>
      <c r="L1778" s="1">
        <f t="shared" si="191"/>
        <v>1643</v>
      </c>
      <c r="M1778" s="1">
        <f>VLOOKUP(B1778,'[1]Срок Годности'!$A$2:$B$4,2,0)</f>
        <v>1000</v>
      </c>
      <c r="N1778" s="60">
        <f t="shared" si="192"/>
        <v>162</v>
      </c>
      <c r="O1778" s="1" t="str">
        <f t="shared" si="193"/>
        <v>27 2012</v>
      </c>
      <c r="P1778" s="1">
        <f t="shared" si="194"/>
        <v>22</v>
      </c>
      <c r="Q1778" s="1">
        <f t="shared" ca="1" si="195"/>
        <v>4040</v>
      </c>
      <c r="S1778" s="1">
        <f t="shared" si="189"/>
        <v>4523</v>
      </c>
    </row>
    <row r="1779" spans="1:19" x14ac:dyDescent="0.2">
      <c r="A1779" s="57" t="s">
        <v>231</v>
      </c>
      <c r="B1779" s="57" t="s">
        <v>237</v>
      </c>
      <c r="C1779" s="57" t="s">
        <v>238</v>
      </c>
      <c r="D1779" s="58">
        <v>165.05</v>
      </c>
      <c r="E1779" s="59">
        <v>41094</v>
      </c>
      <c r="F1779" s="58">
        <v>4523</v>
      </c>
      <c r="G1779" s="58">
        <v>6450</v>
      </c>
      <c r="H1779" s="58">
        <v>1445</v>
      </c>
      <c r="I1779" s="58">
        <v>9511</v>
      </c>
      <c r="J1779" s="58">
        <v>0</v>
      </c>
      <c r="K1779" s="1">
        <f t="shared" si="190"/>
        <v>238497.25000000003</v>
      </c>
      <c r="L1779" s="1">
        <f t="shared" si="191"/>
        <v>1445</v>
      </c>
      <c r="M1779" s="1">
        <f>VLOOKUP(B1779,'[1]Срок Годности'!$A$2:$B$4,2,0)</f>
        <v>1000</v>
      </c>
      <c r="N1779" s="60">
        <f t="shared" si="192"/>
        <v>6450</v>
      </c>
      <c r="O1779" s="1" t="str">
        <f t="shared" si="193"/>
        <v>27 2012</v>
      </c>
      <c r="P1779" s="1">
        <f t="shared" si="194"/>
        <v>22</v>
      </c>
      <c r="Q1779" s="1">
        <f t="shared" ca="1" si="195"/>
        <v>4039</v>
      </c>
      <c r="S1779" s="1">
        <f t="shared" si="189"/>
        <v>9511</v>
      </c>
    </row>
    <row r="1780" spans="1:19" x14ac:dyDescent="0.2">
      <c r="A1780" s="57" t="s">
        <v>231</v>
      </c>
      <c r="B1780" s="57" t="s">
        <v>237</v>
      </c>
      <c r="C1780" s="57" t="s">
        <v>238</v>
      </c>
      <c r="D1780" s="58">
        <v>165.05</v>
      </c>
      <c r="E1780" s="59">
        <v>41095</v>
      </c>
      <c r="F1780" s="58">
        <v>9511</v>
      </c>
      <c r="G1780" s="58">
        <v>41</v>
      </c>
      <c r="H1780" s="58">
        <v>1727</v>
      </c>
      <c r="I1780" s="58">
        <v>7778</v>
      </c>
      <c r="J1780" s="58">
        <v>0</v>
      </c>
      <c r="K1780" s="1">
        <f t="shared" si="190"/>
        <v>285041.35000000003</v>
      </c>
      <c r="L1780" s="1">
        <f t="shared" si="191"/>
        <v>1727</v>
      </c>
      <c r="M1780" s="1">
        <f>VLOOKUP(B1780,'[1]Срок Годности'!$A$2:$B$4,2,0)</f>
        <v>1000</v>
      </c>
      <c r="N1780" s="60">
        <f t="shared" si="192"/>
        <v>41</v>
      </c>
      <c r="O1780" s="1" t="str">
        <f t="shared" si="193"/>
        <v>27 2012</v>
      </c>
      <c r="P1780" s="1">
        <f t="shared" si="194"/>
        <v>22</v>
      </c>
      <c r="Q1780" s="1">
        <f t="shared" ca="1" si="195"/>
        <v>4038</v>
      </c>
      <c r="S1780" s="1">
        <f t="shared" si="189"/>
        <v>7778</v>
      </c>
    </row>
    <row r="1781" spans="1:19" x14ac:dyDescent="0.2">
      <c r="A1781" s="57" t="s">
        <v>231</v>
      </c>
      <c r="B1781" s="57" t="s">
        <v>237</v>
      </c>
      <c r="C1781" s="57" t="s">
        <v>238</v>
      </c>
      <c r="D1781" s="58">
        <v>165.05</v>
      </c>
      <c r="E1781" s="59">
        <v>41096</v>
      </c>
      <c r="F1781" s="58">
        <v>7778</v>
      </c>
      <c r="G1781" s="58">
        <v>2003</v>
      </c>
      <c r="H1781" s="58">
        <v>1833</v>
      </c>
      <c r="I1781" s="58">
        <v>7934</v>
      </c>
      <c r="J1781" s="58">
        <v>0</v>
      </c>
      <c r="K1781" s="1">
        <f t="shared" si="190"/>
        <v>302536.65000000002</v>
      </c>
      <c r="L1781" s="1">
        <f t="shared" si="191"/>
        <v>1833</v>
      </c>
      <c r="M1781" s="1">
        <f>VLOOKUP(B1781,'[1]Срок Годности'!$A$2:$B$4,2,0)</f>
        <v>1000</v>
      </c>
      <c r="N1781" s="60">
        <f t="shared" si="192"/>
        <v>2003</v>
      </c>
      <c r="O1781" s="1" t="str">
        <f t="shared" si="193"/>
        <v>27 2012</v>
      </c>
      <c r="P1781" s="1">
        <f t="shared" si="194"/>
        <v>22</v>
      </c>
      <c r="Q1781" s="1">
        <f t="shared" ca="1" si="195"/>
        <v>4037</v>
      </c>
      <c r="S1781" s="1">
        <f t="shared" si="189"/>
        <v>7934</v>
      </c>
    </row>
    <row r="1782" spans="1:19" x14ac:dyDescent="0.2">
      <c r="A1782" s="57" t="s">
        <v>231</v>
      </c>
      <c r="B1782" s="57" t="s">
        <v>237</v>
      </c>
      <c r="C1782" s="57" t="s">
        <v>238</v>
      </c>
      <c r="D1782" s="58">
        <v>165.05</v>
      </c>
      <c r="E1782" s="59">
        <v>41097</v>
      </c>
      <c r="F1782" s="58">
        <v>7934</v>
      </c>
      <c r="G1782" s="58">
        <v>7003</v>
      </c>
      <c r="H1782" s="58">
        <v>1837</v>
      </c>
      <c r="I1782" s="58">
        <v>13057</v>
      </c>
      <c r="J1782" s="58">
        <v>0</v>
      </c>
      <c r="K1782" s="1">
        <f t="shared" si="190"/>
        <v>303196.85000000003</v>
      </c>
      <c r="L1782" s="1">
        <f t="shared" si="191"/>
        <v>1837</v>
      </c>
      <c r="M1782" s="1">
        <f>VLOOKUP(B1782,'[1]Срок Годности'!$A$2:$B$4,2,0)</f>
        <v>1000</v>
      </c>
      <c r="N1782" s="60">
        <f t="shared" si="192"/>
        <v>7003</v>
      </c>
      <c r="O1782" s="1" t="str">
        <f t="shared" si="193"/>
        <v>27 2012</v>
      </c>
      <c r="P1782" s="1">
        <f t="shared" si="194"/>
        <v>22</v>
      </c>
      <c r="Q1782" s="1">
        <f t="shared" ca="1" si="195"/>
        <v>4036</v>
      </c>
      <c r="S1782" s="1">
        <f t="shared" si="189"/>
        <v>13057</v>
      </c>
    </row>
    <row r="1783" spans="1:19" x14ac:dyDescent="0.2">
      <c r="A1783" s="57" t="s">
        <v>231</v>
      </c>
      <c r="B1783" s="57" t="s">
        <v>237</v>
      </c>
      <c r="C1783" s="57" t="s">
        <v>238</v>
      </c>
      <c r="D1783" s="58">
        <v>165.05</v>
      </c>
      <c r="E1783" s="59">
        <v>41098</v>
      </c>
      <c r="F1783" s="58">
        <v>13057</v>
      </c>
      <c r="G1783" s="58">
        <v>2223</v>
      </c>
      <c r="H1783" s="58">
        <v>2593</v>
      </c>
      <c r="I1783" s="58">
        <v>12603</v>
      </c>
      <c r="J1783" s="58">
        <v>0</v>
      </c>
      <c r="K1783" s="1">
        <f t="shared" si="190"/>
        <v>427974.65</v>
      </c>
      <c r="L1783" s="1">
        <f t="shared" si="191"/>
        <v>2593</v>
      </c>
      <c r="M1783" s="1">
        <f>VLOOKUP(B1783,'[1]Срок Годности'!$A$2:$B$4,2,0)</f>
        <v>1000</v>
      </c>
      <c r="N1783" s="60">
        <f t="shared" si="192"/>
        <v>0</v>
      </c>
      <c r="O1783" s="1" t="str">
        <f t="shared" si="193"/>
        <v>28 2012</v>
      </c>
      <c r="P1783" s="1">
        <f t="shared" si="194"/>
        <v>22</v>
      </c>
      <c r="Q1783" s="1">
        <f t="shared" ca="1" si="195"/>
        <v>4035</v>
      </c>
      <c r="S1783" s="1">
        <f t="shared" si="189"/>
        <v>12603</v>
      </c>
    </row>
    <row r="1784" spans="1:19" x14ac:dyDescent="0.2">
      <c r="A1784" s="57" t="s">
        <v>231</v>
      </c>
      <c r="B1784" s="57" t="s">
        <v>237</v>
      </c>
      <c r="C1784" s="57" t="s">
        <v>238</v>
      </c>
      <c r="D1784" s="58">
        <v>165.05</v>
      </c>
      <c r="E1784" s="59">
        <v>41099</v>
      </c>
      <c r="F1784" s="58">
        <v>12603</v>
      </c>
      <c r="G1784" s="58">
        <v>1098</v>
      </c>
      <c r="H1784" s="58">
        <v>2778</v>
      </c>
      <c r="I1784" s="58">
        <v>10843</v>
      </c>
      <c r="J1784" s="58">
        <v>0</v>
      </c>
      <c r="K1784" s="1">
        <f t="shared" si="190"/>
        <v>458508.9</v>
      </c>
      <c r="L1784" s="1">
        <f t="shared" si="191"/>
        <v>2778</v>
      </c>
      <c r="M1784" s="1">
        <f>VLOOKUP(B1784,'[1]Срок Годности'!$A$2:$B$4,2,0)</f>
        <v>1000</v>
      </c>
      <c r="N1784" s="60">
        <f t="shared" si="192"/>
        <v>1098</v>
      </c>
      <c r="O1784" s="1" t="str">
        <f t="shared" si="193"/>
        <v>28 2012</v>
      </c>
      <c r="P1784" s="1">
        <f t="shared" si="194"/>
        <v>22</v>
      </c>
      <c r="Q1784" s="1">
        <f t="shared" ca="1" si="195"/>
        <v>4034</v>
      </c>
      <c r="S1784" s="1">
        <f t="shared" si="189"/>
        <v>10843</v>
      </c>
    </row>
    <row r="1785" spans="1:19" x14ac:dyDescent="0.2">
      <c r="A1785" s="57" t="s">
        <v>231</v>
      </c>
      <c r="B1785" s="57" t="s">
        <v>237</v>
      </c>
      <c r="C1785" s="57" t="s">
        <v>238</v>
      </c>
      <c r="D1785" s="58">
        <v>165.05</v>
      </c>
      <c r="E1785" s="59">
        <v>41100</v>
      </c>
      <c r="F1785" s="58">
        <v>10843</v>
      </c>
      <c r="G1785" s="58">
        <v>2625</v>
      </c>
      <c r="H1785" s="58">
        <v>2379</v>
      </c>
      <c r="I1785" s="58">
        <v>11054</v>
      </c>
      <c r="J1785" s="58">
        <v>0</v>
      </c>
      <c r="K1785" s="1">
        <f t="shared" si="190"/>
        <v>392653.95</v>
      </c>
      <c r="L1785" s="1">
        <f t="shared" si="191"/>
        <v>2379</v>
      </c>
      <c r="M1785" s="1">
        <f>VLOOKUP(B1785,'[1]Срок Годности'!$A$2:$B$4,2,0)</f>
        <v>1000</v>
      </c>
      <c r="N1785" s="60">
        <f t="shared" si="192"/>
        <v>2625</v>
      </c>
      <c r="O1785" s="1" t="str">
        <f t="shared" si="193"/>
        <v>28 2012</v>
      </c>
      <c r="P1785" s="1">
        <f t="shared" si="194"/>
        <v>22</v>
      </c>
      <c r="Q1785" s="1">
        <f t="shared" ca="1" si="195"/>
        <v>4033</v>
      </c>
      <c r="S1785" s="1">
        <f t="shared" si="189"/>
        <v>11054</v>
      </c>
    </row>
    <row r="1786" spans="1:19" x14ac:dyDescent="0.2">
      <c r="A1786" s="57" t="s">
        <v>231</v>
      </c>
      <c r="B1786" s="57" t="s">
        <v>237</v>
      </c>
      <c r="C1786" s="57" t="s">
        <v>238</v>
      </c>
      <c r="D1786" s="58">
        <v>165.05</v>
      </c>
      <c r="E1786" s="59">
        <v>41101</v>
      </c>
      <c r="F1786" s="58">
        <v>11054</v>
      </c>
      <c r="G1786" s="58">
        <v>2638</v>
      </c>
      <c r="H1786" s="58">
        <v>2211</v>
      </c>
      <c r="I1786" s="58">
        <v>11405</v>
      </c>
      <c r="J1786" s="58">
        <v>0</v>
      </c>
      <c r="K1786" s="1">
        <f t="shared" si="190"/>
        <v>364925.55000000005</v>
      </c>
      <c r="L1786" s="1">
        <f t="shared" si="191"/>
        <v>2211</v>
      </c>
      <c r="M1786" s="1">
        <f>VLOOKUP(B1786,'[1]Срок Годности'!$A$2:$B$4,2,0)</f>
        <v>1000</v>
      </c>
      <c r="N1786" s="60">
        <f t="shared" si="192"/>
        <v>2638</v>
      </c>
      <c r="O1786" s="1" t="str">
        <f t="shared" si="193"/>
        <v>28 2012</v>
      </c>
      <c r="P1786" s="1">
        <f t="shared" si="194"/>
        <v>22</v>
      </c>
      <c r="Q1786" s="1">
        <f t="shared" ca="1" si="195"/>
        <v>4032</v>
      </c>
      <c r="S1786" s="1">
        <f t="shared" si="189"/>
        <v>11405</v>
      </c>
    </row>
    <row r="1787" spans="1:19" x14ac:dyDescent="0.2">
      <c r="A1787" s="57" t="s">
        <v>231</v>
      </c>
      <c r="B1787" s="57" t="s">
        <v>237</v>
      </c>
      <c r="C1787" s="57" t="s">
        <v>238</v>
      </c>
      <c r="D1787" s="58">
        <v>165.05</v>
      </c>
      <c r="E1787" s="59">
        <v>41102</v>
      </c>
      <c r="F1787" s="58">
        <v>11405</v>
      </c>
      <c r="G1787" s="58">
        <v>3667</v>
      </c>
      <c r="H1787" s="58">
        <v>2233</v>
      </c>
      <c r="I1787" s="58">
        <v>12774</v>
      </c>
      <c r="J1787" s="58">
        <v>0</v>
      </c>
      <c r="K1787" s="1">
        <f t="shared" si="190"/>
        <v>368556.65</v>
      </c>
      <c r="L1787" s="1">
        <f t="shared" si="191"/>
        <v>2233</v>
      </c>
      <c r="M1787" s="1">
        <f>VLOOKUP(B1787,'[1]Срок Годности'!$A$2:$B$4,2,0)</f>
        <v>1000</v>
      </c>
      <c r="N1787" s="60">
        <f t="shared" si="192"/>
        <v>3667</v>
      </c>
      <c r="O1787" s="1" t="str">
        <f t="shared" si="193"/>
        <v>28 2012</v>
      </c>
      <c r="P1787" s="1">
        <f t="shared" si="194"/>
        <v>22</v>
      </c>
      <c r="Q1787" s="1">
        <f t="shared" ca="1" si="195"/>
        <v>4031</v>
      </c>
      <c r="S1787" s="1">
        <f t="shared" si="189"/>
        <v>12774</v>
      </c>
    </row>
    <row r="1788" spans="1:19" x14ac:dyDescent="0.2">
      <c r="A1788" s="57" t="s">
        <v>231</v>
      </c>
      <c r="B1788" s="57" t="s">
        <v>237</v>
      </c>
      <c r="C1788" s="57" t="s">
        <v>238</v>
      </c>
      <c r="D1788" s="58">
        <v>165.05</v>
      </c>
      <c r="E1788" s="59">
        <v>41103</v>
      </c>
      <c r="F1788" s="58">
        <v>12774</v>
      </c>
      <c r="G1788" s="58">
        <v>2017</v>
      </c>
      <c r="H1788" s="58">
        <v>2331</v>
      </c>
      <c r="I1788" s="58">
        <v>12444</v>
      </c>
      <c r="J1788" s="58">
        <v>0</v>
      </c>
      <c r="K1788" s="1">
        <f t="shared" si="190"/>
        <v>384731.55000000005</v>
      </c>
      <c r="L1788" s="1">
        <f t="shared" si="191"/>
        <v>2331</v>
      </c>
      <c r="M1788" s="1">
        <f>VLOOKUP(B1788,'[1]Срок Годности'!$A$2:$B$4,2,0)</f>
        <v>1000</v>
      </c>
      <c r="N1788" s="60">
        <f t="shared" si="192"/>
        <v>2017</v>
      </c>
      <c r="O1788" s="1" t="str">
        <f t="shared" si="193"/>
        <v>28 2012</v>
      </c>
      <c r="P1788" s="1">
        <f t="shared" si="194"/>
        <v>22</v>
      </c>
      <c r="Q1788" s="1">
        <f t="shared" ca="1" si="195"/>
        <v>4030</v>
      </c>
      <c r="S1788" s="1">
        <f t="shared" si="189"/>
        <v>12444</v>
      </c>
    </row>
    <row r="1789" spans="1:19" x14ac:dyDescent="0.2">
      <c r="A1789" s="57" t="s">
        <v>231</v>
      </c>
      <c r="B1789" s="57" t="s">
        <v>237</v>
      </c>
      <c r="C1789" s="57" t="s">
        <v>238</v>
      </c>
      <c r="D1789" s="58">
        <v>165.05</v>
      </c>
      <c r="E1789" s="59">
        <v>41104</v>
      </c>
      <c r="F1789" s="58">
        <v>12444</v>
      </c>
      <c r="G1789" s="58">
        <v>2757</v>
      </c>
      <c r="H1789" s="58">
        <v>1962</v>
      </c>
      <c r="I1789" s="58">
        <v>13200</v>
      </c>
      <c r="J1789" s="58">
        <v>0</v>
      </c>
      <c r="K1789" s="1">
        <f t="shared" si="190"/>
        <v>323828.10000000003</v>
      </c>
      <c r="L1789" s="1">
        <f t="shared" si="191"/>
        <v>1962</v>
      </c>
      <c r="M1789" s="1">
        <f>VLOOKUP(B1789,'[1]Срок Годности'!$A$2:$B$4,2,0)</f>
        <v>1000</v>
      </c>
      <c r="N1789" s="60">
        <f t="shared" si="192"/>
        <v>2757</v>
      </c>
      <c r="O1789" s="1" t="str">
        <f t="shared" si="193"/>
        <v>28 2012</v>
      </c>
      <c r="P1789" s="1">
        <f t="shared" si="194"/>
        <v>22</v>
      </c>
      <c r="Q1789" s="1">
        <f t="shared" ca="1" si="195"/>
        <v>4029</v>
      </c>
      <c r="S1789" s="1">
        <f t="shared" si="189"/>
        <v>13200</v>
      </c>
    </row>
    <row r="1790" spans="1:19" x14ac:dyDescent="0.2">
      <c r="A1790" s="57" t="s">
        <v>231</v>
      </c>
      <c r="B1790" s="57" t="s">
        <v>237</v>
      </c>
      <c r="C1790" s="57" t="s">
        <v>238</v>
      </c>
      <c r="D1790" s="58">
        <v>165.05</v>
      </c>
      <c r="E1790" s="59">
        <v>41105</v>
      </c>
      <c r="F1790" s="58">
        <v>13200</v>
      </c>
      <c r="G1790" s="58">
        <v>1742</v>
      </c>
      <c r="H1790" s="58">
        <v>1953</v>
      </c>
      <c r="I1790" s="58">
        <v>12989</v>
      </c>
      <c r="J1790" s="58">
        <v>0</v>
      </c>
      <c r="K1790" s="1">
        <f t="shared" si="190"/>
        <v>322342.65000000002</v>
      </c>
      <c r="L1790" s="1">
        <f t="shared" si="191"/>
        <v>1953</v>
      </c>
      <c r="M1790" s="1">
        <f>VLOOKUP(B1790,'[1]Срок Годности'!$A$2:$B$4,2,0)</f>
        <v>1000</v>
      </c>
      <c r="N1790" s="60">
        <f t="shared" si="192"/>
        <v>0</v>
      </c>
      <c r="O1790" s="1" t="str">
        <f t="shared" si="193"/>
        <v>29 2012</v>
      </c>
      <c r="P1790" s="1">
        <f t="shared" si="194"/>
        <v>22</v>
      </c>
      <c r="Q1790" s="1">
        <f t="shared" ca="1" si="195"/>
        <v>4028</v>
      </c>
      <c r="S1790" s="1">
        <f t="shared" si="189"/>
        <v>12989</v>
      </c>
    </row>
    <row r="1791" spans="1:19" x14ac:dyDescent="0.2">
      <c r="A1791" s="57" t="s">
        <v>231</v>
      </c>
      <c r="B1791" s="57" t="s">
        <v>237</v>
      </c>
      <c r="C1791" s="57" t="s">
        <v>238</v>
      </c>
      <c r="D1791" s="58">
        <v>165.05</v>
      </c>
      <c r="E1791" s="59">
        <v>41106</v>
      </c>
      <c r="F1791" s="58">
        <v>12989</v>
      </c>
      <c r="G1791" s="58">
        <v>34</v>
      </c>
      <c r="H1791" s="58">
        <v>1717</v>
      </c>
      <c r="I1791" s="58">
        <v>11262</v>
      </c>
      <c r="J1791" s="58">
        <v>0</v>
      </c>
      <c r="K1791" s="1">
        <f t="shared" si="190"/>
        <v>283390.85000000003</v>
      </c>
      <c r="L1791" s="1">
        <f t="shared" si="191"/>
        <v>1717</v>
      </c>
      <c r="M1791" s="1">
        <f>VLOOKUP(B1791,'[1]Срок Годности'!$A$2:$B$4,2,0)</f>
        <v>1000</v>
      </c>
      <c r="N1791" s="60">
        <f t="shared" si="192"/>
        <v>34</v>
      </c>
      <c r="O1791" s="1" t="str">
        <f t="shared" si="193"/>
        <v>29 2012</v>
      </c>
      <c r="P1791" s="1">
        <f t="shared" si="194"/>
        <v>22</v>
      </c>
      <c r="Q1791" s="1">
        <f t="shared" ca="1" si="195"/>
        <v>4027</v>
      </c>
      <c r="S1791" s="1">
        <f t="shared" si="189"/>
        <v>11262</v>
      </c>
    </row>
    <row r="1792" spans="1:19" x14ac:dyDescent="0.2">
      <c r="A1792" s="57" t="s">
        <v>231</v>
      </c>
      <c r="B1792" s="57" t="s">
        <v>237</v>
      </c>
      <c r="C1792" s="57" t="s">
        <v>238</v>
      </c>
      <c r="D1792" s="58">
        <v>165.05</v>
      </c>
      <c r="E1792" s="59">
        <v>41107</v>
      </c>
      <c r="F1792" s="58">
        <v>11262</v>
      </c>
      <c r="G1792" s="58">
        <v>0</v>
      </c>
      <c r="H1792" s="58">
        <v>1541</v>
      </c>
      <c r="I1792" s="58">
        <v>9706</v>
      </c>
      <c r="J1792" s="58">
        <v>0</v>
      </c>
      <c r="K1792" s="1">
        <f t="shared" si="190"/>
        <v>254342.05000000002</v>
      </c>
      <c r="L1792" s="1">
        <f t="shared" si="191"/>
        <v>1541</v>
      </c>
      <c r="M1792" s="1">
        <f>VLOOKUP(B1792,'[1]Срок Годности'!$A$2:$B$4,2,0)</f>
        <v>1000</v>
      </c>
      <c r="N1792" s="60">
        <f t="shared" si="192"/>
        <v>0</v>
      </c>
      <c r="O1792" s="1" t="str">
        <f t="shared" si="193"/>
        <v>29 2012</v>
      </c>
      <c r="P1792" s="1">
        <f t="shared" si="194"/>
        <v>22</v>
      </c>
      <c r="Q1792" s="1">
        <f t="shared" ca="1" si="195"/>
        <v>4026</v>
      </c>
      <c r="S1792" s="1">
        <f t="shared" si="189"/>
        <v>9706</v>
      </c>
    </row>
    <row r="1793" spans="1:19" x14ac:dyDescent="0.2">
      <c r="A1793" s="57" t="s">
        <v>243</v>
      </c>
      <c r="B1793" s="57" t="s">
        <v>225</v>
      </c>
      <c r="C1793" s="57" t="s">
        <v>226</v>
      </c>
      <c r="D1793" s="58">
        <v>317.08</v>
      </c>
      <c r="E1793" s="59">
        <v>41061</v>
      </c>
      <c r="F1793" s="58">
        <v>3282</v>
      </c>
      <c r="G1793" s="58">
        <v>599</v>
      </c>
      <c r="H1793" s="58">
        <v>696</v>
      </c>
      <c r="I1793" s="58">
        <v>3179</v>
      </c>
      <c r="J1793" s="58">
        <v>0</v>
      </c>
      <c r="K1793" s="1">
        <f t="shared" si="190"/>
        <v>220687.68</v>
      </c>
      <c r="L1793" s="1" t="str">
        <f t="shared" si="191"/>
        <v/>
      </c>
      <c r="M1793" s="1">
        <f>VLOOKUP(B1793,'[1]Срок Годности'!$A$2:$B$4,2,0)</f>
        <v>500</v>
      </c>
      <c r="N1793" s="60">
        <f t="shared" si="192"/>
        <v>599</v>
      </c>
      <c r="O1793" s="1" t="str">
        <f t="shared" si="193"/>
        <v>22 2012</v>
      </c>
      <c r="P1793" s="1">
        <f t="shared" si="194"/>
        <v>23</v>
      </c>
      <c r="Q1793" s="1">
        <f t="shared" ca="1" si="195"/>
        <v>4072</v>
      </c>
      <c r="S1793" s="1">
        <f t="shared" si="189"/>
        <v>3179</v>
      </c>
    </row>
    <row r="1794" spans="1:19" x14ac:dyDescent="0.2">
      <c r="A1794" s="57" t="s">
        <v>243</v>
      </c>
      <c r="B1794" s="57" t="s">
        <v>225</v>
      </c>
      <c r="C1794" s="57" t="s">
        <v>226</v>
      </c>
      <c r="D1794" s="58">
        <v>317.08</v>
      </c>
      <c r="E1794" s="59">
        <v>41062</v>
      </c>
      <c r="F1794" s="58">
        <v>3179</v>
      </c>
      <c r="G1794" s="58">
        <v>648</v>
      </c>
      <c r="H1794" s="58">
        <v>773</v>
      </c>
      <c r="I1794" s="58">
        <v>3051</v>
      </c>
      <c r="J1794" s="58">
        <v>0</v>
      </c>
      <c r="K1794" s="1">
        <f t="shared" si="190"/>
        <v>245102.84</v>
      </c>
      <c r="L1794" s="1" t="str">
        <f t="shared" si="191"/>
        <v/>
      </c>
      <c r="M1794" s="1">
        <f>VLOOKUP(B1794,'[1]Срок Годности'!$A$2:$B$4,2,0)</f>
        <v>500</v>
      </c>
      <c r="N1794" s="60">
        <f t="shared" si="192"/>
        <v>648</v>
      </c>
      <c r="O1794" s="1" t="str">
        <f t="shared" si="193"/>
        <v>22 2012</v>
      </c>
      <c r="P1794" s="1">
        <f t="shared" si="194"/>
        <v>23</v>
      </c>
      <c r="Q1794" s="1">
        <f t="shared" ca="1" si="195"/>
        <v>4071</v>
      </c>
      <c r="S1794" s="1">
        <f t="shared" si="189"/>
        <v>3051</v>
      </c>
    </row>
    <row r="1795" spans="1:19" x14ac:dyDescent="0.2">
      <c r="A1795" s="57" t="s">
        <v>243</v>
      </c>
      <c r="B1795" s="57" t="s">
        <v>225</v>
      </c>
      <c r="C1795" s="57" t="s">
        <v>226</v>
      </c>
      <c r="D1795" s="58">
        <v>317.08</v>
      </c>
      <c r="E1795" s="59">
        <v>41063</v>
      </c>
      <c r="F1795" s="58">
        <v>3051</v>
      </c>
      <c r="G1795" s="58">
        <v>882</v>
      </c>
      <c r="H1795" s="58">
        <v>758</v>
      </c>
      <c r="I1795" s="58">
        <v>3167</v>
      </c>
      <c r="J1795" s="58">
        <v>0</v>
      </c>
      <c r="K1795" s="1">
        <f t="shared" si="190"/>
        <v>240346.63999999998</v>
      </c>
      <c r="L1795" s="1" t="str">
        <f t="shared" si="191"/>
        <v/>
      </c>
      <c r="M1795" s="1">
        <f>VLOOKUP(B1795,'[1]Срок Годности'!$A$2:$B$4,2,0)</f>
        <v>500</v>
      </c>
      <c r="N1795" s="60">
        <f t="shared" si="192"/>
        <v>0</v>
      </c>
      <c r="O1795" s="1" t="str">
        <f t="shared" si="193"/>
        <v>23 2012</v>
      </c>
      <c r="P1795" s="1">
        <f t="shared" si="194"/>
        <v>23</v>
      </c>
      <c r="Q1795" s="1">
        <f t="shared" ca="1" si="195"/>
        <v>4070</v>
      </c>
      <c r="S1795" s="1">
        <f t="shared" si="189"/>
        <v>3167</v>
      </c>
    </row>
    <row r="1796" spans="1:19" x14ac:dyDescent="0.2">
      <c r="A1796" s="57" t="s">
        <v>243</v>
      </c>
      <c r="B1796" s="57" t="s">
        <v>225</v>
      </c>
      <c r="C1796" s="57" t="s">
        <v>226</v>
      </c>
      <c r="D1796" s="58">
        <v>317.08</v>
      </c>
      <c r="E1796" s="59">
        <v>41064</v>
      </c>
      <c r="F1796" s="58">
        <v>3167</v>
      </c>
      <c r="G1796" s="58">
        <v>865</v>
      </c>
      <c r="H1796" s="58">
        <v>781</v>
      </c>
      <c r="I1796" s="58">
        <v>3244</v>
      </c>
      <c r="J1796" s="58">
        <v>0</v>
      </c>
      <c r="K1796" s="1">
        <f t="shared" si="190"/>
        <v>247639.47999999998</v>
      </c>
      <c r="L1796" s="1" t="str">
        <f t="shared" si="191"/>
        <v/>
      </c>
      <c r="M1796" s="1">
        <f>VLOOKUP(B1796,'[1]Срок Годности'!$A$2:$B$4,2,0)</f>
        <v>500</v>
      </c>
      <c r="N1796" s="60">
        <f t="shared" si="192"/>
        <v>865</v>
      </c>
      <c r="O1796" s="1" t="str">
        <f t="shared" si="193"/>
        <v>23 2012</v>
      </c>
      <c r="P1796" s="1">
        <f t="shared" si="194"/>
        <v>23</v>
      </c>
      <c r="Q1796" s="1">
        <f t="shared" ca="1" si="195"/>
        <v>4069</v>
      </c>
      <c r="S1796" s="1">
        <f t="shared" si="189"/>
        <v>3244</v>
      </c>
    </row>
    <row r="1797" spans="1:19" x14ac:dyDescent="0.2">
      <c r="A1797" s="57" t="s">
        <v>243</v>
      </c>
      <c r="B1797" s="57" t="s">
        <v>225</v>
      </c>
      <c r="C1797" s="57" t="s">
        <v>226</v>
      </c>
      <c r="D1797" s="58">
        <v>317.08</v>
      </c>
      <c r="E1797" s="59">
        <v>41065</v>
      </c>
      <c r="F1797" s="58">
        <v>3244</v>
      </c>
      <c r="G1797" s="58">
        <v>792</v>
      </c>
      <c r="H1797" s="58">
        <v>1018</v>
      </c>
      <c r="I1797" s="58">
        <v>2998</v>
      </c>
      <c r="J1797" s="58">
        <v>0</v>
      </c>
      <c r="K1797" s="1">
        <f t="shared" si="190"/>
        <v>322787.44</v>
      </c>
      <c r="L1797" s="1">
        <f t="shared" si="191"/>
        <v>1018</v>
      </c>
      <c r="M1797" s="1">
        <f>VLOOKUP(B1797,'[1]Срок Годности'!$A$2:$B$4,2,0)</f>
        <v>500</v>
      </c>
      <c r="N1797" s="60">
        <f t="shared" si="192"/>
        <v>792</v>
      </c>
      <c r="O1797" s="1" t="str">
        <f t="shared" si="193"/>
        <v>23 2012</v>
      </c>
      <c r="P1797" s="1">
        <f t="shared" si="194"/>
        <v>23</v>
      </c>
      <c r="Q1797" s="1">
        <f t="shared" ca="1" si="195"/>
        <v>4068</v>
      </c>
      <c r="S1797" s="1">
        <f t="shared" si="189"/>
        <v>2998</v>
      </c>
    </row>
    <row r="1798" spans="1:19" x14ac:dyDescent="0.2">
      <c r="A1798" s="57" t="s">
        <v>243</v>
      </c>
      <c r="B1798" s="57" t="s">
        <v>225</v>
      </c>
      <c r="C1798" s="57" t="s">
        <v>226</v>
      </c>
      <c r="D1798" s="58">
        <v>317.08</v>
      </c>
      <c r="E1798" s="59">
        <v>41066</v>
      </c>
      <c r="F1798" s="58">
        <v>2998</v>
      </c>
      <c r="G1798" s="58">
        <v>1106</v>
      </c>
      <c r="H1798" s="58">
        <v>1137</v>
      </c>
      <c r="I1798" s="58">
        <v>2957</v>
      </c>
      <c r="J1798" s="58">
        <v>0</v>
      </c>
      <c r="K1798" s="1">
        <f t="shared" si="190"/>
        <v>360519.95999999996</v>
      </c>
      <c r="L1798" s="1">
        <f t="shared" si="191"/>
        <v>1137</v>
      </c>
      <c r="M1798" s="1">
        <f>VLOOKUP(B1798,'[1]Срок Годности'!$A$2:$B$4,2,0)</f>
        <v>500</v>
      </c>
      <c r="N1798" s="60">
        <f t="shared" si="192"/>
        <v>1106</v>
      </c>
      <c r="O1798" s="1" t="str">
        <f t="shared" si="193"/>
        <v>23 2012</v>
      </c>
      <c r="P1798" s="1">
        <f t="shared" si="194"/>
        <v>23</v>
      </c>
      <c r="Q1798" s="1">
        <f t="shared" ca="1" si="195"/>
        <v>4067</v>
      </c>
      <c r="S1798" s="1">
        <f t="shared" si="189"/>
        <v>2957</v>
      </c>
    </row>
    <row r="1799" spans="1:19" x14ac:dyDescent="0.2">
      <c r="A1799" s="57" t="s">
        <v>243</v>
      </c>
      <c r="B1799" s="57" t="s">
        <v>225</v>
      </c>
      <c r="C1799" s="57" t="s">
        <v>226</v>
      </c>
      <c r="D1799" s="58">
        <v>317.08</v>
      </c>
      <c r="E1799" s="59">
        <v>41067</v>
      </c>
      <c r="F1799" s="58">
        <v>2957</v>
      </c>
      <c r="G1799" s="58">
        <v>1331</v>
      </c>
      <c r="H1799" s="58">
        <v>1083</v>
      </c>
      <c r="I1799" s="58">
        <v>3186</v>
      </c>
      <c r="J1799" s="58">
        <v>0</v>
      </c>
      <c r="K1799" s="1">
        <f t="shared" si="190"/>
        <v>343397.63999999996</v>
      </c>
      <c r="L1799" s="1">
        <f t="shared" si="191"/>
        <v>1083</v>
      </c>
      <c r="M1799" s="1">
        <f>VLOOKUP(B1799,'[1]Срок Годности'!$A$2:$B$4,2,0)</f>
        <v>500</v>
      </c>
      <c r="N1799" s="60">
        <f t="shared" si="192"/>
        <v>1331</v>
      </c>
      <c r="O1799" s="1" t="str">
        <f t="shared" si="193"/>
        <v>23 2012</v>
      </c>
      <c r="P1799" s="1">
        <f t="shared" si="194"/>
        <v>23</v>
      </c>
      <c r="Q1799" s="1">
        <f t="shared" ca="1" si="195"/>
        <v>4066</v>
      </c>
      <c r="S1799" s="1">
        <f t="shared" ref="S1799:S1862" si="196">I1799-J1799</f>
        <v>3186</v>
      </c>
    </row>
    <row r="1800" spans="1:19" x14ac:dyDescent="0.2">
      <c r="A1800" s="57" t="s">
        <v>243</v>
      </c>
      <c r="B1800" s="57" t="s">
        <v>225</v>
      </c>
      <c r="C1800" s="57" t="s">
        <v>226</v>
      </c>
      <c r="D1800" s="58">
        <v>317.08</v>
      </c>
      <c r="E1800" s="59">
        <v>41068</v>
      </c>
      <c r="F1800" s="58">
        <v>3186</v>
      </c>
      <c r="G1800" s="58">
        <v>1491</v>
      </c>
      <c r="H1800" s="58">
        <v>1441</v>
      </c>
      <c r="I1800" s="58">
        <v>3215</v>
      </c>
      <c r="J1800" s="58">
        <v>0</v>
      </c>
      <c r="K1800" s="1">
        <f t="shared" ref="K1800:K1863" si="197">H1800*D1800</f>
        <v>456912.27999999997</v>
      </c>
      <c r="L1800" s="1">
        <f t="shared" ref="L1800:L1863" si="198">IF(H1800&gt;1000,H1800,"")</f>
        <v>1441</v>
      </c>
      <c r="M1800" s="1">
        <f>VLOOKUP(B1800,'[1]Срок Годности'!$A$2:$B$4,2,0)</f>
        <v>500</v>
      </c>
      <c r="N1800" s="60">
        <f t="shared" ref="N1800:N1863" si="199">IF(WEEKDAY(E1800) = 1, 0, G1800)</f>
        <v>1491</v>
      </c>
      <c r="O1800" s="1" t="str">
        <f t="shared" ref="O1800:O1863" si="200">WEEKNUM(E1800) &amp; " " &amp; YEAR(E1800)</f>
        <v>23 2012</v>
      </c>
      <c r="P1800" s="1">
        <f t="shared" ref="P1800:P1863" si="201">LEN(C1800)</f>
        <v>23</v>
      </c>
      <c r="Q1800" s="1">
        <f t="shared" ref="Q1800:Q1863" ca="1" si="202">DATEDIF(E1800,NOW(),"D")</f>
        <v>4065</v>
      </c>
      <c r="S1800" s="1">
        <f t="shared" si="196"/>
        <v>3215</v>
      </c>
    </row>
    <row r="1801" spans="1:19" x14ac:dyDescent="0.2">
      <c r="A1801" s="57" t="s">
        <v>243</v>
      </c>
      <c r="B1801" s="57" t="s">
        <v>225</v>
      </c>
      <c r="C1801" s="57" t="s">
        <v>226</v>
      </c>
      <c r="D1801" s="58">
        <v>317.08</v>
      </c>
      <c r="E1801" s="59">
        <v>41069</v>
      </c>
      <c r="F1801" s="58">
        <v>3215</v>
      </c>
      <c r="G1801" s="58">
        <v>1711</v>
      </c>
      <c r="H1801" s="58">
        <v>1537</v>
      </c>
      <c r="I1801" s="58">
        <v>3374</v>
      </c>
      <c r="J1801" s="58">
        <v>0</v>
      </c>
      <c r="K1801" s="1">
        <f t="shared" si="197"/>
        <v>487351.95999999996</v>
      </c>
      <c r="L1801" s="1">
        <f t="shared" si="198"/>
        <v>1537</v>
      </c>
      <c r="M1801" s="1">
        <f>VLOOKUP(B1801,'[1]Срок Годности'!$A$2:$B$4,2,0)</f>
        <v>500</v>
      </c>
      <c r="N1801" s="60">
        <f t="shared" si="199"/>
        <v>1711</v>
      </c>
      <c r="O1801" s="1" t="str">
        <f t="shared" si="200"/>
        <v>23 2012</v>
      </c>
      <c r="P1801" s="1">
        <f t="shared" si="201"/>
        <v>23</v>
      </c>
      <c r="Q1801" s="1">
        <f t="shared" ca="1" si="202"/>
        <v>4064</v>
      </c>
      <c r="S1801" s="1">
        <f t="shared" si="196"/>
        <v>3374</v>
      </c>
    </row>
    <row r="1802" spans="1:19" x14ac:dyDescent="0.2">
      <c r="A1802" s="57" t="s">
        <v>243</v>
      </c>
      <c r="B1802" s="57" t="s">
        <v>225</v>
      </c>
      <c r="C1802" s="57" t="s">
        <v>226</v>
      </c>
      <c r="D1802" s="58">
        <v>317.08</v>
      </c>
      <c r="E1802" s="59">
        <v>41070</v>
      </c>
      <c r="F1802" s="58">
        <v>3374</v>
      </c>
      <c r="G1802" s="58">
        <v>875</v>
      </c>
      <c r="H1802" s="58">
        <v>1171</v>
      </c>
      <c r="I1802" s="58">
        <v>3057</v>
      </c>
      <c r="J1802" s="58">
        <v>0</v>
      </c>
      <c r="K1802" s="1">
        <f t="shared" si="197"/>
        <v>371300.68</v>
      </c>
      <c r="L1802" s="1">
        <f t="shared" si="198"/>
        <v>1171</v>
      </c>
      <c r="M1802" s="1">
        <f>VLOOKUP(B1802,'[1]Срок Годности'!$A$2:$B$4,2,0)</f>
        <v>500</v>
      </c>
      <c r="N1802" s="60">
        <f t="shared" si="199"/>
        <v>0</v>
      </c>
      <c r="O1802" s="1" t="str">
        <f t="shared" si="200"/>
        <v>24 2012</v>
      </c>
      <c r="P1802" s="1">
        <f t="shared" si="201"/>
        <v>23</v>
      </c>
      <c r="Q1802" s="1">
        <f t="shared" ca="1" si="202"/>
        <v>4063</v>
      </c>
      <c r="S1802" s="1">
        <f t="shared" si="196"/>
        <v>3057</v>
      </c>
    </row>
    <row r="1803" spans="1:19" x14ac:dyDescent="0.2">
      <c r="A1803" s="57" t="s">
        <v>243</v>
      </c>
      <c r="B1803" s="57" t="s">
        <v>225</v>
      </c>
      <c r="C1803" s="57" t="s">
        <v>226</v>
      </c>
      <c r="D1803" s="58">
        <v>317.08</v>
      </c>
      <c r="E1803" s="59">
        <v>41071</v>
      </c>
      <c r="F1803" s="58">
        <v>3057</v>
      </c>
      <c r="G1803" s="58">
        <v>1046</v>
      </c>
      <c r="H1803" s="58">
        <v>1189</v>
      </c>
      <c r="I1803" s="58">
        <v>2882</v>
      </c>
      <c r="J1803" s="58">
        <v>0</v>
      </c>
      <c r="K1803" s="1">
        <f t="shared" si="197"/>
        <v>377008.12</v>
      </c>
      <c r="L1803" s="1">
        <f t="shared" si="198"/>
        <v>1189</v>
      </c>
      <c r="M1803" s="1">
        <f>VLOOKUP(B1803,'[1]Срок Годности'!$A$2:$B$4,2,0)</f>
        <v>500</v>
      </c>
      <c r="N1803" s="60">
        <f t="shared" si="199"/>
        <v>1046</v>
      </c>
      <c r="O1803" s="1" t="str">
        <f t="shared" si="200"/>
        <v>24 2012</v>
      </c>
      <c r="P1803" s="1">
        <f t="shared" si="201"/>
        <v>23</v>
      </c>
      <c r="Q1803" s="1">
        <f t="shared" ca="1" si="202"/>
        <v>4062</v>
      </c>
      <c r="S1803" s="1">
        <f t="shared" si="196"/>
        <v>2882</v>
      </c>
    </row>
    <row r="1804" spans="1:19" x14ac:dyDescent="0.2">
      <c r="A1804" s="57" t="s">
        <v>243</v>
      </c>
      <c r="B1804" s="57" t="s">
        <v>225</v>
      </c>
      <c r="C1804" s="57" t="s">
        <v>226</v>
      </c>
      <c r="D1804" s="58">
        <v>317.08</v>
      </c>
      <c r="E1804" s="59">
        <v>41072</v>
      </c>
      <c r="F1804" s="58">
        <v>2882</v>
      </c>
      <c r="G1804" s="58">
        <v>933</v>
      </c>
      <c r="H1804" s="58">
        <v>1101</v>
      </c>
      <c r="I1804" s="58">
        <v>2669</v>
      </c>
      <c r="J1804" s="58">
        <v>0</v>
      </c>
      <c r="K1804" s="1">
        <f t="shared" si="197"/>
        <v>349105.07999999996</v>
      </c>
      <c r="L1804" s="1">
        <f t="shared" si="198"/>
        <v>1101</v>
      </c>
      <c r="M1804" s="1">
        <f>VLOOKUP(B1804,'[1]Срок Годности'!$A$2:$B$4,2,0)</f>
        <v>500</v>
      </c>
      <c r="N1804" s="60">
        <f t="shared" si="199"/>
        <v>933</v>
      </c>
      <c r="O1804" s="1" t="str">
        <f t="shared" si="200"/>
        <v>24 2012</v>
      </c>
      <c r="P1804" s="1">
        <f t="shared" si="201"/>
        <v>23</v>
      </c>
      <c r="Q1804" s="1">
        <f t="shared" ca="1" si="202"/>
        <v>4061</v>
      </c>
      <c r="S1804" s="1">
        <f t="shared" si="196"/>
        <v>2669</v>
      </c>
    </row>
    <row r="1805" spans="1:19" x14ac:dyDescent="0.2">
      <c r="A1805" s="57" t="s">
        <v>243</v>
      </c>
      <c r="B1805" s="57" t="s">
        <v>225</v>
      </c>
      <c r="C1805" s="57" t="s">
        <v>226</v>
      </c>
      <c r="D1805" s="58">
        <v>317.08</v>
      </c>
      <c r="E1805" s="59">
        <v>41073</v>
      </c>
      <c r="F1805" s="58">
        <v>2669</v>
      </c>
      <c r="G1805" s="58">
        <v>1152</v>
      </c>
      <c r="H1805" s="58">
        <v>953</v>
      </c>
      <c r="I1805" s="58">
        <v>2837</v>
      </c>
      <c r="J1805" s="58">
        <v>0</v>
      </c>
      <c r="K1805" s="1">
        <f t="shared" si="197"/>
        <v>302177.24</v>
      </c>
      <c r="L1805" s="1" t="str">
        <f t="shared" si="198"/>
        <v/>
      </c>
      <c r="M1805" s="1">
        <f>VLOOKUP(B1805,'[1]Срок Годности'!$A$2:$B$4,2,0)</f>
        <v>500</v>
      </c>
      <c r="N1805" s="60">
        <f t="shared" si="199"/>
        <v>1152</v>
      </c>
      <c r="O1805" s="1" t="str">
        <f t="shared" si="200"/>
        <v>24 2012</v>
      </c>
      <c r="P1805" s="1">
        <f t="shared" si="201"/>
        <v>23</v>
      </c>
      <c r="Q1805" s="1">
        <f t="shared" ca="1" si="202"/>
        <v>4060</v>
      </c>
      <c r="S1805" s="1">
        <f t="shared" si="196"/>
        <v>2837</v>
      </c>
    </row>
    <row r="1806" spans="1:19" x14ac:dyDescent="0.2">
      <c r="A1806" s="57" t="s">
        <v>243</v>
      </c>
      <c r="B1806" s="57" t="s">
        <v>225</v>
      </c>
      <c r="C1806" s="57" t="s">
        <v>226</v>
      </c>
      <c r="D1806" s="58">
        <v>317.08</v>
      </c>
      <c r="E1806" s="59">
        <v>41074</v>
      </c>
      <c r="F1806" s="58">
        <v>2837</v>
      </c>
      <c r="G1806" s="58">
        <v>886</v>
      </c>
      <c r="H1806" s="58">
        <v>1101</v>
      </c>
      <c r="I1806" s="58">
        <v>2605</v>
      </c>
      <c r="J1806" s="58">
        <v>0</v>
      </c>
      <c r="K1806" s="1">
        <f t="shared" si="197"/>
        <v>349105.07999999996</v>
      </c>
      <c r="L1806" s="1">
        <f t="shared" si="198"/>
        <v>1101</v>
      </c>
      <c r="M1806" s="1">
        <f>VLOOKUP(B1806,'[1]Срок Годности'!$A$2:$B$4,2,0)</f>
        <v>500</v>
      </c>
      <c r="N1806" s="60">
        <f t="shared" si="199"/>
        <v>886</v>
      </c>
      <c r="O1806" s="1" t="str">
        <f t="shared" si="200"/>
        <v>24 2012</v>
      </c>
      <c r="P1806" s="1">
        <f t="shared" si="201"/>
        <v>23</v>
      </c>
      <c r="Q1806" s="1">
        <f t="shared" ca="1" si="202"/>
        <v>4059</v>
      </c>
      <c r="S1806" s="1">
        <f t="shared" si="196"/>
        <v>2605</v>
      </c>
    </row>
    <row r="1807" spans="1:19" x14ac:dyDescent="0.2">
      <c r="A1807" s="57" t="s">
        <v>243</v>
      </c>
      <c r="B1807" s="57" t="s">
        <v>225</v>
      </c>
      <c r="C1807" s="57" t="s">
        <v>226</v>
      </c>
      <c r="D1807" s="58">
        <v>317.08</v>
      </c>
      <c r="E1807" s="59">
        <v>41075</v>
      </c>
      <c r="F1807" s="58">
        <v>2605</v>
      </c>
      <c r="G1807" s="58">
        <v>896</v>
      </c>
      <c r="H1807" s="58">
        <v>1110</v>
      </c>
      <c r="I1807" s="58">
        <v>2373</v>
      </c>
      <c r="J1807" s="58">
        <v>0</v>
      </c>
      <c r="K1807" s="1">
        <f t="shared" si="197"/>
        <v>351958.8</v>
      </c>
      <c r="L1807" s="1">
        <f t="shared" si="198"/>
        <v>1110</v>
      </c>
      <c r="M1807" s="1">
        <f>VLOOKUP(B1807,'[1]Срок Годности'!$A$2:$B$4,2,0)</f>
        <v>500</v>
      </c>
      <c r="N1807" s="60">
        <f t="shared" si="199"/>
        <v>896</v>
      </c>
      <c r="O1807" s="1" t="str">
        <f t="shared" si="200"/>
        <v>24 2012</v>
      </c>
      <c r="P1807" s="1">
        <f t="shared" si="201"/>
        <v>23</v>
      </c>
      <c r="Q1807" s="1">
        <f t="shared" ca="1" si="202"/>
        <v>4058</v>
      </c>
      <c r="S1807" s="1">
        <f t="shared" si="196"/>
        <v>2373</v>
      </c>
    </row>
    <row r="1808" spans="1:19" x14ac:dyDescent="0.2">
      <c r="A1808" s="57" t="s">
        <v>243</v>
      </c>
      <c r="B1808" s="57" t="s">
        <v>225</v>
      </c>
      <c r="C1808" s="57" t="s">
        <v>226</v>
      </c>
      <c r="D1808" s="58">
        <v>317.08</v>
      </c>
      <c r="E1808" s="59">
        <v>41076</v>
      </c>
      <c r="F1808" s="58">
        <v>2373</v>
      </c>
      <c r="G1808" s="58">
        <v>1161</v>
      </c>
      <c r="H1808" s="58">
        <v>1194</v>
      </c>
      <c r="I1808" s="58">
        <v>2328</v>
      </c>
      <c r="J1808" s="58">
        <v>0</v>
      </c>
      <c r="K1808" s="1">
        <f t="shared" si="197"/>
        <v>378593.51999999996</v>
      </c>
      <c r="L1808" s="1">
        <f t="shared" si="198"/>
        <v>1194</v>
      </c>
      <c r="M1808" s="1">
        <f>VLOOKUP(B1808,'[1]Срок Годности'!$A$2:$B$4,2,0)</f>
        <v>500</v>
      </c>
      <c r="N1808" s="60">
        <f t="shared" si="199"/>
        <v>1161</v>
      </c>
      <c r="O1808" s="1" t="str">
        <f t="shared" si="200"/>
        <v>24 2012</v>
      </c>
      <c r="P1808" s="1">
        <f t="shared" si="201"/>
        <v>23</v>
      </c>
      <c r="Q1808" s="1">
        <f t="shared" ca="1" si="202"/>
        <v>4057</v>
      </c>
      <c r="S1808" s="1">
        <f t="shared" si="196"/>
        <v>2328</v>
      </c>
    </row>
    <row r="1809" spans="1:19" x14ac:dyDescent="0.2">
      <c r="A1809" s="57" t="s">
        <v>243</v>
      </c>
      <c r="B1809" s="57" t="s">
        <v>225</v>
      </c>
      <c r="C1809" s="57" t="s">
        <v>226</v>
      </c>
      <c r="D1809" s="58">
        <v>317.08</v>
      </c>
      <c r="E1809" s="59">
        <v>41077</v>
      </c>
      <c r="F1809" s="58">
        <v>2328</v>
      </c>
      <c r="G1809" s="58">
        <v>1144</v>
      </c>
      <c r="H1809" s="58">
        <v>1180</v>
      </c>
      <c r="I1809" s="58">
        <v>2274</v>
      </c>
      <c r="J1809" s="58">
        <v>0</v>
      </c>
      <c r="K1809" s="1">
        <f t="shared" si="197"/>
        <v>374154.39999999997</v>
      </c>
      <c r="L1809" s="1">
        <f t="shared" si="198"/>
        <v>1180</v>
      </c>
      <c r="M1809" s="1">
        <f>VLOOKUP(B1809,'[1]Срок Годности'!$A$2:$B$4,2,0)</f>
        <v>500</v>
      </c>
      <c r="N1809" s="60">
        <f t="shared" si="199"/>
        <v>0</v>
      </c>
      <c r="O1809" s="1" t="str">
        <f t="shared" si="200"/>
        <v>25 2012</v>
      </c>
      <c r="P1809" s="1">
        <f t="shared" si="201"/>
        <v>23</v>
      </c>
      <c r="Q1809" s="1">
        <f t="shared" ca="1" si="202"/>
        <v>4056</v>
      </c>
      <c r="S1809" s="1">
        <f t="shared" si="196"/>
        <v>2274</v>
      </c>
    </row>
    <row r="1810" spans="1:19" x14ac:dyDescent="0.2">
      <c r="A1810" s="57" t="s">
        <v>243</v>
      </c>
      <c r="B1810" s="57" t="s">
        <v>225</v>
      </c>
      <c r="C1810" s="57" t="s">
        <v>226</v>
      </c>
      <c r="D1810" s="58">
        <v>317.08</v>
      </c>
      <c r="E1810" s="59">
        <v>41078</v>
      </c>
      <c r="F1810" s="58">
        <v>2274</v>
      </c>
      <c r="G1810" s="58">
        <v>1353</v>
      </c>
      <c r="H1810" s="58">
        <v>1218</v>
      </c>
      <c r="I1810" s="58">
        <v>2375</v>
      </c>
      <c r="J1810" s="58">
        <v>0</v>
      </c>
      <c r="K1810" s="1">
        <f t="shared" si="197"/>
        <v>386203.44</v>
      </c>
      <c r="L1810" s="1">
        <f t="shared" si="198"/>
        <v>1218</v>
      </c>
      <c r="M1810" s="1">
        <f>VLOOKUP(B1810,'[1]Срок Годности'!$A$2:$B$4,2,0)</f>
        <v>500</v>
      </c>
      <c r="N1810" s="60">
        <f t="shared" si="199"/>
        <v>1353</v>
      </c>
      <c r="O1810" s="1" t="str">
        <f t="shared" si="200"/>
        <v>25 2012</v>
      </c>
      <c r="P1810" s="1">
        <f t="shared" si="201"/>
        <v>23</v>
      </c>
      <c r="Q1810" s="1">
        <f t="shared" ca="1" si="202"/>
        <v>4055</v>
      </c>
      <c r="S1810" s="1">
        <f t="shared" si="196"/>
        <v>2375</v>
      </c>
    </row>
    <row r="1811" spans="1:19" x14ac:dyDescent="0.2">
      <c r="A1811" s="57" t="s">
        <v>243</v>
      </c>
      <c r="B1811" s="57" t="s">
        <v>225</v>
      </c>
      <c r="C1811" s="57" t="s">
        <v>226</v>
      </c>
      <c r="D1811" s="58">
        <v>317.08</v>
      </c>
      <c r="E1811" s="59">
        <v>41079</v>
      </c>
      <c r="F1811" s="58">
        <v>2375</v>
      </c>
      <c r="G1811" s="58">
        <v>2068</v>
      </c>
      <c r="H1811" s="58">
        <v>1152</v>
      </c>
      <c r="I1811" s="58">
        <v>3287</v>
      </c>
      <c r="J1811" s="58">
        <v>0</v>
      </c>
      <c r="K1811" s="1">
        <f t="shared" si="197"/>
        <v>365276.15999999997</v>
      </c>
      <c r="L1811" s="1">
        <f t="shared" si="198"/>
        <v>1152</v>
      </c>
      <c r="M1811" s="1">
        <f>VLOOKUP(B1811,'[1]Срок Годности'!$A$2:$B$4,2,0)</f>
        <v>500</v>
      </c>
      <c r="N1811" s="60">
        <f t="shared" si="199"/>
        <v>2068</v>
      </c>
      <c r="O1811" s="1" t="str">
        <f t="shared" si="200"/>
        <v>25 2012</v>
      </c>
      <c r="P1811" s="1">
        <f t="shared" si="201"/>
        <v>23</v>
      </c>
      <c r="Q1811" s="1">
        <f t="shared" ca="1" si="202"/>
        <v>4054</v>
      </c>
      <c r="S1811" s="1">
        <f t="shared" si="196"/>
        <v>3287</v>
      </c>
    </row>
    <row r="1812" spans="1:19" x14ac:dyDescent="0.2">
      <c r="A1812" s="57" t="s">
        <v>243</v>
      </c>
      <c r="B1812" s="57" t="s">
        <v>225</v>
      </c>
      <c r="C1812" s="57" t="s">
        <v>226</v>
      </c>
      <c r="D1812" s="58">
        <v>317.08</v>
      </c>
      <c r="E1812" s="59">
        <v>41080</v>
      </c>
      <c r="F1812" s="58">
        <v>3287</v>
      </c>
      <c r="G1812" s="58">
        <v>1904</v>
      </c>
      <c r="H1812" s="58">
        <v>1243</v>
      </c>
      <c r="I1812" s="58">
        <v>3946</v>
      </c>
      <c r="J1812" s="58">
        <v>0</v>
      </c>
      <c r="K1812" s="1">
        <f t="shared" si="197"/>
        <v>394130.44</v>
      </c>
      <c r="L1812" s="1">
        <f t="shared" si="198"/>
        <v>1243</v>
      </c>
      <c r="M1812" s="1">
        <f>VLOOKUP(B1812,'[1]Срок Годности'!$A$2:$B$4,2,0)</f>
        <v>500</v>
      </c>
      <c r="N1812" s="60">
        <f t="shared" si="199"/>
        <v>1904</v>
      </c>
      <c r="O1812" s="1" t="str">
        <f t="shared" si="200"/>
        <v>25 2012</v>
      </c>
      <c r="P1812" s="1">
        <f t="shared" si="201"/>
        <v>23</v>
      </c>
      <c r="Q1812" s="1">
        <f t="shared" ca="1" si="202"/>
        <v>4053</v>
      </c>
      <c r="S1812" s="1">
        <f t="shared" si="196"/>
        <v>3946</v>
      </c>
    </row>
    <row r="1813" spans="1:19" x14ac:dyDescent="0.2">
      <c r="A1813" s="57" t="s">
        <v>243</v>
      </c>
      <c r="B1813" s="57" t="s">
        <v>225</v>
      </c>
      <c r="C1813" s="57" t="s">
        <v>226</v>
      </c>
      <c r="D1813" s="58">
        <v>317.08</v>
      </c>
      <c r="E1813" s="59">
        <v>41081</v>
      </c>
      <c r="F1813" s="58">
        <v>3946</v>
      </c>
      <c r="G1813" s="58">
        <v>2301</v>
      </c>
      <c r="H1813" s="58">
        <v>1444</v>
      </c>
      <c r="I1813" s="58">
        <v>4782</v>
      </c>
      <c r="J1813" s="58">
        <v>0</v>
      </c>
      <c r="K1813" s="1">
        <f t="shared" si="197"/>
        <v>457863.51999999996</v>
      </c>
      <c r="L1813" s="1">
        <f t="shared" si="198"/>
        <v>1444</v>
      </c>
      <c r="M1813" s="1">
        <f>VLOOKUP(B1813,'[1]Срок Годности'!$A$2:$B$4,2,0)</f>
        <v>500</v>
      </c>
      <c r="N1813" s="60">
        <f t="shared" si="199"/>
        <v>2301</v>
      </c>
      <c r="O1813" s="1" t="str">
        <f t="shared" si="200"/>
        <v>25 2012</v>
      </c>
      <c r="P1813" s="1">
        <f t="shared" si="201"/>
        <v>23</v>
      </c>
      <c r="Q1813" s="1">
        <f t="shared" ca="1" si="202"/>
        <v>4052</v>
      </c>
      <c r="S1813" s="1">
        <f t="shared" si="196"/>
        <v>4782</v>
      </c>
    </row>
    <row r="1814" spans="1:19" x14ac:dyDescent="0.2">
      <c r="A1814" s="57" t="s">
        <v>243</v>
      </c>
      <c r="B1814" s="57" t="s">
        <v>225</v>
      </c>
      <c r="C1814" s="57" t="s">
        <v>226</v>
      </c>
      <c r="D1814" s="58">
        <v>317.08</v>
      </c>
      <c r="E1814" s="59">
        <v>41082</v>
      </c>
      <c r="F1814" s="58">
        <v>4782</v>
      </c>
      <c r="G1814" s="58">
        <v>1356</v>
      </c>
      <c r="H1814" s="58">
        <v>1603</v>
      </c>
      <c r="I1814" s="58">
        <v>4523</v>
      </c>
      <c r="J1814" s="58">
        <v>1</v>
      </c>
      <c r="K1814" s="1">
        <f t="shared" si="197"/>
        <v>508279.24</v>
      </c>
      <c r="L1814" s="1">
        <f t="shared" si="198"/>
        <v>1603</v>
      </c>
      <c r="M1814" s="1">
        <f>VLOOKUP(B1814,'[1]Срок Годности'!$A$2:$B$4,2,0)</f>
        <v>500</v>
      </c>
      <c r="N1814" s="60">
        <f t="shared" si="199"/>
        <v>1356</v>
      </c>
      <c r="O1814" s="1" t="str">
        <f t="shared" si="200"/>
        <v>25 2012</v>
      </c>
      <c r="P1814" s="1">
        <f t="shared" si="201"/>
        <v>23</v>
      </c>
      <c r="Q1814" s="1">
        <f t="shared" ca="1" si="202"/>
        <v>4051</v>
      </c>
      <c r="S1814" s="1">
        <f t="shared" si="196"/>
        <v>4522</v>
      </c>
    </row>
    <row r="1815" spans="1:19" x14ac:dyDescent="0.2">
      <c r="A1815" s="57" t="s">
        <v>243</v>
      </c>
      <c r="B1815" s="57" t="s">
        <v>225</v>
      </c>
      <c r="C1815" s="57" t="s">
        <v>226</v>
      </c>
      <c r="D1815" s="58">
        <v>317.08</v>
      </c>
      <c r="E1815" s="59">
        <v>41083</v>
      </c>
      <c r="F1815" s="58">
        <v>4523</v>
      </c>
      <c r="G1815" s="58">
        <v>1700</v>
      </c>
      <c r="H1815" s="58">
        <v>1689</v>
      </c>
      <c r="I1815" s="58">
        <v>4462</v>
      </c>
      <c r="J1815" s="58">
        <v>0</v>
      </c>
      <c r="K1815" s="1">
        <f t="shared" si="197"/>
        <v>535548.12</v>
      </c>
      <c r="L1815" s="1">
        <f t="shared" si="198"/>
        <v>1689</v>
      </c>
      <c r="M1815" s="1">
        <f>VLOOKUP(B1815,'[1]Срок Годности'!$A$2:$B$4,2,0)</f>
        <v>500</v>
      </c>
      <c r="N1815" s="60">
        <f t="shared" si="199"/>
        <v>1700</v>
      </c>
      <c r="O1815" s="1" t="str">
        <f t="shared" si="200"/>
        <v>25 2012</v>
      </c>
      <c r="P1815" s="1">
        <f t="shared" si="201"/>
        <v>23</v>
      </c>
      <c r="Q1815" s="1">
        <f t="shared" ca="1" si="202"/>
        <v>4050</v>
      </c>
      <c r="S1815" s="1">
        <f t="shared" si="196"/>
        <v>4462</v>
      </c>
    </row>
    <row r="1816" spans="1:19" x14ac:dyDescent="0.2">
      <c r="A1816" s="57" t="s">
        <v>243</v>
      </c>
      <c r="B1816" s="57" t="s">
        <v>225</v>
      </c>
      <c r="C1816" s="57" t="s">
        <v>226</v>
      </c>
      <c r="D1816" s="58">
        <v>317.08</v>
      </c>
      <c r="E1816" s="59">
        <v>41084</v>
      </c>
      <c r="F1816" s="58">
        <v>4462</v>
      </c>
      <c r="G1816" s="58">
        <v>2293</v>
      </c>
      <c r="H1816" s="58">
        <v>1864</v>
      </c>
      <c r="I1816" s="58">
        <v>4925</v>
      </c>
      <c r="J1816" s="58">
        <v>0</v>
      </c>
      <c r="K1816" s="1">
        <f t="shared" si="197"/>
        <v>591037.12</v>
      </c>
      <c r="L1816" s="1">
        <f t="shared" si="198"/>
        <v>1864</v>
      </c>
      <c r="M1816" s="1">
        <f>VLOOKUP(B1816,'[1]Срок Годности'!$A$2:$B$4,2,0)</f>
        <v>500</v>
      </c>
      <c r="N1816" s="60">
        <f t="shared" si="199"/>
        <v>0</v>
      </c>
      <c r="O1816" s="1" t="str">
        <f t="shared" si="200"/>
        <v>26 2012</v>
      </c>
      <c r="P1816" s="1">
        <f t="shared" si="201"/>
        <v>23</v>
      </c>
      <c r="Q1816" s="1">
        <f t="shared" ca="1" si="202"/>
        <v>4049</v>
      </c>
      <c r="S1816" s="1">
        <f t="shared" si="196"/>
        <v>4925</v>
      </c>
    </row>
    <row r="1817" spans="1:19" x14ac:dyDescent="0.2">
      <c r="A1817" s="57" t="s">
        <v>243</v>
      </c>
      <c r="B1817" s="57" t="s">
        <v>225</v>
      </c>
      <c r="C1817" s="57" t="s">
        <v>226</v>
      </c>
      <c r="D1817" s="58">
        <v>317.08</v>
      </c>
      <c r="E1817" s="59">
        <v>41085</v>
      </c>
      <c r="F1817" s="58">
        <v>4925</v>
      </c>
      <c r="G1817" s="58">
        <v>2716</v>
      </c>
      <c r="H1817" s="58">
        <v>1882</v>
      </c>
      <c r="I1817" s="58">
        <v>5767</v>
      </c>
      <c r="J1817" s="58">
        <v>0</v>
      </c>
      <c r="K1817" s="1">
        <f t="shared" si="197"/>
        <v>596744.55999999994</v>
      </c>
      <c r="L1817" s="1">
        <f t="shared" si="198"/>
        <v>1882</v>
      </c>
      <c r="M1817" s="1">
        <f>VLOOKUP(B1817,'[1]Срок Годности'!$A$2:$B$4,2,0)</f>
        <v>500</v>
      </c>
      <c r="N1817" s="60">
        <f t="shared" si="199"/>
        <v>2716</v>
      </c>
      <c r="O1817" s="1" t="str">
        <f t="shared" si="200"/>
        <v>26 2012</v>
      </c>
      <c r="P1817" s="1">
        <f t="shared" si="201"/>
        <v>23</v>
      </c>
      <c r="Q1817" s="1">
        <f t="shared" ca="1" si="202"/>
        <v>4048</v>
      </c>
      <c r="S1817" s="1">
        <f t="shared" si="196"/>
        <v>5767</v>
      </c>
    </row>
    <row r="1818" spans="1:19" x14ac:dyDescent="0.2">
      <c r="A1818" s="57" t="s">
        <v>243</v>
      </c>
      <c r="B1818" s="57" t="s">
        <v>225</v>
      </c>
      <c r="C1818" s="57" t="s">
        <v>226</v>
      </c>
      <c r="D1818" s="58">
        <v>317.08</v>
      </c>
      <c r="E1818" s="59">
        <v>41086</v>
      </c>
      <c r="F1818" s="58">
        <v>5767</v>
      </c>
      <c r="G1818" s="58">
        <v>340</v>
      </c>
      <c r="H1818" s="58">
        <v>1777</v>
      </c>
      <c r="I1818" s="58">
        <v>4309</v>
      </c>
      <c r="J1818" s="58">
        <v>0</v>
      </c>
      <c r="K1818" s="1">
        <f t="shared" si="197"/>
        <v>563451.15999999992</v>
      </c>
      <c r="L1818" s="1">
        <f t="shared" si="198"/>
        <v>1777</v>
      </c>
      <c r="M1818" s="1">
        <f>VLOOKUP(B1818,'[1]Срок Годности'!$A$2:$B$4,2,0)</f>
        <v>500</v>
      </c>
      <c r="N1818" s="60">
        <f t="shared" si="199"/>
        <v>340</v>
      </c>
      <c r="O1818" s="1" t="str">
        <f t="shared" si="200"/>
        <v>26 2012</v>
      </c>
      <c r="P1818" s="1">
        <f t="shared" si="201"/>
        <v>23</v>
      </c>
      <c r="Q1818" s="1">
        <f t="shared" ca="1" si="202"/>
        <v>4047</v>
      </c>
      <c r="S1818" s="1">
        <f t="shared" si="196"/>
        <v>4309</v>
      </c>
    </row>
    <row r="1819" spans="1:19" x14ac:dyDescent="0.2">
      <c r="A1819" s="57" t="s">
        <v>243</v>
      </c>
      <c r="B1819" s="57" t="s">
        <v>225</v>
      </c>
      <c r="C1819" s="57" t="s">
        <v>226</v>
      </c>
      <c r="D1819" s="58">
        <v>317.08</v>
      </c>
      <c r="E1819" s="59">
        <v>41087</v>
      </c>
      <c r="F1819" s="58">
        <v>4309</v>
      </c>
      <c r="G1819" s="58">
        <v>548</v>
      </c>
      <c r="H1819" s="58">
        <v>1249</v>
      </c>
      <c r="I1819" s="58">
        <v>3600</v>
      </c>
      <c r="J1819" s="58">
        <v>0</v>
      </c>
      <c r="K1819" s="1">
        <f t="shared" si="197"/>
        <v>396032.92</v>
      </c>
      <c r="L1819" s="1">
        <f t="shared" si="198"/>
        <v>1249</v>
      </c>
      <c r="M1819" s="1">
        <f>VLOOKUP(B1819,'[1]Срок Годности'!$A$2:$B$4,2,0)</f>
        <v>500</v>
      </c>
      <c r="N1819" s="60">
        <f t="shared" si="199"/>
        <v>548</v>
      </c>
      <c r="O1819" s="1" t="str">
        <f t="shared" si="200"/>
        <v>26 2012</v>
      </c>
      <c r="P1819" s="1">
        <f t="shared" si="201"/>
        <v>23</v>
      </c>
      <c r="Q1819" s="1">
        <f t="shared" ca="1" si="202"/>
        <v>4046</v>
      </c>
      <c r="S1819" s="1">
        <f t="shared" si="196"/>
        <v>3600</v>
      </c>
    </row>
    <row r="1820" spans="1:19" x14ac:dyDescent="0.2">
      <c r="A1820" s="57" t="s">
        <v>243</v>
      </c>
      <c r="B1820" s="57" t="s">
        <v>225</v>
      </c>
      <c r="C1820" s="57" t="s">
        <v>226</v>
      </c>
      <c r="D1820" s="58">
        <v>317.08</v>
      </c>
      <c r="E1820" s="59">
        <v>41088</v>
      </c>
      <c r="F1820" s="58">
        <v>3600</v>
      </c>
      <c r="G1820" s="58">
        <v>2239</v>
      </c>
      <c r="H1820" s="58">
        <v>1187</v>
      </c>
      <c r="I1820" s="58">
        <v>4620</v>
      </c>
      <c r="J1820" s="58">
        <v>1</v>
      </c>
      <c r="K1820" s="1">
        <f t="shared" si="197"/>
        <v>376373.95999999996</v>
      </c>
      <c r="L1820" s="1">
        <f t="shared" si="198"/>
        <v>1187</v>
      </c>
      <c r="M1820" s="1">
        <f>VLOOKUP(B1820,'[1]Срок Годности'!$A$2:$B$4,2,0)</f>
        <v>500</v>
      </c>
      <c r="N1820" s="60">
        <f t="shared" si="199"/>
        <v>2239</v>
      </c>
      <c r="O1820" s="1" t="str">
        <f t="shared" si="200"/>
        <v>26 2012</v>
      </c>
      <c r="P1820" s="1">
        <f t="shared" si="201"/>
        <v>23</v>
      </c>
      <c r="Q1820" s="1">
        <f t="shared" ca="1" si="202"/>
        <v>4045</v>
      </c>
      <c r="S1820" s="1">
        <f t="shared" si="196"/>
        <v>4619</v>
      </c>
    </row>
    <row r="1821" spans="1:19" x14ac:dyDescent="0.2">
      <c r="A1821" s="57" t="s">
        <v>243</v>
      </c>
      <c r="B1821" s="57" t="s">
        <v>225</v>
      </c>
      <c r="C1821" s="57" t="s">
        <v>226</v>
      </c>
      <c r="D1821" s="58">
        <v>317.08</v>
      </c>
      <c r="E1821" s="59">
        <v>41089</v>
      </c>
      <c r="F1821" s="58">
        <v>4620</v>
      </c>
      <c r="G1821" s="58">
        <v>416</v>
      </c>
      <c r="H1821" s="58">
        <v>1365</v>
      </c>
      <c r="I1821" s="58">
        <v>3642</v>
      </c>
      <c r="J1821" s="58">
        <v>0</v>
      </c>
      <c r="K1821" s="1">
        <f t="shared" si="197"/>
        <v>432814.19999999995</v>
      </c>
      <c r="L1821" s="1">
        <f t="shared" si="198"/>
        <v>1365</v>
      </c>
      <c r="M1821" s="1">
        <f>VLOOKUP(B1821,'[1]Срок Годности'!$A$2:$B$4,2,0)</f>
        <v>500</v>
      </c>
      <c r="N1821" s="60">
        <f t="shared" si="199"/>
        <v>416</v>
      </c>
      <c r="O1821" s="1" t="str">
        <f t="shared" si="200"/>
        <v>26 2012</v>
      </c>
      <c r="P1821" s="1">
        <f t="shared" si="201"/>
        <v>23</v>
      </c>
      <c r="Q1821" s="1">
        <f t="shared" ca="1" si="202"/>
        <v>4044</v>
      </c>
      <c r="S1821" s="1">
        <f t="shared" si="196"/>
        <v>3642</v>
      </c>
    </row>
    <row r="1822" spans="1:19" x14ac:dyDescent="0.2">
      <c r="A1822" s="57" t="s">
        <v>243</v>
      </c>
      <c r="B1822" s="57" t="s">
        <v>225</v>
      </c>
      <c r="C1822" s="57" t="s">
        <v>226</v>
      </c>
      <c r="D1822" s="58">
        <v>317.08</v>
      </c>
      <c r="E1822" s="59">
        <v>41090</v>
      </c>
      <c r="F1822" s="58">
        <v>3642</v>
      </c>
      <c r="G1822" s="58">
        <v>4247</v>
      </c>
      <c r="H1822" s="58">
        <v>2137</v>
      </c>
      <c r="I1822" s="58">
        <v>5685</v>
      </c>
      <c r="J1822" s="58">
        <v>0</v>
      </c>
      <c r="K1822" s="1">
        <f t="shared" si="197"/>
        <v>677599.96</v>
      </c>
      <c r="L1822" s="1">
        <f t="shared" si="198"/>
        <v>2137</v>
      </c>
      <c r="M1822" s="1">
        <f>VLOOKUP(B1822,'[1]Срок Годности'!$A$2:$B$4,2,0)</f>
        <v>500</v>
      </c>
      <c r="N1822" s="60">
        <f t="shared" si="199"/>
        <v>4247</v>
      </c>
      <c r="O1822" s="1" t="str">
        <f t="shared" si="200"/>
        <v>26 2012</v>
      </c>
      <c r="P1822" s="1">
        <f t="shared" si="201"/>
        <v>23</v>
      </c>
      <c r="Q1822" s="1">
        <f t="shared" ca="1" si="202"/>
        <v>4043</v>
      </c>
      <c r="S1822" s="1">
        <f t="shared" si="196"/>
        <v>5685</v>
      </c>
    </row>
    <row r="1823" spans="1:19" x14ac:dyDescent="0.2">
      <c r="A1823" s="57" t="s">
        <v>243</v>
      </c>
      <c r="B1823" s="57" t="s">
        <v>225</v>
      </c>
      <c r="C1823" s="57" t="s">
        <v>226</v>
      </c>
      <c r="D1823" s="58">
        <v>317.08</v>
      </c>
      <c r="E1823" s="59">
        <v>41091</v>
      </c>
      <c r="F1823" s="58">
        <v>5685</v>
      </c>
      <c r="G1823" s="58">
        <v>3577</v>
      </c>
      <c r="H1823" s="58">
        <v>3361</v>
      </c>
      <c r="I1823" s="58">
        <v>5827</v>
      </c>
      <c r="J1823" s="58">
        <v>0</v>
      </c>
      <c r="K1823" s="1">
        <f t="shared" si="197"/>
        <v>1065705.8799999999</v>
      </c>
      <c r="L1823" s="1">
        <f t="shared" si="198"/>
        <v>3361</v>
      </c>
      <c r="M1823" s="1">
        <f>VLOOKUP(B1823,'[1]Срок Годности'!$A$2:$B$4,2,0)</f>
        <v>500</v>
      </c>
      <c r="N1823" s="60">
        <f t="shared" si="199"/>
        <v>0</v>
      </c>
      <c r="O1823" s="1" t="str">
        <f t="shared" si="200"/>
        <v>27 2012</v>
      </c>
      <c r="P1823" s="1">
        <f t="shared" si="201"/>
        <v>23</v>
      </c>
      <c r="Q1823" s="1">
        <f t="shared" ca="1" si="202"/>
        <v>4042</v>
      </c>
      <c r="S1823" s="1">
        <f t="shared" si="196"/>
        <v>5827</v>
      </c>
    </row>
    <row r="1824" spans="1:19" x14ac:dyDescent="0.2">
      <c r="A1824" s="57" t="s">
        <v>243</v>
      </c>
      <c r="B1824" s="57" t="s">
        <v>225</v>
      </c>
      <c r="C1824" s="57" t="s">
        <v>226</v>
      </c>
      <c r="D1824" s="58">
        <v>317.08</v>
      </c>
      <c r="E1824" s="59">
        <v>41092</v>
      </c>
      <c r="F1824" s="58">
        <v>5827</v>
      </c>
      <c r="G1824" s="58">
        <v>3061</v>
      </c>
      <c r="H1824" s="58">
        <v>3236</v>
      </c>
      <c r="I1824" s="58">
        <v>5652</v>
      </c>
      <c r="J1824" s="58">
        <v>0</v>
      </c>
      <c r="K1824" s="1">
        <f t="shared" si="197"/>
        <v>1026070.88</v>
      </c>
      <c r="L1824" s="1">
        <f t="shared" si="198"/>
        <v>3236</v>
      </c>
      <c r="M1824" s="1">
        <f>VLOOKUP(B1824,'[1]Срок Годности'!$A$2:$B$4,2,0)</f>
        <v>500</v>
      </c>
      <c r="N1824" s="60">
        <f t="shared" si="199"/>
        <v>3061</v>
      </c>
      <c r="O1824" s="1" t="str">
        <f t="shared" si="200"/>
        <v>27 2012</v>
      </c>
      <c r="P1824" s="1">
        <f t="shared" si="201"/>
        <v>23</v>
      </c>
      <c r="Q1824" s="1">
        <f t="shared" ca="1" si="202"/>
        <v>4041</v>
      </c>
      <c r="S1824" s="1">
        <f t="shared" si="196"/>
        <v>5652</v>
      </c>
    </row>
    <row r="1825" spans="1:19" x14ac:dyDescent="0.2">
      <c r="A1825" s="57" t="s">
        <v>243</v>
      </c>
      <c r="B1825" s="57" t="s">
        <v>225</v>
      </c>
      <c r="C1825" s="57" t="s">
        <v>226</v>
      </c>
      <c r="D1825" s="58">
        <v>317.08</v>
      </c>
      <c r="E1825" s="59">
        <v>41093</v>
      </c>
      <c r="F1825" s="58">
        <v>5652</v>
      </c>
      <c r="G1825" s="58">
        <v>3165</v>
      </c>
      <c r="H1825" s="58">
        <v>2762</v>
      </c>
      <c r="I1825" s="58">
        <v>6039</v>
      </c>
      <c r="J1825" s="58">
        <v>0</v>
      </c>
      <c r="K1825" s="1">
        <f t="shared" si="197"/>
        <v>875774.96</v>
      </c>
      <c r="L1825" s="1">
        <f t="shared" si="198"/>
        <v>2762</v>
      </c>
      <c r="M1825" s="1">
        <f>VLOOKUP(B1825,'[1]Срок Годности'!$A$2:$B$4,2,0)</f>
        <v>500</v>
      </c>
      <c r="N1825" s="60">
        <f t="shared" si="199"/>
        <v>3165</v>
      </c>
      <c r="O1825" s="1" t="str">
        <f t="shared" si="200"/>
        <v>27 2012</v>
      </c>
      <c r="P1825" s="1">
        <f t="shared" si="201"/>
        <v>23</v>
      </c>
      <c r="Q1825" s="1">
        <f t="shared" ca="1" si="202"/>
        <v>4040</v>
      </c>
      <c r="S1825" s="1">
        <f t="shared" si="196"/>
        <v>6039</v>
      </c>
    </row>
    <row r="1826" spans="1:19" x14ac:dyDescent="0.2">
      <c r="A1826" s="57" t="s">
        <v>243</v>
      </c>
      <c r="B1826" s="57" t="s">
        <v>225</v>
      </c>
      <c r="C1826" s="57" t="s">
        <v>226</v>
      </c>
      <c r="D1826" s="58">
        <v>317.08</v>
      </c>
      <c r="E1826" s="59">
        <v>41094</v>
      </c>
      <c r="F1826" s="58">
        <v>6039</v>
      </c>
      <c r="G1826" s="58">
        <v>1774</v>
      </c>
      <c r="H1826" s="58">
        <v>2311</v>
      </c>
      <c r="I1826" s="58">
        <v>5519</v>
      </c>
      <c r="J1826" s="58">
        <v>0</v>
      </c>
      <c r="K1826" s="1">
        <f t="shared" si="197"/>
        <v>732771.88</v>
      </c>
      <c r="L1826" s="1">
        <f t="shared" si="198"/>
        <v>2311</v>
      </c>
      <c r="M1826" s="1">
        <f>VLOOKUP(B1826,'[1]Срок Годности'!$A$2:$B$4,2,0)</f>
        <v>500</v>
      </c>
      <c r="N1826" s="60">
        <f t="shared" si="199"/>
        <v>1774</v>
      </c>
      <c r="O1826" s="1" t="str">
        <f t="shared" si="200"/>
        <v>27 2012</v>
      </c>
      <c r="P1826" s="1">
        <f t="shared" si="201"/>
        <v>23</v>
      </c>
      <c r="Q1826" s="1">
        <f t="shared" ca="1" si="202"/>
        <v>4039</v>
      </c>
      <c r="S1826" s="1">
        <f t="shared" si="196"/>
        <v>5519</v>
      </c>
    </row>
    <row r="1827" spans="1:19" x14ac:dyDescent="0.2">
      <c r="A1827" s="57" t="s">
        <v>243</v>
      </c>
      <c r="B1827" s="57" t="s">
        <v>225</v>
      </c>
      <c r="C1827" s="57" t="s">
        <v>226</v>
      </c>
      <c r="D1827" s="58">
        <v>317.08</v>
      </c>
      <c r="E1827" s="59">
        <v>41095</v>
      </c>
      <c r="F1827" s="58">
        <v>5519</v>
      </c>
      <c r="G1827" s="58">
        <v>5098</v>
      </c>
      <c r="H1827" s="58">
        <v>2193</v>
      </c>
      <c r="I1827" s="58">
        <v>8401</v>
      </c>
      <c r="J1827" s="58">
        <v>0</v>
      </c>
      <c r="K1827" s="1">
        <f t="shared" si="197"/>
        <v>695356.44</v>
      </c>
      <c r="L1827" s="1">
        <f t="shared" si="198"/>
        <v>2193</v>
      </c>
      <c r="M1827" s="1">
        <f>VLOOKUP(B1827,'[1]Срок Годности'!$A$2:$B$4,2,0)</f>
        <v>500</v>
      </c>
      <c r="N1827" s="60">
        <f t="shared" si="199"/>
        <v>5098</v>
      </c>
      <c r="O1827" s="1" t="str">
        <f t="shared" si="200"/>
        <v>27 2012</v>
      </c>
      <c r="P1827" s="1">
        <f t="shared" si="201"/>
        <v>23</v>
      </c>
      <c r="Q1827" s="1">
        <f t="shared" ca="1" si="202"/>
        <v>4038</v>
      </c>
      <c r="S1827" s="1">
        <f t="shared" si="196"/>
        <v>8401</v>
      </c>
    </row>
    <row r="1828" spans="1:19" x14ac:dyDescent="0.2">
      <c r="A1828" s="57" t="s">
        <v>243</v>
      </c>
      <c r="B1828" s="57" t="s">
        <v>225</v>
      </c>
      <c r="C1828" s="57" t="s">
        <v>226</v>
      </c>
      <c r="D1828" s="58">
        <v>317.08</v>
      </c>
      <c r="E1828" s="59">
        <v>41096</v>
      </c>
      <c r="F1828" s="58">
        <v>8401</v>
      </c>
      <c r="G1828" s="58">
        <v>5112</v>
      </c>
      <c r="H1828" s="58">
        <v>2828</v>
      </c>
      <c r="I1828" s="58">
        <v>10653</v>
      </c>
      <c r="J1828" s="58">
        <v>0</v>
      </c>
      <c r="K1828" s="1">
        <f t="shared" si="197"/>
        <v>896702.24</v>
      </c>
      <c r="L1828" s="1">
        <f t="shared" si="198"/>
        <v>2828</v>
      </c>
      <c r="M1828" s="1">
        <f>VLOOKUP(B1828,'[1]Срок Годности'!$A$2:$B$4,2,0)</f>
        <v>500</v>
      </c>
      <c r="N1828" s="60">
        <f t="shared" si="199"/>
        <v>5112</v>
      </c>
      <c r="O1828" s="1" t="str">
        <f t="shared" si="200"/>
        <v>27 2012</v>
      </c>
      <c r="P1828" s="1">
        <f t="shared" si="201"/>
        <v>23</v>
      </c>
      <c r="Q1828" s="1">
        <f t="shared" ca="1" si="202"/>
        <v>4037</v>
      </c>
      <c r="S1828" s="1">
        <f t="shared" si="196"/>
        <v>10653</v>
      </c>
    </row>
    <row r="1829" spans="1:19" x14ac:dyDescent="0.2">
      <c r="A1829" s="57" t="s">
        <v>243</v>
      </c>
      <c r="B1829" s="57" t="s">
        <v>225</v>
      </c>
      <c r="C1829" s="57" t="s">
        <v>226</v>
      </c>
      <c r="D1829" s="58">
        <v>317.08</v>
      </c>
      <c r="E1829" s="59">
        <v>41097</v>
      </c>
      <c r="F1829" s="58">
        <v>10653</v>
      </c>
      <c r="G1829" s="58">
        <v>2725</v>
      </c>
      <c r="H1829" s="58">
        <v>3684</v>
      </c>
      <c r="I1829" s="58">
        <v>9660</v>
      </c>
      <c r="J1829" s="58">
        <v>0</v>
      </c>
      <c r="K1829" s="1">
        <f t="shared" si="197"/>
        <v>1168122.72</v>
      </c>
      <c r="L1829" s="1">
        <f t="shared" si="198"/>
        <v>3684</v>
      </c>
      <c r="M1829" s="1">
        <f>VLOOKUP(B1829,'[1]Срок Годности'!$A$2:$B$4,2,0)</f>
        <v>500</v>
      </c>
      <c r="N1829" s="60">
        <f t="shared" si="199"/>
        <v>2725</v>
      </c>
      <c r="O1829" s="1" t="str">
        <f t="shared" si="200"/>
        <v>27 2012</v>
      </c>
      <c r="P1829" s="1">
        <f t="shared" si="201"/>
        <v>23</v>
      </c>
      <c r="Q1829" s="1">
        <f t="shared" ca="1" si="202"/>
        <v>4036</v>
      </c>
      <c r="S1829" s="1">
        <f t="shared" si="196"/>
        <v>9660</v>
      </c>
    </row>
    <row r="1830" spans="1:19" x14ac:dyDescent="0.2">
      <c r="A1830" s="57" t="s">
        <v>243</v>
      </c>
      <c r="B1830" s="57" t="s">
        <v>225</v>
      </c>
      <c r="C1830" s="57" t="s">
        <v>226</v>
      </c>
      <c r="D1830" s="58">
        <v>317.08</v>
      </c>
      <c r="E1830" s="59">
        <v>41098</v>
      </c>
      <c r="F1830" s="58">
        <v>9660</v>
      </c>
      <c r="G1830" s="58">
        <v>4125</v>
      </c>
      <c r="H1830" s="58">
        <v>3088</v>
      </c>
      <c r="I1830" s="58">
        <v>10677</v>
      </c>
      <c r="J1830" s="58">
        <v>0</v>
      </c>
      <c r="K1830" s="1">
        <f t="shared" si="197"/>
        <v>979143.03999999992</v>
      </c>
      <c r="L1830" s="1">
        <f t="shared" si="198"/>
        <v>3088</v>
      </c>
      <c r="M1830" s="1">
        <f>VLOOKUP(B1830,'[1]Срок Годности'!$A$2:$B$4,2,0)</f>
        <v>500</v>
      </c>
      <c r="N1830" s="60">
        <f t="shared" si="199"/>
        <v>0</v>
      </c>
      <c r="O1830" s="1" t="str">
        <f t="shared" si="200"/>
        <v>28 2012</v>
      </c>
      <c r="P1830" s="1">
        <f t="shared" si="201"/>
        <v>23</v>
      </c>
      <c r="Q1830" s="1">
        <f t="shared" ca="1" si="202"/>
        <v>4035</v>
      </c>
      <c r="S1830" s="1">
        <f t="shared" si="196"/>
        <v>10677</v>
      </c>
    </row>
    <row r="1831" spans="1:19" x14ac:dyDescent="0.2">
      <c r="A1831" s="57" t="s">
        <v>243</v>
      </c>
      <c r="B1831" s="57" t="s">
        <v>225</v>
      </c>
      <c r="C1831" s="57" t="s">
        <v>226</v>
      </c>
      <c r="D1831" s="58">
        <v>317.08</v>
      </c>
      <c r="E1831" s="59">
        <v>41099</v>
      </c>
      <c r="F1831" s="58">
        <v>10677</v>
      </c>
      <c r="G1831" s="58">
        <v>4373</v>
      </c>
      <c r="H1831" s="58">
        <v>2450</v>
      </c>
      <c r="I1831" s="58">
        <v>12511</v>
      </c>
      <c r="J1831" s="58">
        <v>0</v>
      </c>
      <c r="K1831" s="1">
        <f t="shared" si="197"/>
        <v>776846</v>
      </c>
      <c r="L1831" s="1">
        <f t="shared" si="198"/>
        <v>2450</v>
      </c>
      <c r="M1831" s="1">
        <f>VLOOKUP(B1831,'[1]Срок Годности'!$A$2:$B$4,2,0)</f>
        <v>500</v>
      </c>
      <c r="N1831" s="60">
        <f t="shared" si="199"/>
        <v>4373</v>
      </c>
      <c r="O1831" s="1" t="str">
        <f t="shared" si="200"/>
        <v>28 2012</v>
      </c>
      <c r="P1831" s="1">
        <f t="shared" si="201"/>
        <v>23</v>
      </c>
      <c r="Q1831" s="1">
        <f t="shared" ca="1" si="202"/>
        <v>4034</v>
      </c>
      <c r="S1831" s="1">
        <f t="shared" si="196"/>
        <v>12511</v>
      </c>
    </row>
    <row r="1832" spans="1:19" x14ac:dyDescent="0.2">
      <c r="A1832" s="57" t="s">
        <v>243</v>
      </c>
      <c r="B1832" s="57" t="s">
        <v>225</v>
      </c>
      <c r="C1832" s="57" t="s">
        <v>226</v>
      </c>
      <c r="D1832" s="58">
        <v>317.08</v>
      </c>
      <c r="E1832" s="59">
        <v>41100</v>
      </c>
      <c r="F1832" s="58">
        <v>12511</v>
      </c>
      <c r="G1832" s="58">
        <v>3466</v>
      </c>
      <c r="H1832" s="58">
        <v>2323</v>
      </c>
      <c r="I1832" s="58">
        <v>13603</v>
      </c>
      <c r="J1832" s="58">
        <v>0</v>
      </c>
      <c r="K1832" s="1">
        <f t="shared" si="197"/>
        <v>736576.84</v>
      </c>
      <c r="L1832" s="1">
        <f t="shared" si="198"/>
        <v>2323</v>
      </c>
      <c r="M1832" s="1">
        <f>VLOOKUP(B1832,'[1]Срок Годности'!$A$2:$B$4,2,0)</f>
        <v>500</v>
      </c>
      <c r="N1832" s="60">
        <f t="shared" si="199"/>
        <v>3466</v>
      </c>
      <c r="O1832" s="1" t="str">
        <f t="shared" si="200"/>
        <v>28 2012</v>
      </c>
      <c r="P1832" s="1">
        <f t="shared" si="201"/>
        <v>23</v>
      </c>
      <c r="Q1832" s="1">
        <f t="shared" ca="1" si="202"/>
        <v>4033</v>
      </c>
      <c r="S1832" s="1">
        <f t="shared" si="196"/>
        <v>13603</v>
      </c>
    </row>
    <row r="1833" spans="1:19" x14ac:dyDescent="0.2">
      <c r="A1833" s="57" t="s">
        <v>243</v>
      </c>
      <c r="B1833" s="57" t="s">
        <v>225</v>
      </c>
      <c r="C1833" s="57" t="s">
        <v>226</v>
      </c>
      <c r="D1833" s="58">
        <v>317.08</v>
      </c>
      <c r="E1833" s="59">
        <v>41101</v>
      </c>
      <c r="F1833" s="58">
        <v>13603</v>
      </c>
      <c r="G1833" s="58">
        <v>5</v>
      </c>
      <c r="H1833" s="58">
        <v>2132</v>
      </c>
      <c r="I1833" s="58">
        <v>11437</v>
      </c>
      <c r="J1833" s="58">
        <v>1</v>
      </c>
      <c r="K1833" s="1">
        <f t="shared" si="197"/>
        <v>676014.55999999994</v>
      </c>
      <c r="L1833" s="1">
        <f t="shared" si="198"/>
        <v>2132</v>
      </c>
      <c r="M1833" s="1">
        <f>VLOOKUP(B1833,'[1]Срок Годности'!$A$2:$B$4,2,0)</f>
        <v>500</v>
      </c>
      <c r="N1833" s="60">
        <f t="shared" si="199"/>
        <v>5</v>
      </c>
      <c r="O1833" s="1" t="str">
        <f t="shared" si="200"/>
        <v>28 2012</v>
      </c>
      <c r="P1833" s="1">
        <f t="shared" si="201"/>
        <v>23</v>
      </c>
      <c r="Q1833" s="1">
        <f t="shared" ca="1" si="202"/>
        <v>4032</v>
      </c>
      <c r="S1833" s="1">
        <f t="shared" si="196"/>
        <v>11436</v>
      </c>
    </row>
    <row r="1834" spans="1:19" x14ac:dyDescent="0.2">
      <c r="A1834" s="57" t="s">
        <v>243</v>
      </c>
      <c r="B1834" s="57" t="s">
        <v>225</v>
      </c>
      <c r="C1834" s="57" t="s">
        <v>226</v>
      </c>
      <c r="D1834" s="58">
        <v>317.08</v>
      </c>
      <c r="E1834" s="59">
        <v>41102</v>
      </c>
      <c r="F1834" s="58">
        <v>11437</v>
      </c>
      <c r="G1834" s="58">
        <v>3832</v>
      </c>
      <c r="H1834" s="58">
        <v>1653</v>
      </c>
      <c r="I1834" s="58">
        <v>13594</v>
      </c>
      <c r="J1834" s="58">
        <v>0</v>
      </c>
      <c r="K1834" s="1">
        <f t="shared" si="197"/>
        <v>524133.24</v>
      </c>
      <c r="L1834" s="1">
        <f t="shared" si="198"/>
        <v>1653</v>
      </c>
      <c r="M1834" s="1">
        <f>VLOOKUP(B1834,'[1]Срок Годности'!$A$2:$B$4,2,0)</f>
        <v>500</v>
      </c>
      <c r="N1834" s="60">
        <f t="shared" si="199"/>
        <v>3832</v>
      </c>
      <c r="O1834" s="1" t="str">
        <f t="shared" si="200"/>
        <v>28 2012</v>
      </c>
      <c r="P1834" s="1">
        <f t="shared" si="201"/>
        <v>23</v>
      </c>
      <c r="Q1834" s="1">
        <f t="shared" ca="1" si="202"/>
        <v>4031</v>
      </c>
      <c r="S1834" s="1">
        <f t="shared" si="196"/>
        <v>13594</v>
      </c>
    </row>
    <row r="1835" spans="1:19" x14ac:dyDescent="0.2">
      <c r="A1835" s="57" t="s">
        <v>243</v>
      </c>
      <c r="B1835" s="57" t="s">
        <v>225</v>
      </c>
      <c r="C1835" s="57" t="s">
        <v>226</v>
      </c>
      <c r="D1835" s="58">
        <v>317.08</v>
      </c>
      <c r="E1835" s="59">
        <v>41103</v>
      </c>
      <c r="F1835" s="58">
        <v>13594</v>
      </c>
      <c r="G1835" s="58">
        <v>3172</v>
      </c>
      <c r="H1835" s="58">
        <v>1469</v>
      </c>
      <c r="I1835" s="58">
        <v>15260</v>
      </c>
      <c r="J1835" s="58">
        <v>0</v>
      </c>
      <c r="K1835" s="1">
        <f t="shared" si="197"/>
        <v>465790.51999999996</v>
      </c>
      <c r="L1835" s="1">
        <f t="shared" si="198"/>
        <v>1469</v>
      </c>
      <c r="M1835" s="1">
        <f>VLOOKUP(B1835,'[1]Срок Годности'!$A$2:$B$4,2,0)</f>
        <v>500</v>
      </c>
      <c r="N1835" s="60">
        <f t="shared" si="199"/>
        <v>3172</v>
      </c>
      <c r="O1835" s="1" t="str">
        <f t="shared" si="200"/>
        <v>28 2012</v>
      </c>
      <c r="P1835" s="1">
        <f t="shared" si="201"/>
        <v>23</v>
      </c>
      <c r="Q1835" s="1">
        <f t="shared" ca="1" si="202"/>
        <v>4030</v>
      </c>
      <c r="S1835" s="1">
        <f t="shared" si="196"/>
        <v>15260</v>
      </c>
    </row>
    <row r="1836" spans="1:19" x14ac:dyDescent="0.2">
      <c r="A1836" s="57" t="s">
        <v>243</v>
      </c>
      <c r="B1836" s="57" t="s">
        <v>225</v>
      </c>
      <c r="C1836" s="57" t="s">
        <v>226</v>
      </c>
      <c r="D1836" s="58">
        <v>317.08</v>
      </c>
      <c r="E1836" s="59">
        <v>41104</v>
      </c>
      <c r="F1836" s="58">
        <v>15260</v>
      </c>
      <c r="G1836" s="58">
        <v>2276</v>
      </c>
      <c r="H1836" s="58">
        <v>1870</v>
      </c>
      <c r="I1836" s="58">
        <v>15618</v>
      </c>
      <c r="J1836" s="58">
        <v>0</v>
      </c>
      <c r="K1836" s="1">
        <f t="shared" si="197"/>
        <v>592939.6</v>
      </c>
      <c r="L1836" s="1">
        <f t="shared" si="198"/>
        <v>1870</v>
      </c>
      <c r="M1836" s="1">
        <f>VLOOKUP(B1836,'[1]Срок Годности'!$A$2:$B$4,2,0)</f>
        <v>500</v>
      </c>
      <c r="N1836" s="60">
        <f t="shared" si="199"/>
        <v>2276</v>
      </c>
      <c r="O1836" s="1" t="str">
        <f t="shared" si="200"/>
        <v>28 2012</v>
      </c>
      <c r="P1836" s="1">
        <f t="shared" si="201"/>
        <v>23</v>
      </c>
      <c r="Q1836" s="1">
        <f t="shared" ca="1" si="202"/>
        <v>4029</v>
      </c>
      <c r="S1836" s="1">
        <f t="shared" si="196"/>
        <v>15618</v>
      </c>
    </row>
    <row r="1837" spans="1:19" x14ac:dyDescent="0.2">
      <c r="A1837" s="57" t="s">
        <v>243</v>
      </c>
      <c r="B1837" s="57" t="s">
        <v>225</v>
      </c>
      <c r="C1837" s="57" t="s">
        <v>226</v>
      </c>
      <c r="D1837" s="58">
        <v>317.08</v>
      </c>
      <c r="E1837" s="59">
        <v>41105</v>
      </c>
      <c r="F1837" s="58">
        <v>15618</v>
      </c>
      <c r="G1837" s="58">
        <v>747</v>
      </c>
      <c r="H1837" s="58">
        <v>1690</v>
      </c>
      <c r="I1837" s="58">
        <v>14664</v>
      </c>
      <c r="J1837" s="58">
        <v>1</v>
      </c>
      <c r="K1837" s="1">
        <f t="shared" si="197"/>
        <v>535865.19999999995</v>
      </c>
      <c r="L1837" s="1">
        <f t="shared" si="198"/>
        <v>1690</v>
      </c>
      <c r="M1837" s="1">
        <f>VLOOKUP(B1837,'[1]Срок Годности'!$A$2:$B$4,2,0)</f>
        <v>500</v>
      </c>
      <c r="N1837" s="60">
        <f t="shared" si="199"/>
        <v>0</v>
      </c>
      <c r="O1837" s="1" t="str">
        <f t="shared" si="200"/>
        <v>29 2012</v>
      </c>
      <c r="P1837" s="1">
        <f t="shared" si="201"/>
        <v>23</v>
      </c>
      <c r="Q1837" s="1">
        <f t="shared" ca="1" si="202"/>
        <v>4028</v>
      </c>
      <c r="S1837" s="1">
        <f t="shared" si="196"/>
        <v>14663</v>
      </c>
    </row>
    <row r="1838" spans="1:19" x14ac:dyDescent="0.2">
      <c r="A1838" s="57" t="s">
        <v>243</v>
      </c>
      <c r="B1838" s="57" t="s">
        <v>225</v>
      </c>
      <c r="C1838" s="57" t="s">
        <v>226</v>
      </c>
      <c r="D1838" s="58">
        <v>317.08</v>
      </c>
      <c r="E1838" s="59">
        <v>41106</v>
      </c>
      <c r="F1838" s="58">
        <v>14664</v>
      </c>
      <c r="G1838" s="58">
        <v>645</v>
      </c>
      <c r="H1838" s="58">
        <v>1234</v>
      </c>
      <c r="I1838" s="58">
        <v>14060</v>
      </c>
      <c r="J1838" s="58">
        <v>0</v>
      </c>
      <c r="K1838" s="1">
        <f t="shared" si="197"/>
        <v>391276.72</v>
      </c>
      <c r="L1838" s="1">
        <f t="shared" si="198"/>
        <v>1234</v>
      </c>
      <c r="M1838" s="1">
        <f>VLOOKUP(B1838,'[1]Срок Годности'!$A$2:$B$4,2,0)</f>
        <v>500</v>
      </c>
      <c r="N1838" s="60">
        <f t="shared" si="199"/>
        <v>645</v>
      </c>
      <c r="O1838" s="1" t="str">
        <f t="shared" si="200"/>
        <v>29 2012</v>
      </c>
      <c r="P1838" s="1">
        <f t="shared" si="201"/>
        <v>23</v>
      </c>
      <c r="Q1838" s="1">
        <f t="shared" ca="1" si="202"/>
        <v>4027</v>
      </c>
      <c r="S1838" s="1">
        <f t="shared" si="196"/>
        <v>14060</v>
      </c>
    </row>
    <row r="1839" spans="1:19" x14ac:dyDescent="0.2">
      <c r="A1839" s="57" t="s">
        <v>243</v>
      </c>
      <c r="B1839" s="57" t="s">
        <v>225</v>
      </c>
      <c r="C1839" s="57" t="s">
        <v>226</v>
      </c>
      <c r="D1839" s="58">
        <v>317.08</v>
      </c>
      <c r="E1839" s="59">
        <v>41107</v>
      </c>
      <c r="F1839" s="58">
        <v>14060</v>
      </c>
      <c r="G1839" s="58">
        <v>1003</v>
      </c>
      <c r="H1839" s="58">
        <v>1032</v>
      </c>
      <c r="I1839" s="58">
        <v>14011</v>
      </c>
      <c r="J1839" s="58">
        <v>0</v>
      </c>
      <c r="K1839" s="1">
        <f t="shared" si="197"/>
        <v>327226.56</v>
      </c>
      <c r="L1839" s="1">
        <f t="shared" si="198"/>
        <v>1032</v>
      </c>
      <c r="M1839" s="1">
        <f>VLOOKUP(B1839,'[1]Срок Годности'!$A$2:$B$4,2,0)</f>
        <v>500</v>
      </c>
      <c r="N1839" s="60">
        <f t="shared" si="199"/>
        <v>1003</v>
      </c>
      <c r="O1839" s="1" t="str">
        <f t="shared" si="200"/>
        <v>29 2012</v>
      </c>
      <c r="P1839" s="1">
        <f t="shared" si="201"/>
        <v>23</v>
      </c>
      <c r="Q1839" s="1">
        <f t="shared" ca="1" si="202"/>
        <v>4026</v>
      </c>
      <c r="S1839" s="1">
        <f t="shared" si="196"/>
        <v>14011</v>
      </c>
    </row>
    <row r="1840" spans="1:19" x14ac:dyDescent="0.2">
      <c r="A1840" s="57" t="s">
        <v>243</v>
      </c>
      <c r="B1840" s="57" t="s">
        <v>244</v>
      </c>
      <c r="C1840" s="57" t="s">
        <v>245</v>
      </c>
      <c r="D1840" s="58">
        <v>33.659999999999997</v>
      </c>
      <c r="E1840" s="59">
        <v>41061</v>
      </c>
      <c r="F1840" s="58">
        <v>87712</v>
      </c>
      <c r="G1840" s="58">
        <v>18929</v>
      </c>
      <c r="H1840" s="58">
        <v>15678</v>
      </c>
      <c r="I1840" s="58">
        <v>90891</v>
      </c>
      <c r="J1840" s="58">
        <v>5</v>
      </c>
      <c r="K1840" s="1">
        <f t="shared" si="197"/>
        <v>527721.48</v>
      </c>
      <c r="L1840" s="1">
        <f t="shared" si="198"/>
        <v>15678</v>
      </c>
      <c r="M1840" s="1">
        <f>VLOOKUP(B1840,'[1]Срок Годности'!$A$2:$B$4,2,0)</f>
        <v>1500</v>
      </c>
      <c r="N1840" s="60">
        <f t="shared" si="199"/>
        <v>18929</v>
      </c>
      <c r="O1840" s="1" t="str">
        <f t="shared" si="200"/>
        <v>22 2012</v>
      </c>
      <c r="P1840" s="1">
        <f t="shared" si="201"/>
        <v>21</v>
      </c>
      <c r="Q1840" s="1">
        <f t="shared" ca="1" si="202"/>
        <v>4072</v>
      </c>
      <c r="S1840" s="1">
        <f t="shared" si="196"/>
        <v>90886</v>
      </c>
    </row>
    <row r="1841" spans="1:19" x14ac:dyDescent="0.2">
      <c r="A1841" s="57" t="s">
        <v>243</v>
      </c>
      <c r="B1841" s="57" t="s">
        <v>244</v>
      </c>
      <c r="C1841" s="57" t="s">
        <v>245</v>
      </c>
      <c r="D1841" s="58">
        <v>33.659999999999997</v>
      </c>
      <c r="E1841" s="59">
        <v>41062</v>
      </c>
      <c r="F1841" s="58">
        <v>90891</v>
      </c>
      <c r="G1841" s="58">
        <v>18610</v>
      </c>
      <c r="H1841" s="58">
        <v>15329</v>
      </c>
      <c r="I1841" s="58">
        <v>94019</v>
      </c>
      <c r="J1841" s="58">
        <v>1</v>
      </c>
      <c r="K1841" s="1">
        <f t="shared" si="197"/>
        <v>515974.13999999996</v>
      </c>
      <c r="L1841" s="1">
        <f t="shared" si="198"/>
        <v>15329</v>
      </c>
      <c r="M1841" s="1">
        <f>VLOOKUP(B1841,'[1]Срок Годности'!$A$2:$B$4,2,0)</f>
        <v>1500</v>
      </c>
      <c r="N1841" s="60">
        <f t="shared" si="199"/>
        <v>18610</v>
      </c>
      <c r="O1841" s="1" t="str">
        <f t="shared" si="200"/>
        <v>22 2012</v>
      </c>
      <c r="P1841" s="1">
        <f t="shared" si="201"/>
        <v>21</v>
      </c>
      <c r="Q1841" s="1">
        <f t="shared" ca="1" si="202"/>
        <v>4071</v>
      </c>
      <c r="S1841" s="1">
        <f t="shared" si="196"/>
        <v>94018</v>
      </c>
    </row>
    <row r="1842" spans="1:19" x14ac:dyDescent="0.2">
      <c r="A1842" s="57" t="s">
        <v>243</v>
      </c>
      <c r="B1842" s="57" t="s">
        <v>244</v>
      </c>
      <c r="C1842" s="57" t="s">
        <v>245</v>
      </c>
      <c r="D1842" s="58">
        <v>33.659999999999997</v>
      </c>
      <c r="E1842" s="59">
        <v>41063</v>
      </c>
      <c r="F1842" s="58">
        <v>94019</v>
      </c>
      <c r="G1842" s="58">
        <v>21452</v>
      </c>
      <c r="H1842" s="58">
        <v>16022</v>
      </c>
      <c r="I1842" s="58">
        <v>99374</v>
      </c>
      <c r="J1842" s="58">
        <v>0</v>
      </c>
      <c r="K1842" s="1">
        <f t="shared" si="197"/>
        <v>539300.5199999999</v>
      </c>
      <c r="L1842" s="1">
        <f t="shared" si="198"/>
        <v>16022</v>
      </c>
      <c r="M1842" s="1">
        <f>VLOOKUP(B1842,'[1]Срок Годности'!$A$2:$B$4,2,0)</f>
        <v>1500</v>
      </c>
      <c r="N1842" s="60">
        <f t="shared" si="199"/>
        <v>0</v>
      </c>
      <c r="O1842" s="1" t="str">
        <f t="shared" si="200"/>
        <v>23 2012</v>
      </c>
      <c r="P1842" s="1">
        <f t="shared" si="201"/>
        <v>21</v>
      </c>
      <c r="Q1842" s="1">
        <f t="shared" ca="1" si="202"/>
        <v>4070</v>
      </c>
      <c r="S1842" s="1">
        <f t="shared" si="196"/>
        <v>99374</v>
      </c>
    </row>
    <row r="1843" spans="1:19" x14ac:dyDescent="0.2">
      <c r="A1843" s="57" t="s">
        <v>243</v>
      </c>
      <c r="B1843" s="57" t="s">
        <v>244</v>
      </c>
      <c r="C1843" s="57" t="s">
        <v>245</v>
      </c>
      <c r="D1843" s="58">
        <v>33.659999999999997</v>
      </c>
      <c r="E1843" s="59">
        <v>41064</v>
      </c>
      <c r="F1843" s="58">
        <v>99374</v>
      </c>
      <c r="G1843" s="58">
        <v>15883</v>
      </c>
      <c r="H1843" s="58">
        <v>17174</v>
      </c>
      <c r="I1843" s="58">
        <v>97865</v>
      </c>
      <c r="J1843" s="58">
        <v>0</v>
      </c>
      <c r="K1843" s="1">
        <f t="shared" si="197"/>
        <v>578076.84</v>
      </c>
      <c r="L1843" s="1">
        <f t="shared" si="198"/>
        <v>17174</v>
      </c>
      <c r="M1843" s="1">
        <f>VLOOKUP(B1843,'[1]Срок Годности'!$A$2:$B$4,2,0)</f>
        <v>1500</v>
      </c>
      <c r="N1843" s="60">
        <f t="shared" si="199"/>
        <v>15883</v>
      </c>
      <c r="O1843" s="1" t="str">
        <f t="shared" si="200"/>
        <v>23 2012</v>
      </c>
      <c r="P1843" s="1">
        <f t="shared" si="201"/>
        <v>21</v>
      </c>
      <c r="Q1843" s="1">
        <f t="shared" ca="1" si="202"/>
        <v>4069</v>
      </c>
      <c r="S1843" s="1">
        <f t="shared" si="196"/>
        <v>97865</v>
      </c>
    </row>
    <row r="1844" spans="1:19" x14ac:dyDescent="0.2">
      <c r="A1844" s="57" t="s">
        <v>243</v>
      </c>
      <c r="B1844" s="57" t="s">
        <v>244</v>
      </c>
      <c r="C1844" s="57" t="s">
        <v>245</v>
      </c>
      <c r="D1844" s="58">
        <v>33.659999999999997</v>
      </c>
      <c r="E1844" s="59">
        <v>41065</v>
      </c>
      <c r="F1844" s="58">
        <v>97865</v>
      </c>
      <c r="G1844" s="58">
        <v>15779</v>
      </c>
      <c r="H1844" s="58">
        <v>17607</v>
      </c>
      <c r="I1844" s="58">
        <v>96018</v>
      </c>
      <c r="J1844" s="58">
        <v>2</v>
      </c>
      <c r="K1844" s="1">
        <f t="shared" si="197"/>
        <v>592651.62</v>
      </c>
      <c r="L1844" s="1">
        <f t="shared" si="198"/>
        <v>17607</v>
      </c>
      <c r="M1844" s="1">
        <f>VLOOKUP(B1844,'[1]Срок Годности'!$A$2:$B$4,2,0)</f>
        <v>1500</v>
      </c>
      <c r="N1844" s="60">
        <f t="shared" si="199"/>
        <v>15779</v>
      </c>
      <c r="O1844" s="1" t="str">
        <f t="shared" si="200"/>
        <v>23 2012</v>
      </c>
      <c r="P1844" s="1">
        <f t="shared" si="201"/>
        <v>21</v>
      </c>
      <c r="Q1844" s="1">
        <f t="shared" ca="1" si="202"/>
        <v>4068</v>
      </c>
      <c r="S1844" s="1">
        <f t="shared" si="196"/>
        <v>96016</v>
      </c>
    </row>
    <row r="1845" spans="1:19" x14ac:dyDescent="0.2">
      <c r="A1845" s="57" t="s">
        <v>243</v>
      </c>
      <c r="B1845" s="57" t="s">
        <v>244</v>
      </c>
      <c r="C1845" s="57" t="s">
        <v>245</v>
      </c>
      <c r="D1845" s="58">
        <v>33.659999999999997</v>
      </c>
      <c r="E1845" s="59">
        <v>41066</v>
      </c>
      <c r="F1845" s="58">
        <v>96018</v>
      </c>
      <c r="G1845" s="58">
        <v>23393</v>
      </c>
      <c r="H1845" s="58">
        <v>17686</v>
      </c>
      <c r="I1845" s="58">
        <v>101641</v>
      </c>
      <c r="J1845" s="58">
        <v>0</v>
      </c>
      <c r="K1845" s="1">
        <f t="shared" si="197"/>
        <v>595310.75999999989</v>
      </c>
      <c r="L1845" s="1">
        <f t="shared" si="198"/>
        <v>17686</v>
      </c>
      <c r="M1845" s="1">
        <f>VLOOKUP(B1845,'[1]Срок Годности'!$A$2:$B$4,2,0)</f>
        <v>1500</v>
      </c>
      <c r="N1845" s="60">
        <f t="shared" si="199"/>
        <v>23393</v>
      </c>
      <c r="O1845" s="1" t="str">
        <f t="shared" si="200"/>
        <v>23 2012</v>
      </c>
      <c r="P1845" s="1">
        <f t="shared" si="201"/>
        <v>21</v>
      </c>
      <c r="Q1845" s="1">
        <f t="shared" ca="1" si="202"/>
        <v>4067</v>
      </c>
      <c r="S1845" s="1">
        <f t="shared" si="196"/>
        <v>101641</v>
      </c>
    </row>
    <row r="1846" spans="1:19" x14ac:dyDescent="0.2">
      <c r="A1846" s="57" t="s">
        <v>243</v>
      </c>
      <c r="B1846" s="57" t="s">
        <v>244</v>
      </c>
      <c r="C1846" s="57" t="s">
        <v>245</v>
      </c>
      <c r="D1846" s="58">
        <v>33.659999999999997</v>
      </c>
      <c r="E1846" s="59">
        <v>41067</v>
      </c>
      <c r="F1846" s="58">
        <v>101641</v>
      </c>
      <c r="G1846" s="58">
        <v>18674</v>
      </c>
      <c r="H1846" s="58">
        <v>18891</v>
      </c>
      <c r="I1846" s="58">
        <v>101294</v>
      </c>
      <c r="J1846" s="58">
        <v>1</v>
      </c>
      <c r="K1846" s="1">
        <f t="shared" si="197"/>
        <v>635871.05999999994</v>
      </c>
      <c r="L1846" s="1">
        <f t="shared" si="198"/>
        <v>18891</v>
      </c>
      <c r="M1846" s="1">
        <f>VLOOKUP(B1846,'[1]Срок Годности'!$A$2:$B$4,2,0)</f>
        <v>1500</v>
      </c>
      <c r="N1846" s="60">
        <f t="shared" si="199"/>
        <v>18674</v>
      </c>
      <c r="O1846" s="1" t="str">
        <f t="shared" si="200"/>
        <v>23 2012</v>
      </c>
      <c r="P1846" s="1">
        <f t="shared" si="201"/>
        <v>21</v>
      </c>
      <c r="Q1846" s="1">
        <f t="shared" ca="1" si="202"/>
        <v>4066</v>
      </c>
      <c r="S1846" s="1">
        <f t="shared" si="196"/>
        <v>101293</v>
      </c>
    </row>
    <row r="1847" spans="1:19" x14ac:dyDescent="0.2">
      <c r="A1847" s="57" t="s">
        <v>243</v>
      </c>
      <c r="B1847" s="57" t="s">
        <v>244</v>
      </c>
      <c r="C1847" s="57" t="s">
        <v>245</v>
      </c>
      <c r="D1847" s="58">
        <v>33.659999999999997</v>
      </c>
      <c r="E1847" s="59">
        <v>41068</v>
      </c>
      <c r="F1847" s="58">
        <v>101294</v>
      </c>
      <c r="G1847" s="58">
        <v>11400</v>
      </c>
      <c r="H1847" s="58">
        <v>23602</v>
      </c>
      <c r="I1847" s="58">
        <v>89031</v>
      </c>
      <c r="J1847" s="58">
        <v>5</v>
      </c>
      <c r="K1847" s="1">
        <f t="shared" si="197"/>
        <v>794443.32</v>
      </c>
      <c r="L1847" s="1">
        <f t="shared" si="198"/>
        <v>23602</v>
      </c>
      <c r="M1847" s="1">
        <f>VLOOKUP(B1847,'[1]Срок Годности'!$A$2:$B$4,2,0)</f>
        <v>1500</v>
      </c>
      <c r="N1847" s="60">
        <f t="shared" si="199"/>
        <v>11400</v>
      </c>
      <c r="O1847" s="1" t="str">
        <f t="shared" si="200"/>
        <v>23 2012</v>
      </c>
      <c r="P1847" s="1">
        <f t="shared" si="201"/>
        <v>21</v>
      </c>
      <c r="Q1847" s="1">
        <f t="shared" ca="1" si="202"/>
        <v>4065</v>
      </c>
      <c r="S1847" s="1">
        <f t="shared" si="196"/>
        <v>89026</v>
      </c>
    </row>
    <row r="1848" spans="1:19" x14ac:dyDescent="0.2">
      <c r="A1848" s="57" t="s">
        <v>243</v>
      </c>
      <c r="B1848" s="57" t="s">
        <v>244</v>
      </c>
      <c r="C1848" s="57" t="s">
        <v>245</v>
      </c>
      <c r="D1848" s="58">
        <v>33.659999999999997</v>
      </c>
      <c r="E1848" s="59">
        <v>41069</v>
      </c>
      <c r="F1848" s="58">
        <v>89031</v>
      </c>
      <c r="G1848" s="58">
        <v>25859</v>
      </c>
      <c r="H1848" s="58">
        <v>22119</v>
      </c>
      <c r="I1848" s="58">
        <v>92589</v>
      </c>
      <c r="J1848" s="58">
        <v>1</v>
      </c>
      <c r="K1848" s="1">
        <f t="shared" si="197"/>
        <v>744525.53999999992</v>
      </c>
      <c r="L1848" s="1">
        <f t="shared" si="198"/>
        <v>22119</v>
      </c>
      <c r="M1848" s="1">
        <f>VLOOKUP(B1848,'[1]Срок Годности'!$A$2:$B$4,2,0)</f>
        <v>1500</v>
      </c>
      <c r="N1848" s="60">
        <f t="shared" si="199"/>
        <v>25859</v>
      </c>
      <c r="O1848" s="1" t="str">
        <f t="shared" si="200"/>
        <v>23 2012</v>
      </c>
      <c r="P1848" s="1">
        <f t="shared" si="201"/>
        <v>21</v>
      </c>
      <c r="Q1848" s="1">
        <f t="shared" ca="1" si="202"/>
        <v>4064</v>
      </c>
      <c r="S1848" s="1">
        <f t="shared" si="196"/>
        <v>92588</v>
      </c>
    </row>
    <row r="1849" spans="1:19" x14ac:dyDescent="0.2">
      <c r="A1849" s="57" t="s">
        <v>243</v>
      </c>
      <c r="B1849" s="57" t="s">
        <v>244</v>
      </c>
      <c r="C1849" s="57" t="s">
        <v>245</v>
      </c>
      <c r="D1849" s="58">
        <v>33.659999999999997</v>
      </c>
      <c r="E1849" s="59">
        <v>41070</v>
      </c>
      <c r="F1849" s="58">
        <v>92589</v>
      </c>
      <c r="G1849" s="58">
        <v>16740</v>
      </c>
      <c r="H1849" s="58">
        <v>20741</v>
      </c>
      <c r="I1849" s="58">
        <v>88535</v>
      </c>
      <c r="J1849" s="58">
        <v>0</v>
      </c>
      <c r="K1849" s="1">
        <f t="shared" si="197"/>
        <v>698142.05999999994</v>
      </c>
      <c r="L1849" s="1">
        <f t="shared" si="198"/>
        <v>20741</v>
      </c>
      <c r="M1849" s="1">
        <f>VLOOKUP(B1849,'[1]Срок Годности'!$A$2:$B$4,2,0)</f>
        <v>1500</v>
      </c>
      <c r="N1849" s="60">
        <f t="shared" si="199"/>
        <v>0</v>
      </c>
      <c r="O1849" s="1" t="str">
        <f t="shared" si="200"/>
        <v>24 2012</v>
      </c>
      <c r="P1849" s="1">
        <f t="shared" si="201"/>
        <v>21</v>
      </c>
      <c r="Q1849" s="1">
        <f t="shared" ca="1" si="202"/>
        <v>4063</v>
      </c>
      <c r="S1849" s="1">
        <f t="shared" si="196"/>
        <v>88535</v>
      </c>
    </row>
    <row r="1850" spans="1:19" x14ac:dyDescent="0.2">
      <c r="A1850" s="57" t="s">
        <v>243</v>
      </c>
      <c r="B1850" s="57" t="s">
        <v>244</v>
      </c>
      <c r="C1850" s="57" t="s">
        <v>245</v>
      </c>
      <c r="D1850" s="58">
        <v>33.659999999999997</v>
      </c>
      <c r="E1850" s="59">
        <v>41071</v>
      </c>
      <c r="F1850" s="58">
        <v>88535</v>
      </c>
      <c r="G1850" s="58">
        <v>17553</v>
      </c>
      <c r="H1850" s="58">
        <v>21547</v>
      </c>
      <c r="I1850" s="58">
        <v>84325</v>
      </c>
      <c r="J1850" s="58">
        <v>0</v>
      </c>
      <c r="K1850" s="1">
        <f t="shared" si="197"/>
        <v>725272.0199999999</v>
      </c>
      <c r="L1850" s="1">
        <f t="shared" si="198"/>
        <v>21547</v>
      </c>
      <c r="M1850" s="1">
        <f>VLOOKUP(B1850,'[1]Срок Годности'!$A$2:$B$4,2,0)</f>
        <v>1500</v>
      </c>
      <c r="N1850" s="60">
        <f t="shared" si="199"/>
        <v>17553</v>
      </c>
      <c r="O1850" s="1" t="str">
        <f t="shared" si="200"/>
        <v>24 2012</v>
      </c>
      <c r="P1850" s="1">
        <f t="shared" si="201"/>
        <v>21</v>
      </c>
      <c r="Q1850" s="1">
        <f t="shared" ca="1" si="202"/>
        <v>4062</v>
      </c>
      <c r="S1850" s="1">
        <f t="shared" si="196"/>
        <v>84325</v>
      </c>
    </row>
    <row r="1851" spans="1:19" x14ac:dyDescent="0.2">
      <c r="A1851" s="57" t="s">
        <v>243</v>
      </c>
      <c r="B1851" s="57" t="s">
        <v>244</v>
      </c>
      <c r="C1851" s="57" t="s">
        <v>245</v>
      </c>
      <c r="D1851" s="58">
        <v>33.659999999999997</v>
      </c>
      <c r="E1851" s="59">
        <v>41072</v>
      </c>
      <c r="F1851" s="58">
        <v>84325</v>
      </c>
      <c r="G1851" s="58">
        <v>16162</v>
      </c>
      <c r="H1851" s="58">
        <v>20193</v>
      </c>
      <c r="I1851" s="58">
        <v>80104</v>
      </c>
      <c r="J1851" s="58">
        <v>0</v>
      </c>
      <c r="K1851" s="1">
        <f t="shared" si="197"/>
        <v>679696.37999999989</v>
      </c>
      <c r="L1851" s="1">
        <f t="shared" si="198"/>
        <v>20193</v>
      </c>
      <c r="M1851" s="1">
        <f>VLOOKUP(B1851,'[1]Срок Годности'!$A$2:$B$4,2,0)</f>
        <v>1500</v>
      </c>
      <c r="N1851" s="60">
        <f t="shared" si="199"/>
        <v>16162</v>
      </c>
      <c r="O1851" s="1" t="str">
        <f t="shared" si="200"/>
        <v>24 2012</v>
      </c>
      <c r="P1851" s="1">
        <f t="shared" si="201"/>
        <v>21</v>
      </c>
      <c r="Q1851" s="1">
        <f t="shared" ca="1" si="202"/>
        <v>4061</v>
      </c>
      <c r="S1851" s="1">
        <f t="shared" si="196"/>
        <v>80104</v>
      </c>
    </row>
    <row r="1852" spans="1:19" x14ac:dyDescent="0.2">
      <c r="A1852" s="57" t="s">
        <v>243</v>
      </c>
      <c r="B1852" s="57" t="s">
        <v>244</v>
      </c>
      <c r="C1852" s="57" t="s">
        <v>245</v>
      </c>
      <c r="D1852" s="58">
        <v>33.659999999999997</v>
      </c>
      <c r="E1852" s="59">
        <v>41073</v>
      </c>
      <c r="F1852" s="58">
        <v>80104</v>
      </c>
      <c r="G1852" s="58">
        <v>20461</v>
      </c>
      <c r="H1852" s="58">
        <v>23883</v>
      </c>
      <c r="I1852" s="58">
        <v>76416</v>
      </c>
      <c r="J1852" s="58">
        <v>0</v>
      </c>
      <c r="K1852" s="1">
        <f t="shared" si="197"/>
        <v>803901.77999999991</v>
      </c>
      <c r="L1852" s="1">
        <f t="shared" si="198"/>
        <v>23883</v>
      </c>
      <c r="M1852" s="1">
        <f>VLOOKUP(B1852,'[1]Срок Годности'!$A$2:$B$4,2,0)</f>
        <v>1500</v>
      </c>
      <c r="N1852" s="60">
        <f t="shared" si="199"/>
        <v>20461</v>
      </c>
      <c r="O1852" s="1" t="str">
        <f t="shared" si="200"/>
        <v>24 2012</v>
      </c>
      <c r="P1852" s="1">
        <f t="shared" si="201"/>
        <v>21</v>
      </c>
      <c r="Q1852" s="1">
        <f t="shared" ca="1" si="202"/>
        <v>4060</v>
      </c>
      <c r="S1852" s="1">
        <f t="shared" si="196"/>
        <v>76416</v>
      </c>
    </row>
    <row r="1853" spans="1:19" x14ac:dyDescent="0.2">
      <c r="A1853" s="57" t="s">
        <v>243</v>
      </c>
      <c r="B1853" s="57" t="s">
        <v>244</v>
      </c>
      <c r="C1853" s="57" t="s">
        <v>245</v>
      </c>
      <c r="D1853" s="58">
        <v>33.659999999999997</v>
      </c>
      <c r="E1853" s="59">
        <v>41074</v>
      </c>
      <c r="F1853" s="58">
        <v>76416</v>
      </c>
      <c r="G1853" s="58">
        <v>6714</v>
      </c>
      <c r="H1853" s="58">
        <v>22944</v>
      </c>
      <c r="I1853" s="58">
        <v>60271</v>
      </c>
      <c r="J1853" s="58">
        <v>0</v>
      </c>
      <c r="K1853" s="1">
        <f t="shared" si="197"/>
        <v>772295.03999999992</v>
      </c>
      <c r="L1853" s="1">
        <f t="shared" si="198"/>
        <v>22944</v>
      </c>
      <c r="M1853" s="1">
        <f>VLOOKUP(B1853,'[1]Срок Годности'!$A$2:$B$4,2,0)</f>
        <v>1500</v>
      </c>
      <c r="N1853" s="60">
        <f t="shared" si="199"/>
        <v>6714</v>
      </c>
      <c r="O1853" s="1" t="str">
        <f t="shared" si="200"/>
        <v>24 2012</v>
      </c>
      <c r="P1853" s="1">
        <f t="shared" si="201"/>
        <v>21</v>
      </c>
      <c r="Q1853" s="1">
        <f t="shared" ca="1" si="202"/>
        <v>4059</v>
      </c>
      <c r="S1853" s="1">
        <f t="shared" si="196"/>
        <v>60271</v>
      </c>
    </row>
    <row r="1854" spans="1:19" x14ac:dyDescent="0.2">
      <c r="A1854" s="57" t="s">
        <v>243</v>
      </c>
      <c r="B1854" s="57" t="s">
        <v>244</v>
      </c>
      <c r="C1854" s="57" t="s">
        <v>245</v>
      </c>
      <c r="D1854" s="58">
        <v>33.659999999999997</v>
      </c>
      <c r="E1854" s="59">
        <v>41075</v>
      </c>
      <c r="F1854" s="58">
        <v>60271</v>
      </c>
      <c r="G1854" s="58">
        <v>21993</v>
      </c>
      <c r="H1854" s="58">
        <v>22524</v>
      </c>
      <c r="I1854" s="58">
        <v>59645</v>
      </c>
      <c r="J1854" s="58">
        <v>0</v>
      </c>
      <c r="K1854" s="1">
        <f t="shared" si="197"/>
        <v>758157.84</v>
      </c>
      <c r="L1854" s="1">
        <f t="shared" si="198"/>
        <v>22524</v>
      </c>
      <c r="M1854" s="1">
        <f>VLOOKUP(B1854,'[1]Срок Годности'!$A$2:$B$4,2,0)</f>
        <v>1500</v>
      </c>
      <c r="N1854" s="60">
        <f t="shared" si="199"/>
        <v>21993</v>
      </c>
      <c r="O1854" s="1" t="str">
        <f t="shared" si="200"/>
        <v>24 2012</v>
      </c>
      <c r="P1854" s="1">
        <f t="shared" si="201"/>
        <v>21</v>
      </c>
      <c r="Q1854" s="1">
        <f t="shared" ca="1" si="202"/>
        <v>4058</v>
      </c>
      <c r="S1854" s="1">
        <f t="shared" si="196"/>
        <v>59645</v>
      </c>
    </row>
    <row r="1855" spans="1:19" x14ac:dyDescent="0.2">
      <c r="A1855" s="57" t="s">
        <v>243</v>
      </c>
      <c r="B1855" s="57" t="s">
        <v>244</v>
      </c>
      <c r="C1855" s="57" t="s">
        <v>245</v>
      </c>
      <c r="D1855" s="58">
        <v>33.659999999999997</v>
      </c>
      <c r="E1855" s="59">
        <v>41076</v>
      </c>
      <c r="F1855" s="58">
        <v>59645</v>
      </c>
      <c r="G1855" s="58">
        <v>29137</v>
      </c>
      <c r="H1855" s="58">
        <v>22173</v>
      </c>
      <c r="I1855" s="58">
        <v>66423</v>
      </c>
      <c r="J1855" s="58">
        <v>0</v>
      </c>
      <c r="K1855" s="1">
        <f t="shared" si="197"/>
        <v>746343.17999999993</v>
      </c>
      <c r="L1855" s="1">
        <f t="shared" si="198"/>
        <v>22173</v>
      </c>
      <c r="M1855" s="1">
        <f>VLOOKUP(B1855,'[1]Срок Годности'!$A$2:$B$4,2,0)</f>
        <v>1500</v>
      </c>
      <c r="N1855" s="60">
        <f t="shared" si="199"/>
        <v>29137</v>
      </c>
      <c r="O1855" s="1" t="str">
        <f t="shared" si="200"/>
        <v>24 2012</v>
      </c>
      <c r="P1855" s="1">
        <f t="shared" si="201"/>
        <v>21</v>
      </c>
      <c r="Q1855" s="1">
        <f t="shared" ca="1" si="202"/>
        <v>4057</v>
      </c>
      <c r="S1855" s="1">
        <f t="shared" si="196"/>
        <v>66423</v>
      </c>
    </row>
    <row r="1856" spans="1:19" x14ac:dyDescent="0.2">
      <c r="A1856" s="57" t="s">
        <v>243</v>
      </c>
      <c r="B1856" s="57" t="s">
        <v>244</v>
      </c>
      <c r="C1856" s="57" t="s">
        <v>245</v>
      </c>
      <c r="D1856" s="58">
        <v>33.659999999999997</v>
      </c>
      <c r="E1856" s="59">
        <v>41077</v>
      </c>
      <c r="F1856" s="58">
        <v>66423</v>
      </c>
      <c r="G1856" s="58">
        <v>7483</v>
      </c>
      <c r="H1856" s="58">
        <v>24588</v>
      </c>
      <c r="I1856" s="58">
        <v>49309</v>
      </c>
      <c r="J1856" s="58">
        <v>0</v>
      </c>
      <c r="K1856" s="1">
        <f t="shared" si="197"/>
        <v>827632.08</v>
      </c>
      <c r="L1856" s="1">
        <f t="shared" si="198"/>
        <v>24588</v>
      </c>
      <c r="M1856" s="1">
        <f>VLOOKUP(B1856,'[1]Срок Годности'!$A$2:$B$4,2,0)</f>
        <v>1500</v>
      </c>
      <c r="N1856" s="60">
        <f t="shared" si="199"/>
        <v>0</v>
      </c>
      <c r="O1856" s="1" t="str">
        <f t="shared" si="200"/>
        <v>25 2012</v>
      </c>
      <c r="P1856" s="1">
        <f t="shared" si="201"/>
        <v>21</v>
      </c>
      <c r="Q1856" s="1">
        <f t="shared" ca="1" si="202"/>
        <v>4056</v>
      </c>
      <c r="S1856" s="1">
        <f t="shared" si="196"/>
        <v>49309</v>
      </c>
    </row>
    <row r="1857" spans="1:19" x14ac:dyDescent="0.2">
      <c r="A1857" s="57" t="s">
        <v>243</v>
      </c>
      <c r="B1857" s="57" t="s">
        <v>244</v>
      </c>
      <c r="C1857" s="57" t="s">
        <v>245</v>
      </c>
      <c r="D1857" s="58">
        <v>33.659999999999997</v>
      </c>
      <c r="E1857" s="59">
        <v>41078</v>
      </c>
      <c r="F1857" s="58">
        <v>49309</v>
      </c>
      <c r="G1857" s="58">
        <v>34203</v>
      </c>
      <c r="H1857" s="58">
        <v>20060</v>
      </c>
      <c r="I1857" s="58">
        <v>63242</v>
      </c>
      <c r="J1857" s="58">
        <v>1</v>
      </c>
      <c r="K1857" s="1">
        <f t="shared" si="197"/>
        <v>675219.6</v>
      </c>
      <c r="L1857" s="1">
        <f t="shared" si="198"/>
        <v>20060</v>
      </c>
      <c r="M1857" s="1">
        <f>VLOOKUP(B1857,'[1]Срок Годности'!$A$2:$B$4,2,0)</f>
        <v>1500</v>
      </c>
      <c r="N1857" s="60">
        <f t="shared" si="199"/>
        <v>34203</v>
      </c>
      <c r="O1857" s="1" t="str">
        <f t="shared" si="200"/>
        <v>25 2012</v>
      </c>
      <c r="P1857" s="1">
        <f t="shared" si="201"/>
        <v>21</v>
      </c>
      <c r="Q1857" s="1">
        <f t="shared" ca="1" si="202"/>
        <v>4055</v>
      </c>
      <c r="S1857" s="1">
        <f t="shared" si="196"/>
        <v>63241</v>
      </c>
    </row>
    <row r="1858" spans="1:19" x14ac:dyDescent="0.2">
      <c r="A1858" s="57" t="s">
        <v>243</v>
      </c>
      <c r="B1858" s="57" t="s">
        <v>244</v>
      </c>
      <c r="C1858" s="57" t="s">
        <v>245</v>
      </c>
      <c r="D1858" s="58">
        <v>33.659999999999997</v>
      </c>
      <c r="E1858" s="59">
        <v>41079</v>
      </c>
      <c r="F1858" s="58">
        <v>63242</v>
      </c>
      <c r="G1858" s="58">
        <v>37725</v>
      </c>
      <c r="H1858" s="58">
        <v>23288</v>
      </c>
      <c r="I1858" s="58">
        <v>77522</v>
      </c>
      <c r="J1858" s="58">
        <v>1</v>
      </c>
      <c r="K1858" s="1">
        <f t="shared" si="197"/>
        <v>783874.08</v>
      </c>
      <c r="L1858" s="1">
        <f t="shared" si="198"/>
        <v>23288</v>
      </c>
      <c r="M1858" s="1">
        <f>VLOOKUP(B1858,'[1]Срок Годности'!$A$2:$B$4,2,0)</f>
        <v>1500</v>
      </c>
      <c r="N1858" s="60">
        <f t="shared" si="199"/>
        <v>37725</v>
      </c>
      <c r="O1858" s="1" t="str">
        <f t="shared" si="200"/>
        <v>25 2012</v>
      </c>
      <c r="P1858" s="1">
        <f t="shared" si="201"/>
        <v>21</v>
      </c>
      <c r="Q1858" s="1">
        <f t="shared" ca="1" si="202"/>
        <v>4054</v>
      </c>
      <c r="S1858" s="1">
        <f t="shared" si="196"/>
        <v>77521</v>
      </c>
    </row>
    <row r="1859" spans="1:19" x14ac:dyDescent="0.2">
      <c r="A1859" s="57" t="s">
        <v>243</v>
      </c>
      <c r="B1859" s="57" t="s">
        <v>244</v>
      </c>
      <c r="C1859" s="57" t="s">
        <v>245</v>
      </c>
      <c r="D1859" s="58">
        <v>33.659999999999997</v>
      </c>
      <c r="E1859" s="59">
        <v>41080</v>
      </c>
      <c r="F1859" s="58">
        <v>77522</v>
      </c>
      <c r="G1859" s="58">
        <v>17668</v>
      </c>
      <c r="H1859" s="58">
        <v>22765</v>
      </c>
      <c r="I1859" s="58">
        <v>72341</v>
      </c>
      <c r="J1859" s="58">
        <v>0</v>
      </c>
      <c r="K1859" s="1">
        <f t="shared" si="197"/>
        <v>766269.89999999991</v>
      </c>
      <c r="L1859" s="1">
        <f t="shared" si="198"/>
        <v>22765</v>
      </c>
      <c r="M1859" s="1">
        <f>VLOOKUP(B1859,'[1]Срок Годности'!$A$2:$B$4,2,0)</f>
        <v>1500</v>
      </c>
      <c r="N1859" s="60">
        <f t="shared" si="199"/>
        <v>17668</v>
      </c>
      <c r="O1859" s="1" t="str">
        <f t="shared" si="200"/>
        <v>25 2012</v>
      </c>
      <c r="P1859" s="1">
        <f t="shared" si="201"/>
        <v>21</v>
      </c>
      <c r="Q1859" s="1">
        <f t="shared" ca="1" si="202"/>
        <v>4053</v>
      </c>
      <c r="S1859" s="1">
        <f t="shared" si="196"/>
        <v>72341</v>
      </c>
    </row>
    <row r="1860" spans="1:19" x14ac:dyDescent="0.2">
      <c r="A1860" s="57" t="s">
        <v>243</v>
      </c>
      <c r="B1860" s="57" t="s">
        <v>244</v>
      </c>
      <c r="C1860" s="57" t="s">
        <v>245</v>
      </c>
      <c r="D1860" s="58">
        <v>33.659999999999997</v>
      </c>
      <c r="E1860" s="59">
        <v>41081</v>
      </c>
      <c r="F1860" s="58">
        <v>72341</v>
      </c>
      <c r="G1860" s="58">
        <v>43988</v>
      </c>
      <c r="H1860" s="58">
        <v>22579</v>
      </c>
      <c r="I1860" s="58">
        <v>93555</v>
      </c>
      <c r="J1860" s="58">
        <v>0</v>
      </c>
      <c r="K1860" s="1">
        <f t="shared" si="197"/>
        <v>760009.1399999999</v>
      </c>
      <c r="L1860" s="1">
        <f t="shared" si="198"/>
        <v>22579</v>
      </c>
      <c r="M1860" s="1">
        <f>VLOOKUP(B1860,'[1]Срок Годности'!$A$2:$B$4,2,0)</f>
        <v>1500</v>
      </c>
      <c r="N1860" s="60">
        <f t="shared" si="199"/>
        <v>43988</v>
      </c>
      <c r="O1860" s="1" t="str">
        <f t="shared" si="200"/>
        <v>25 2012</v>
      </c>
      <c r="P1860" s="1">
        <f t="shared" si="201"/>
        <v>21</v>
      </c>
      <c r="Q1860" s="1">
        <f t="shared" ca="1" si="202"/>
        <v>4052</v>
      </c>
      <c r="S1860" s="1">
        <f t="shared" si="196"/>
        <v>93555</v>
      </c>
    </row>
    <row r="1861" spans="1:19" x14ac:dyDescent="0.2">
      <c r="A1861" s="57" t="s">
        <v>243</v>
      </c>
      <c r="B1861" s="57" t="s">
        <v>244</v>
      </c>
      <c r="C1861" s="57" t="s">
        <v>245</v>
      </c>
      <c r="D1861" s="58">
        <v>33.659999999999997</v>
      </c>
      <c r="E1861" s="59">
        <v>41082</v>
      </c>
      <c r="F1861" s="58">
        <v>93555</v>
      </c>
      <c r="G1861" s="58">
        <v>30026</v>
      </c>
      <c r="H1861" s="58">
        <v>27063</v>
      </c>
      <c r="I1861" s="58">
        <v>96336</v>
      </c>
      <c r="J1861" s="58">
        <v>2</v>
      </c>
      <c r="K1861" s="1">
        <f t="shared" si="197"/>
        <v>910940.58</v>
      </c>
      <c r="L1861" s="1">
        <f t="shared" si="198"/>
        <v>27063</v>
      </c>
      <c r="M1861" s="1">
        <f>VLOOKUP(B1861,'[1]Срок Годности'!$A$2:$B$4,2,0)</f>
        <v>1500</v>
      </c>
      <c r="N1861" s="60">
        <f t="shared" si="199"/>
        <v>30026</v>
      </c>
      <c r="O1861" s="1" t="str">
        <f t="shared" si="200"/>
        <v>25 2012</v>
      </c>
      <c r="P1861" s="1">
        <f t="shared" si="201"/>
        <v>21</v>
      </c>
      <c r="Q1861" s="1">
        <f t="shared" ca="1" si="202"/>
        <v>4051</v>
      </c>
      <c r="S1861" s="1">
        <f t="shared" si="196"/>
        <v>96334</v>
      </c>
    </row>
    <row r="1862" spans="1:19" x14ac:dyDescent="0.2">
      <c r="A1862" s="57" t="s">
        <v>243</v>
      </c>
      <c r="B1862" s="57" t="s">
        <v>244</v>
      </c>
      <c r="C1862" s="57" t="s">
        <v>245</v>
      </c>
      <c r="D1862" s="58">
        <v>33.659999999999997</v>
      </c>
      <c r="E1862" s="59">
        <v>41083</v>
      </c>
      <c r="F1862" s="58">
        <v>96336</v>
      </c>
      <c r="G1862" s="58">
        <v>32829</v>
      </c>
      <c r="H1862" s="58">
        <v>27164</v>
      </c>
      <c r="I1862" s="58">
        <v>101720</v>
      </c>
      <c r="J1862" s="58">
        <v>0</v>
      </c>
      <c r="K1862" s="1">
        <f t="shared" si="197"/>
        <v>914340.23999999987</v>
      </c>
      <c r="L1862" s="1">
        <f t="shared" si="198"/>
        <v>27164</v>
      </c>
      <c r="M1862" s="1">
        <f>VLOOKUP(B1862,'[1]Срок Годности'!$A$2:$B$4,2,0)</f>
        <v>1500</v>
      </c>
      <c r="N1862" s="60">
        <f t="shared" si="199"/>
        <v>32829</v>
      </c>
      <c r="O1862" s="1" t="str">
        <f t="shared" si="200"/>
        <v>25 2012</v>
      </c>
      <c r="P1862" s="1">
        <f t="shared" si="201"/>
        <v>21</v>
      </c>
      <c r="Q1862" s="1">
        <f t="shared" ca="1" si="202"/>
        <v>4050</v>
      </c>
      <c r="S1862" s="1">
        <f t="shared" si="196"/>
        <v>101720</v>
      </c>
    </row>
    <row r="1863" spans="1:19" x14ac:dyDescent="0.2">
      <c r="A1863" s="57" t="s">
        <v>243</v>
      </c>
      <c r="B1863" s="57" t="s">
        <v>244</v>
      </c>
      <c r="C1863" s="57" t="s">
        <v>245</v>
      </c>
      <c r="D1863" s="58">
        <v>33.659999999999997</v>
      </c>
      <c r="E1863" s="59">
        <v>41084</v>
      </c>
      <c r="F1863" s="58">
        <v>101720</v>
      </c>
      <c r="G1863" s="58">
        <v>42187</v>
      </c>
      <c r="H1863" s="58">
        <v>31903</v>
      </c>
      <c r="I1863" s="58">
        <v>112112</v>
      </c>
      <c r="J1863" s="58">
        <v>0</v>
      </c>
      <c r="K1863" s="1">
        <f t="shared" si="197"/>
        <v>1073854.98</v>
      </c>
      <c r="L1863" s="1">
        <f t="shared" si="198"/>
        <v>31903</v>
      </c>
      <c r="M1863" s="1">
        <f>VLOOKUP(B1863,'[1]Срок Годности'!$A$2:$B$4,2,0)</f>
        <v>1500</v>
      </c>
      <c r="N1863" s="60">
        <f t="shared" si="199"/>
        <v>0</v>
      </c>
      <c r="O1863" s="1" t="str">
        <f t="shared" si="200"/>
        <v>26 2012</v>
      </c>
      <c r="P1863" s="1">
        <f t="shared" si="201"/>
        <v>21</v>
      </c>
      <c r="Q1863" s="1">
        <f t="shared" ca="1" si="202"/>
        <v>4049</v>
      </c>
      <c r="S1863" s="1">
        <f t="shared" ref="S1863:S1926" si="203">I1863-J1863</f>
        <v>112112</v>
      </c>
    </row>
    <row r="1864" spans="1:19" x14ac:dyDescent="0.2">
      <c r="A1864" s="57" t="s">
        <v>243</v>
      </c>
      <c r="B1864" s="57" t="s">
        <v>244</v>
      </c>
      <c r="C1864" s="57" t="s">
        <v>245</v>
      </c>
      <c r="D1864" s="58">
        <v>33.659999999999997</v>
      </c>
      <c r="E1864" s="59">
        <v>41085</v>
      </c>
      <c r="F1864" s="58">
        <v>112112</v>
      </c>
      <c r="G1864" s="58">
        <v>52547</v>
      </c>
      <c r="H1864" s="58">
        <v>34237</v>
      </c>
      <c r="I1864" s="58">
        <v>130304</v>
      </c>
      <c r="J1864" s="58">
        <v>0</v>
      </c>
      <c r="K1864" s="1">
        <f t="shared" ref="K1864:K1927" si="204">H1864*D1864</f>
        <v>1152417.42</v>
      </c>
      <c r="L1864" s="1">
        <f t="shared" ref="L1864:L1927" si="205">IF(H1864&gt;1000,H1864,"")</f>
        <v>34237</v>
      </c>
      <c r="M1864" s="1">
        <f>VLOOKUP(B1864,'[1]Срок Годности'!$A$2:$B$4,2,0)</f>
        <v>1500</v>
      </c>
      <c r="N1864" s="60">
        <f t="shared" ref="N1864:N1927" si="206">IF(WEEKDAY(E1864) = 1, 0, G1864)</f>
        <v>52547</v>
      </c>
      <c r="O1864" s="1" t="str">
        <f t="shared" ref="O1864:O1927" si="207">WEEKNUM(E1864) &amp; " " &amp; YEAR(E1864)</f>
        <v>26 2012</v>
      </c>
      <c r="P1864" s="1">
        <f t="shared" ref="P1864:P1927" si="208">LEN(C1864)</f>
        <v>21</v>
      </c>
      <c r="Q1864" s="1">
        <f t="shared" ref="Q1864:Q1927" ca="1" si="209">DATEDIF(E1864,NOW(),"D")</f>
        <v>4048</v>
      </c>
      <c r="S1864" s="1">
        <f t="shared" si="203"/>
        <v>130304</v>
      </c>
    </row>
    <row r="1865" spans="1:19" x14ac:dyDescent="0.2">
      <c r="A1865" s="57" t="s">
        <v>243</v>
      </c>
      <c r="B1865" s="57" t="s">
        <v>244</v>
      </c>
      <c r="C1865" s="57" t="s">
        <v>245</v>
      </c>
      <c r="D1865" s="58">
        <v>33.659999999999997</v>
      </c>
      <c r="E1865" s="59">
        <v>41086</v>
      </c>
      <c r="F1865" s="58">
        <v>130304</v>
      </c>
      <c r="G1865" s="58">
        <v>9845</v>
      </c>
      <c r="H1865" s="58">
        <v>29912</v>
      </c>
      <c r="I1865" s="58">
        <v>109938</v>
      </c>
      <c r="J1865" s="58">
        <v>0</v>
      </c>
      <c r="K1865" s="1">
        <f t="shared" si="204"/>
        <v>1006837.9199999999</v>
      </c>
      <c r="L1865" s="1">
        <f t="shared" si="205"/>
        <v>29912</v>
      </c>
      <c r="M1865" s="1">
        <f>VLOOKUP(B1865,'[1]Срок Годности'!$A$2:$B$4,2,0)</f>
        <v>1500</v>
      </c>
      <c r="N1865" s="60">
        <f t="shared" si="206"/>
        <v>9845</v>
      </c>
      <c r="O1865" s="1" t="str">
        <f t="shared" si="207"/>
        <v>26 2012</v>
      </c>
      <c r="P1865" s="1">
        <f t="shared" si="208"/>
        <v>21</v>
      </c>
      <c r="Q1865" s="1">
        <f t="shared" ca="1" si="209"/>
        <v>4047</v>
      </c>
      <c r="S1865" s="1">
        <f t="shared" si="203"/>
        <v>109938</v>
      </c>
    </row>
    <row r="1866" spans="1:19" x14ac:dyDescent="0.2">
      <c r="A1866" s="57" t="s">
        <v>243</v>
      </c>
      <c r="B1866" s="57" t="s">
        <v>244</v>
      </c>
      <c r="C1866" s="57" t="s">
        <v>245</v>
      </c>
      <c r="D1866" s="58">
        <v>33.659999999999997</v>
      </c>
      <c r="E1866" s="59">
        <v>41087</v>
      </c>
      <c r="F1866" s="58">
        <v>109938</v>
      </c>
      <c r="G1866" s="58">
        <v>78104</v>
      </c>
      <c r="H1866" s="58">
        <v>29529</v>
      </c>
      <c r="I1866" s="58">
        <v>158347</v>
      </c>
      <c r="J1866" s="58">
        <v>0</v>
      </c>
      <c r="K1866" s="1">
        <f t="shared" si="204"/>
        <v>993946.1399999999</v>
      </c>
      <c r="L1866" s="1">
        <f t="shared" si="205"/>
        <v>29529</v>
      </c>
      <c r="M1866" s="1">
        <f>VLOOKUP(B1866,'[1]Срок Годности'!$A$2:$B$4,2,0)</f>
        <v>1500</v>
      </c>
      <c r="N1866" s="60">
        <f t="shared" si="206"/>
        <v>78104</v>
      </c>
      <c r="O1866" s="1" t="str">
        <f t="shared" si="207"/>
        <v>26 2012</v>
      </c>
      <c r="P1866" s="1">
        <f t="shared" si="208"/>
        <v>21</v>
      </c>
      <c r="Q1866" s="1">
        <f t="shared" ca="1" si="209"/>
        <v>4046</v>
      </c>
      <c r="S1866" s="1">
        <f t="shared" si="203"/>
        <v>158347</v>
      </c>
    </row>
    <row r="1867" spans="1:19" x14ac:dyDescent="0.2">
      <c r="A1867" s="57" t="s">
        <v>243</v>
      </c>
      <c r="B1867" s="57" t="s">
        <v>244</v>
      </c>
      <c r="C1867" s="57" t="s">
        <v>245</v>
      </c>
      <c r="D1867" s="58">
        <v>33.659999999999997</v>
      </c>
      <c r="E1867" s="59">
        <v>41088</v>
      </c>
      <c r="F1867" s="58">
        <v>158347</v>
      </c>
      <c r="G1867" s="58">
        <v>48812</v>
      </c>
      <c r="H1867" s="58">
        <v>34815</v>
      </c>
      <c r="I1867" s="58">
        <v>172239</v>
      </c>
      <c r="J1867" s="58">
        <v>0</v>
      </c>
      <c r="K1867" s="1">
        <f t="shared" si="204"/>
        <v>1171872.8999999999</v>
      </c>
      <c r="L1867" s="1">
        <f t="shared" si="205"/>
        <v>34815</v>
      </c>
      <c r="M1867" s="1">
        <f>VLOOKUP(B1867,'[1]Срок Годности'!$A$2:$B$4,2,0)</f>
        <v>1500</v>
      </c>
      <c r="N1867" s="60">
        <f t="shared" si="206"/>
        <v>48812</v>
      </c>
      <c r="O1867" s="1" t="str">
        <f t="shared" si="207"/>
        <v>26 2012</v>
      </c>
      <c r="P1867" s="1">
        <f t="shared" si="208"/>
        <v>21</v>
      </c>
      <c r="Q1867" s="1">
        <f t="shared" ca="1" si="209"/>
        <v>4045</v>
      </c>
      <c r="S1867" s="1">
        <f t="shared" si="203"/>
        <v>172239</v>
      </c>
    </row>
    <row r="1868" spans="1:19" x14ac:dyDescent="0.2">
      <c r="A1868" s="57" t="s">
        <v>243</v>
      </c>
      <c r="B1868" s="57" t="s">
        <v>244</v>
      </c>
      <c r="C1868" s="57" t="s">
        <v>245</v>
      </c>
      <c r="D1868" s="58">
        <v>33.659999999999997</v>
      </c>
      <c r="E1868" s="59">
        <v>41089</v>
      </c>
      <c r="F1868" s="58">
        <v>172239</v>
      </c>
      <c r="G1868" s="58">
        <v>36864</v>
      </c>
      <c r="H1868" s="58">
        <v>36308</v>
      </c>
      <c r="I1868" s="58">
        <v>173830</v>
      </c>
      <c r="J1868" s="58">
        <v>1</v>
      </c>
      <c r="K1868" s="1">
        <f t="shared" si="204"/>
        <v>1222127.2799999998</v>
      </c>
      <c r="L1868" s="1">
        <f t="shared" si="205"/>
        <v>36308</v>
      </c>
      <c r="M1868" s="1">
        <f>VLOOKUP(B1868,'[1]Срок Годности'!$A$2:$B$4,2,0)</f>
        <v>1500</v>
      </c>
      <c r="N1868" s="60">
        <f t="shared" si="206"/>
        <v>36864</v>
      </c>
      <c r="O1868" s="1" t="str">
        <f t="shared" si="207"/>
        <v>26 2012</v>
      </c>
      <c r="P1868" s="1">
        <f t="shared" si="208"/>
        <v>21</v>
      </c>
      <c r="Q1868" s="1">
        <f t="shared" ca="1" si="209"/>
        <v>4044</v>
      </c>
      <c r="S1868" s="1">
        <f t="shared" si="203"/>
        <v>173829</v>
      </c>
    </row>
    <row r="1869" spans="1:19" x14ac:dyDescent="0.2">
      <c r="A1869" s="57" t="s">
        <v>243</v>
      </c>
      <c r="B1869" s="57" t="s">
        <v>244</v>
      </c>
      <c r="C1869" s="57" t="s">
        <v>245</v>
      </c>
      <c r="D1869" s="58">
        <v>33.659999999999997</v>
      </c>
      <c r="E1869" s="59">
        <v>41090</v>
      </c>
      <c r="F1869" s="58">
        <v>173830</v>
      </c>
      <c r="G1869" s="58">
        <v>42037</v>
      </c>
      <c r="H1869" s="58">
        <v>44056</v>
      </c>
      <c r="I1869" s="58">
        <v>171628</v>
      </c>
      <c r="J1869" s="58">
        <v>1</v>
      </c>
      <c r="K1869" s="1">
        <f t="shared" si="204"/>
        <v>1482924.96</v>
      </c>
      <c r="L1869" s="1">
        <f t="shared" si="205"/>
        <v>44056</v>
      </c>
      <c r="M1869" s="1">
        <f>VLOOKUP(B1869,'[1]Срок Годности'!$A$2:$B$4,2,0)</f>
        <v>1500</v>
      </c>
      <c r="N1869" s="60">
        <f t="shared" si="206"/>
        <v>42037</v>
      </c>
      <c r="O1869" s="1" t="str">
        <f t="shared" si="207"/>
        <v>26 2012</v>
      </c>
      <c r="P1869" s="1">
        <f t="shared" si="208"/>
        <v>21</v>
      </c>
      <c r="Q1869" s="1">
        <f t="shared" ca="1" si="209"/>
        <v>4043</v>
      </c>
      <c r="S1869" s="1">
        <f t="shared" si="203"/>
        <v>171627</v>
      </c>
    </row>
    <row r="1870" spans="1:19" x14ac:dyDescent="0.2">
      <c r="A1870" s="57" t="s">
        <v>243</v>
      </c>
      <c r="B1870" s="57" t="s">
        <v>244</v>
      </c>
      <c r="C1870" s="57" t="s">
        <v>245</v>
      </c>
      <c r="D1870" s="58">
        <v>33.659999999999997</v>
      </c>
      <c r="E1870" s="59">
        <v>41091</v>
      </c>
      <c r="F1870" s="58">
        <v>171628</v>
      </c>
      <c r="G1870" s="58">
        <v>47272</v>
      </c>
      <c r="H1870" s="58">
        <v>47086</v>
      </c>
      <c r="I1870" s="58">
        <v>171604</v>
      </c>
      <c r="J1870" s="58">
        <v>0</v>
      </c>
      <c r="K1870" s="1">
        <f t="shared" si="204"/>
        <v>1584914.7599999998</v>
      </c>
      <c r="L1870" s="1">
        <f t="shared" si="205"/>
        <v>47086</v>
      </c>
      <c r="M1870" s="1">
        <f>VLOOKUP(B1870,'[1]Срок Годности'!$A$2:$B$4,2,0)</f>
        <v>1500</v>
      </c>
      <c r="N1870" s="60">
        <f t="shared" si="206"/>
        <v>0</v>
      </c>
      <c r="O1870" s="1" t="str">
        <f t="shared" si="207"/>
        <v>27 2012</v>
      </c>
      <c r="P1870" s="1">
        <f t="shared" si="208"/>
        <v>21</v>
      </c>
      <c r="Q1870" s="1">
        <f t="shared" ca="1" si="209"/>
        <v>4042</v>
      </c>
      <c r="S1870" s="1">
        <f t="shared" si="203"/>
        <v>171604</v>
      </c>
    </row>
    <row r="1871" spans="1:19" x14ac:dyDescent="0.2">
      <c r="A1871" s="57" t="s">
        <v>243</v>
      </c>
      <c r="B1871" s="57" t="s">
        <v>244</v>
      </c>
      <c r="C1871" s="57" t="s">
        <v>245</v>
      </c>
      <c r="D1871" s="58">
        <v>33.659999999999997</v>
      </c>
      <c r="E1871" s="59">
        <v>41092</v>
      </c>
      <c r="F1871" s="58">
        <v>171604</v>
      </c>
      <c r="G1871" s="58">
        <v>59455</v>
      </c>
      <c r="H1871" s="58">
        <v>48814</v>
      </c>
      <c r="I1871" s="58">
        <v>181793</v>
      </c>
      <c r="J1871" s="58">
        <v>2</v>
      </c>
      <c r="K1871" s="1">
        <f t="shared" si="204"/>
        <v>1643079.2399999998</v>
      </c>
      <c r="L1871" s="1">
        <f t="shared" si="205"/>
        <v>48814</v>
      </c>
      <c r="M1871" s="1">
        <f>VLOOKUP(B1871,'[1]Срок Годности'!$A$2:$B$4,2,0)</f>
        <v>1500</v>
      </c>
      <c r="N1871" s="60">
        <f t="shared" si="206"/>
        <v>59455</v>
      </c>
      <c r="O1871" s="1" t="str">
        <f t="shared" si="207"/>
        <v>27 2012</v>
      </c>
      <c r="P1871" s="1">
        <f t="shared" si="208"/>
        <v>21</v>
      </c>
      <c r="Q1871" s="1">
        <f t="shared" ca="1" si="209"/>
        <v>4041</v>
      </c>
      <c r="S1871" s="1">
        <f t="shared" si="203"/>
        <v>181791</v>
      </c>
    </row>
    <row r="1872" spans="1:19" x14ac:dyDescent="0.2">
      <c r="A1872" s="57" t="s">
        <v>243</v>
      </c>
      <c r="B1872" s="57" t="s">
        <v>244</v>
      </c>
      <c r="C1872" s="57" t="s">
        <v>245</v>
      </c>
      <c r="D1872" s="58">
        <v>33.659999999999997</v>
      </c>
      <c r="E1872" s="59">
        <v>41093</v>
      </c>
      <c r="F1872" s="58">
        <v>181793</v>
      </c>
      <c r="G1872" s="58">
        <v>1859</v>
      </c>
      <c r="H1872" s="58">
        <v>45130</v>
      </c>
      <c r="I1872" s="58">
        <v>138433</v>
      </c>
      <c r="J1872" s="58">
        <v>4</v>
      </c>
      <c r="K1872" s="1">
        <f t="shared" si="204"/>
        <v>1519075.7999999998</v>
      </c>
      <c r="L1872" s="1">
        <f t="shared" si="205"/>
        <v>45130</v>
      </c>
      <c r="M1872" s="1">
        <f>VLOOKUP(B1872,'[1]Срок Годности'!$A$2:$B$4,2,0)</f>
        <v>1500</v>
      </c>
      <c r="N1872" s="60">
        <f t="shared" si="206"/>
        <v>1859</v>
      </c>
      <c r="O1872" s="1" t="str">
        <f t="shared" si="207"/>
        <v>27 2012</v>
      </c>
      <c r="P1872" s="1">
        <f t="shared" si="208"/>
        <v>21</v>
      </c>
      <c r="Q1872" s="1">
        <f t="shared" ca="1" si="209"/>
        <v>4040</v>
      </c>
      <c r="S1872" s="1">
        <f t="shared" si="203"/>
        <v>138429</v>
      </c>
    </row>
    <row r="1873" spans="1:19" x14ac:dyDescent="0.2">
      <c r="A1873" s="57" t="s">
        <v>243</v>
      </c>
      <c r="B1873" s="57" t="s">
        <v>244</v>
      </c>
      <c r="C1873" s="57" t="s">
        <v>245</v>
      </c>
      <c r="D1873" s="58">
        <v>33.659999999999997</v>
      </c>
      <c r="E1873" s="59">
        <v>41094</v>
      </c>
      <c r="F1873" s="58">
        <v>138433</v>
      </c>
      <c r="G1873" s="58">
        <v>3944</v>
      </c>
      <c r="H1873" s="58">
        <v>36637</v>
      </c>
      <c r="I1873" s="58">
        <v>106018</v>
      </c>
      <c r="J1873" s="58">
        <v>1</v>
      </c>
      <c r="K1873" s="1">
        <f t="shared" si="204"/>
        <v>1233201.42</v>
      </c>
      <c r="L1873" s="1">
        <f t="shared" si="205"/>
        <v>36637</v>
      </c>
      <c r="M1873" s="1">
        <f>VLOOKUP(B1873,'[1]Срок Годности'!$A$2:$B$4,2,0)</f>
        <v>1500</v>
      </c>
      <c r="N1873" s="60">
        <f t="shared" si="206"/>
        <v>3944</v>
      </c>
      <c r="O1873" s="1" t="str">
        <f t="shared" si="207"/>
        <v>27 2012</v>
      </c>
      <c r="P1873" s="1">
        <f t="shared" si="208"/>
        <v>21</v>
      </c>
      <c r="Q1873" s="1">
        <f t="shared" ca="1" si="209"/>
        <v>4039</v>
      </c>
      <c r="S1873" s="1">
        <f t="shared" si="203"/>
        <v>106017</v>
      </c>
    </row>
    <row r="1874" spans="1:19" x14ac:dyDescent="0.2">
      <c r="A1874" s="57" t="s">
        <v>243</v>
      </c>
      <c r="B1874" s="57" t="s">
        <v>244</v>
      </c>
      <c r="C1874" s="57" t="s">
        <v>245</v>
      </c>
      <c r="D1874" s="58">
        <v>33.659999999999997</v>
      </c>
      <c r="E1874" s="59">
        <v>41095</v>
      </c>
      <c r="F1874" s="58">
        <v>106018</v>
      </c>
      <c r="G1874" s="58">
        <v>30808</v>
      </c>
      <c r="H1874" s="58">
        <v>30733</v>
      </c>
      <c r="I1874" s="58">
        <v>104758</v>
      </c>
      <c r="J1874" s="58">
        <v>1</v>
      </c>
      <c r="K1874" s="1">
        <f t="shared" si="204"/>
        <v>1034472.7799999999</v>
      </c>
      <c r="L1874" s="1">
        <f t="shared" si="205"/>
        <v>30733</v>
      </c>
      <c r="M1874" s="1">
        <f>VLOOKUP(B1874,'[1]Срок Годности'!$A$2:$B$4,2,0)</f>
        <v>1500</v>
      </c>
      <c r="N1874" s="60">
        <f t="shared" si="206"/>
        <v>30808</v>
      </c>
      <c r="O1874" s="1" t="str">
        <f t="shared" si="207"/>
        <v>27 2012</v>
      </c>
      <c r="P1874" s="1">
        <f t="shared" si="208"/>
        <v>21</v>
      </c>
      <c r="Q1874" s="1">
        <f t="shared" ca="1" si="209"/>
        <v>4038</v>
      </c>
      <c r="S1874" s="1">
        <f t="shared" si="203"/>
        <v>104757</v>
      </c>
    </row>
    <row r="1875" spans="1:19" x14ac:dyDescent="0.2">
      <c r="A1875" s="57" t="s">
        <v>243</v>
      </c>
      <c r="B1875" s="57" t="s">
        <v>244</v>
      </c>
      <c r="C1875" s="57" t="s">
        <v>245</v>
      </c>
      <c r="D1875" s="58">
        <v>33.659999999999997</v>
      </c>
      <c r="E1875" s="59">
        <v>41096</v>
      </c>
      <c r="F1875" s="58">
        <v>104758</v>
      </c>
      <c r="G1875" s="58">
        <v>363</v>
      </c>
      <c r="H1875" s="58">
        <v>34682</v>
      </c>
      <c r="I1875" s="58">
        <v>70266</v>
      </c>
      <c r="J1875" s="58">
        <v>1</v>
      </c>
      <c r="K1875" s="1">
        <f t="shared" si="204"/>
        <v>1167396.1199999999</v>
      </c>
      <c r="L1875" s="1">
        <f t="shared" si="205"/>
        <v>34682</v>
      </c>
      <c r="M1875" s="1">
        <f>VLOOKUP(B1875,'[1]Срок Годности'!$A$2:$B$4,2,0)</f>
        <v>1500</v>
      </c>
      <c r="N1875" s="60">
        <f t="shared" si="206"/>
        <v>363</v>
      </c>
      <c r="O1875" s="1" t="str">
        <f t="shared" si="207"/>
        <v>27 2012</v>
      </c>
      <c r="P1875" s="1">
        <f t="shared" si="208"/>
        <v>21</v>
      </c>
      <c r="Q1875" s="1">
        <f t="shared" ca="1" si="209"/>
        <v>4037</v>
      </c>
      <c r="S1875" s="1">
        <f t="shared" si="203"/>
        <v>70265</v>
      </c>
    </row>
    <row r="1876" spans="1:19" x14ac:dyDescent="0.2">
      <c r="A1876" s="57" t="s">
        <v>243</v>
      </c>
      <c r="B1876" s="57" t="s">
        <v>244</v>
      </c>
      <c r="C1876" s="57" t="s">
        <v>245</v>
      </c>
      <c r="D1876" s="58">
        <v>33.659999999999997</v>
      </c>
      <c r="E1876" s="59">
        <v>41097</v>
      </c>
      <c r="F1876" s="58">
        <v>70266</v>
      </c>
      <c r="G1876" s="58">
        <v>4491</v>
      </c>
      <c r="H1876" s="58">
        <v>29925</v>
      </c>
      <c r="I1876" s="58">
        <v>45134</v>
      </c>
      <c r="J1876" s="58">
        <v>1</v>
      </c>
      <c r="K1876" s="1">
        <f t="shared" si="204"/>
        <v>1007275.4999999999</v>
      </c>
      <c r="L1876" s="1">
        <f t="shared" si="205"/>
        <v>29925</v>
      </c>
      <c r="M1876" s="1">
        <f>VLOOKUP(B1876,'[1]Срок Годности'!$A$2:$B$4,2,0)</f>
        <v>1500</v>
      </c>
      <c r="N1876" s="60">
        <f t="shared" si="206"/>
        <v>4491</v>
      </c>
      <c r="O1876" s="1" t="str">
        <f t="shared" si="207"/>
        <v>27 2012</v>
      </c>
      <c r="P1876" s="1">
        <f t="shared" si="208"/>
        <v>21</v>
      </c>
      <c r="Q1876" s="1">
        <f t="shared" ca="1" si="209"/>
        <v>4036</v>
      </c>
      <c r="S1876" s="1">
        <f t="shared" si="203"/>
        <v>45133</v>
      </c>
    </row>
    <row r="1877" spans="1:19" x14ac:dyDescent="0.2">
      <c r="A1877" s="57" t="s">
        <v>243</v>
      </c>
      <c r="B1877" s="57" t="s">
        <v>244</v>
      </c>
      <c r="C1877" s="57" t="s">
        <v>245</v>
      </c>
      <c r="D1877" s="58">
        <v>33.659999999999997</v>
      </c>
      <c r="E1877" s="59">
        <v>41098</v>
      </c>
      <c r="F1877" s="58">
        <v>45134</v>
      </c>
      <c r="G1877" s="58">
        <v>12697</v>
      </c>
      <c r="H1877" s="58">
        <v>19604</v>
      </c>
      <c r="I1877" s="58">
        <v>38579</v>
      </c>
      <c r="J1877" s="58">
        <v>3</v>
      </c>
      <c r="K1877" s="1">
        <f t="shared" si="204"/>
        <v>659870.6399999999</v>
      </c>
      <c r="L1877" s="1">
        <f t="shared" si="205"/>
        <v>19604</v>
      </c>
      <c r="M1877" s="1">
        <f>VLOOKUP(B1877,'[1]Срок Годности'!$A$2:$B$4,2,0)</f>
        <v>1500</v>
      </c>
      <c r="N1877" s="60">
        <f t="shared" si="206"/>
        <v>0</v>
      </c>
      <c r="O1877" s="1" t="str">
        <f t="shared" si="207"/>
        <v>28 2012</v>
      </c>
      <c r="P1877" s="1">
        <f t="shared" si="208"/>
        <v>21</v>
      </c>
      <c r="Q1877" s="1">
        <f t="shared" ca="1" si="209"/>
        <v>4035</v>
      </c>
      <c r="S1877" s="1">
        <f t="shared" si="203"/>
        <v>38576</v>
      </c>
    </row>
    <row r="1878" spans="1:19" x14ac:dyDescent="0.2">
      <c r="A1878" s="57" t="s">
        <v>243</v>
      </c>
      <c r="B1878" s="57" t="s">
        <v>244</v>
      </c>
      <c r="C1878" s="57" t="s">
        <v>245</v>
      </c>
      <c r="D1878" s="58">
        <v>33.659999999999997</v>
      </c>
      <c r="E1878" s="59">
        <v>41099</v>
      </c>
      <c r="F1878" s="58">
        <v>38579</v>
      </c>
      <c r="G1878" s="58">
        <v>3614</v>
      </c>
      <c r="H1878" s="58">
        <v>13802</v>
      </c>
      <c r="I1878" s="58">
        <v>28399</v>
      </c>
      <c r="J1878" s="58">
        <v>0</v>
      </c>
      <c r="K1878" s="1">
        <f t="shared" si="204"/>
        <v>464575.31999999995</v>
      </c>
      <c r="L1878" s="1">
        <f t="shared" si="205"/>
        <v>13802</v>
      </c>
      <c r="M1878" s="1">
        <f>VLOOKUP(B1878,'[1]Срок Годности'!$A$2:$B$4,2,0)</f>
        <v>1500</v>
      </c>
      <c r="N1878" s="60">
        <f t="shared" si="206"/>
        <v>3614</v>
      </c>
      <c r="O1878" s="1" t="str">
        <f t="shared" si="207"/>
        <v>28 2012</v>
      </c>
      <c r="P1878" s="1">
        <f t="shared" si="208"/>
        <v>21</v>
      </c>
      <c r="Q1878" s="1">
        <f t="shared" ca="1" si="209"/>
        <v>4034</v>
      </c>
      <c r="S1878" s="1">
        <f t="shared" si="203"/>
        <v>28399</v>
      </c>
    </row>
    <row r="1879" spans="1:19" x14ac:dyDescent="0.2">
      <c r="A1879" s="57" t="s">
        <v>243</v>
      </c>
      <c r="B1879" s="57" t="s">
        <v>244</v>
      </c>
      <c r="C1879" s="57" t="s">
        <v>245</v>
      </c>
      <c r="D1879" s="58">
        <v>33.659999999999997</v>
      </c>
      <c r="E1879" s="59">
        <v>41100</v>
      </c>
      <c r="F1879" s="58">
        <v>28399</v>
      </c>
      <c r="G1879" s="58">
        <v>1650</v>
      </c>
      <c r="H1879" s="58">
        <v>8097</v>
      </c>
      <c r="I1879" s="58">
        <v>21661</v>
      </c>
      <c r="J1879" s="58">
        <v>0</v>
      </c>
      <c r="K1879" s="1">
        <f t="shared" si="204"/>
        <v>272545.01999999996</v>
      </c>
      <c r="L1879" s="1">
        <f t="shared" si="205"/>
        <v>8097</v>
      </c>
      <c r="M1879" s="1">
        <f>VLOOKUP(B1879,'[1]Срок Годности'!$A$2:$B$4,2,0)</f>
        <v>1500</v>
      </c>
      <c r="N1879" s="60">
        <f t="shared" si="206"/>
        <v>1650</v>
      </c>
      <c r="O1879" s="1" t="str">
        <f t="shared" si="207"/>
        <v>28 2012</v>
      </c>
      <c r="P1879" s="1">
        <f t="shared" si="208"/>
        <v>21</v>
      </c>
      <c r="Q1879" s="1">
        <f t="shared" ca="1" si="209"/>
        <v>4033</v>
      </c>
      <c r="S1879" s="1">
        <f t="shared" si="203"/>
        <v>21661</v>
      </c>
    </row>
    <row r="1880" spans="1:19" x14ac:dyDescent="0.2">
      <c r="A1880" s="57" t="s">
        <v>243</v>
      </c>
      <c r="B1880" s="57" t="s">
        <v>244</v>
      </c>
      <c r="C1880" s="57" t="s">
        <v>245</v>
      </c>
      <c r="D1880" s="58">
        <v>33.659999999999997</v>
      </c>
      <c r="E1880" s="59">
        <v>41101</v>
      </c>
      <c r="F1880" s="58">
        <v>21661</v>
      </c>
      <c r="G1880" s="58">
        <v>7641</v>
      </c>
      <c r="H1880" s="58">
        <v>6994</v>
      </c>
      <c r="I1880" s="58">
        <v>22290</v>
      </c>
      <c r="J1880" s="58">
        <v>0</v>
      </c>
      <c r="K1880" s="1">
        <f t="shared" si="204"/>
        <v>235418.03999999998</v>
      </c>
      <c r="L1880" s="1">
        <f t="shared" si="205"/>
        <v>6994</v>
      </c>
      <c r="M1880" s="1">
        <f>VLOOKUP(B1880,'[1]Срок Годности'!$A$2:$B$4,2,0)</f>
        <v>1500</v>
      </c>
      <c r="N1880" s="60">
        <f t="shared" si="206"/>
        <v>7641</v>
      </c>
      <c r="O1880" s="1" t="str">
        <f t="shared" si="207"/>
        <v>28 2012</v>
      </c>
      <c r="P1880" s="1">
        <f t="shared" si="208"/>
        <v>21</v>
      </c>
      <c r="Q1880" s="1">
        <f t="shared" ca="1" si="209"/>
        <v>4032</v>
      </c>
      <c r="S1880" s="1">
        <f t="shared" si="203"/>
        <v>22290</v>
      </c>
    </row>
    <row r="1881" spans="1:19" x14ac:dyDescent="0.2">
      <c r="A1881" s="57" t="s">
        <v>243</v>
      </c>
      <c r="B1881" s="57" t="s">
        <v>244</v>
      </c>
      <c r="C1881" s="57" t="s">
        <v>245</v>
      </c>
      <c r="D1881" s="58">
        <v>33.659999999999997</v>
      </c>
      <c r="E1881" s="59">
        <v>41102</v>
      </c>
      <c r="F1881" s="58">
        <v>22290</v>
      </c>
      <c r="G1881" s="58">
        <v>199909</v>
      </c>
      <c r="H1881" s="58">
        <v>18621</v>
      </c>
      <c r="I1881" s="58">
        <v>203286</v>
      </c>
      <c r="J1881" s="58">
        <v>3</v>
      </c>
      <c r="K1881" s="1">
        <f t="shared" si="204"/>
        <v>626782.86</v>
      </c>
      <c r="L1881" s="1">
        <f t="shared" si="205"/>
        <v>18621</v>
      </c>
      <c r="M1881" s="1">
        <f>VLOOKUP(B1881,'[1]Срок Годности'!$A$2:$B$4,2,0)</f>
        <v>1500</v>
      </c>
      <c r="N1881" s="60">
        <f t="shared" si="206"/>
        <v>199909</v>
      </c>
      <c r="O1881" s="1" t="str">
        <f t="shared" si="207"/>
        <v>28 2012</v>
      </c>
      <c r="P1881" s="1">
        <f t="shared" si="208"/>
        <v>21</v>
      </c>
      <c r="Q1881" s="1">
        <f t="shared" ca="1" si="209"/>
        <v>4031</v>
      </c>
      <c r="S1881" s="1">
        <f t="shared" si="203"/>
        <v>203283</v>
      </c>
    </row>
    <row r="1882" spans="1:19" x14ac:dyDescent="0.2">
      <c r="A1882" s="57" t="s">
        <v>243</v>
      </c>
      <c r="B1882" s="57" t="s">
        <v>244</v>
      </c>
      <c r="C1882" s="57" t="s">
        <v>245</v>
      </c>
      <c r="D1882" s="58">
        <v>33.659999999999997</v>
      </c>
      <c r="E1882" s="59">
        <v>41103</v>
      </c>
      <c r="F1882" s="58">
        <v>203286</v>
      </c>
      <c r="G1882" s="58">
        <v>81866</v>
      </c>
      <c r="H1882" s="58">
        <v>30969</v>
      </c>
      <c r="I1882" s="58">
        <v>253647</v>
      </c>
      <c r="J1882" s="58">
        <v>3</v>
      </c>
      <c r="K1882" s="1">
        <f t="shared" si="204"/>
        <v>1042416.5399999999</v>
      </c>
      <c r="L1882" s="1">
        <f t="shared" si="205"/>
        <v>30969</v>
      </c>
      <c r="M1882" s="1">
        <f>VLOOKUP(B1882,'[1]Срок Годности'!$A$2:$B$4,2,0)</f>
        <v>1500</v>
      </c>
      <c r="N1882" s="60">
        <f t="shared" si="206"/>
        <v>81866</v>
      </c>
      <c r="O1882" s="1" t="str">
        <f t="shared" si="207"/>
        <v>28 2012</v>
      </c>
      <c r="P1882" s="1">
        <f t="shared" si="208"/>
        <v>21</v>
      </c>
      <c r="Q1882" s="1">
        <f t="shared" ca="1" si="209"/>
        <v>4030</v>
      </c>
      <c r="S1882" s="1">
        <f t="shared" si="203"/>
        <v>253644</v>
      </c>
    </row>
    <row r="1883" spans="1:19" x14ac:dyDescent="0.2">
      <c r="A1883" s="57" t="s">
        <v>243</v>
      </c>
      <c r="B1883" s="57" t="s">
        <v>244</v>
      </c>
      <c r="C1883" s="57" t="s">
        <v>245</v>
      </c>
      <c r="D1883" s="58">
        <v>33.659999999999997</v>
      </c>
      <c r="E1883" s="59">
        <v>41104</v>
      </c>
      <c r="F1883" s="58">
        <v>253647</v>
      </c>
      <c r="G1883" s="58">
        <v>22527</v>
      </c>
      <c r="H1883" s="58">
        <v>23344</v>
      </c>
      <c r="I1883" s="58">
        <v>252524</v>
      </c>
      <c r="J1883" s="58">
        <v>1</v>
      </c>
      <c r="K1883" s="1">
        <f t="shared" si="204"/>
        <v>785759.03999999992</v>
      </c>
      <c r="L1883" s="1">
        <f t="shared" si="205"/>
        <v>23344</v>
      </c>
      <c r="M1883" s="1">
        <f>VLOOKUP(B1883,'[1]Срок Годности'!$A$2:$B$4,2,0)</f>
        <v>1500</v>
      </c>
      <c r="N1883" s="60">
        <f t="shared" si="206"/>
        <v>22527</v>
      </c>
      <c r="O1883" s="1" t="str">
        <f t="shared" si="207"/>
        <v>28 2012</v>
      </c>
      <c r="P1883" s="1">
        <f t="shared" si="208"/>
        <v>21</v>
      </c>
      <c r="Q1883" s="1">
        <f t="shared" ca="1" si="209"/>
        <v>4029</v>
      </c>
      <c r="S1883" s="1">
        <f t="shared" si="203"/>
        <v>252523</v>
      </c>
    </row>
    <row r="1884" spans="1:19" x14ac:dyDescent="0.2">
      <c r="A1884" s="57" t="s">
        <v>243</v>
      </c>
      <c r="B1884" s="57" t="s">
        <v>244</v>
      </c>
      <c r="C1884" s="57" t="s">
        <v>245</v>
      </c>
      <c r="D1884" s="58">
        <v>33.659999999999997</v>
      </c>
      <c r="E1884" s="59">
        <v>41105</v>
      </c>
      <c r="F1884" s="58">
        <v>252524</v>
      </c>
      <c r="G1884" s="58">
        <v>25284</v>
      </c>
      <c r="H1884" s="58">
        <v>21107</v>
      </c>
      <c r="I1884" s="58">
        <v>256579</v>
      </c>
      <c r="J1884" s="58">
        <v>0</v>
      </c>
      <c r="K1884" s="1">
        <f t="shared" si="204"/>
        <v>710461.61999999988</v>
      </c>
      <c r="L1884" s="1">
        <f t="shared" si="205"/>
        <v>21107</v>
      </c>
      <c r="M1884" s="1">
        <f>VLOOKUP(B1884,'[1]Срок Годности'!$A$2:$B$4,2,0)</f>
        <v>1500</v>
      </c>
      <c r="N1884" s="60">
        <f t="shared" si="206"/>
        <v>0</v>
      </c>
      <c r="O1884" s="1" t="str">
        <f t="shared" si="207"/>
        <v>29 2012</v>
      </c>
      <c r="P1884" s="1">
        <f t="shared" si="208"/>
        <v>21</v>
      </c>
      <c r="Q1884" s="1">
        <f t="shared" ca="1" si="209"/>
        <v>4028</v>
      </c>
      <c r="S1884" s="1">
        <f t="shared" si="203"/>
        <v>256579</v>
      </c>
    </row>
    <row r="1885" spans="1:19" x14ac:dyDescent="0.2">
      <c r="A1885" s="57" t="s">
        <v>243</v>
      </c>
      <c r="B1885" s="57" t="s">
        <v>244</v>
      </c>
      <c r="C1885" s="57" t="s">
        <v>245</v>
      </c>
      <c r="D1885" s="58">
        <v>33.659999999999997</v>
      </c>
      <c r="E1885" s="59">
        <v>41106</v>
      </c>
      <c r="F1885" s="58">
        <v>256579</v>
      </c>
      <c r="G1885" s="58">
        <v>16701</v>
      </c>
      <c r="H1885" s="58">
        <v>19669</v>
      </c>
      <c r="I1885" s="58">
        <v>253531</v>
      </c>
      <c r="J1885" s="58">
        <v>2</v>
      </c>
      <c r="K1885" s="1">
        <f t="shared" si="204"/>
        <v>662058.53999999992</v>
      </c>
      <c r="L1885" s="1">
        <f t="shared" si="205"/>
        <v>19669</v>
      </c>
      <c r="M1885" s="1">
        <f>VLOOKUP(B1885,'[1]Срок Годности'!$A$2:$B$4,2,0)</f>
        <v>1500</v>
      </c>
      <c r="N1885" s="60">
        <f t="shared" si="206"/>
        <v>16701</v>
      </c>
      <c r="O1885" s="1" t="str">
        <f t="shared" si="207"/>
        <v>29 2012</v>
      </c>
      <c r="P1885" s="1">
        <f t="shared" si="208"/>
        <v>21</v>
      </c>
      <c r="Q1885" s="1">
        <f t="shared" ca="1" si="209"/>
        <v>4027</v>
      </c>
      <c r="S1885" s="1">
        <f t="shared" si="203"/>
        <v>253529</v>
      </c>
    </row>
    <row r="1886" spans="1:19" x14ac:dyDescent="0.2">
      <c r="A1886" s="57" t="s">
        <v>243</v>
      </c>
      <c r="B1886" s="57" t="s">
        <v>244</v>
      </c>
      <c r="C1886" s="57" t="s">
        <v>245</v>
      </c>
      <c r="D1886" s="58">
        <v>33.659999999999997</v>
      </c>
      <c r="E1886" s="59">
        <v>41107</v>
      </c>
      <c r="F1886" s="58">
        <v>253531</v>
      </c>
      <c r="G1886" s="58">
        <v>9476</v>
      </c>
      <c r="H1886" s="58">
        <v>16372</v>
      </c>
      <c r="I1886" s="58">
        <v>246499</v>
      </c>
      <c r="J1886" s="58">
        <v>0</v>
      </c>
      <c r="K1886" s="1">
        <f t="shared" si="204"/>
        <v>551081.5199999999</v>
      </c>
      <c r="L1886" s="1">
        <f t="shared" si="205"/>
        <v>16372</v>
      </c>
      <c r="M1886" s="1">
        <f>VLOOKUP(B1886,'[1]Срок Годности'!$A$2:$B$4,2,0)</f>
        <v>1500</v>
      </c>
      <c r="N1886" s="60">
        <f t="shared" si="206"/>
        <v>9476</v>
      </c>
      <c r="O1886" s="1" t="str">
        <f t="shared" si="207"/>
        <v>29 2012</v>
      </c>
      <c r="P1886" s="1">
        <f t="shared" si="208"/>
        <v>21</v>
      </c>
      <c r="Q1886" s="1">
        <f t="shared" ca="1" si="209"/>
        <v>4026</v>
      </c>
      <c r="S1886" s="1">
        <f t="shared" si="203"/>
        <v>246499</v>
      </c>
    </row>
    <row r="1887" spans="1:19" x14ac:dyDescent="0.2">
      <c r="A1887" s="57" t="s">
        <v>243</v>
      </c>
      <c r="B1887" s="57" t="s">
        <v>237</v>
      </c>
      <c r="C1887" s="57" t="s">
        <v>238</v>
      </c>
      <c r="D1887" s="58">
        <v>165.05</v>
      </c>
      <c r="E1887" s="59">
        <v>41061</v>
      </c>
      <c r="F1887" s="58">
        <v>13977</v>
      </c>
      <c r="G1887" s="58">
        <v>1896</v>
      </c>
      <c r="H1887" s="58">
        <v>2490</v>
      </c>
      <c r="I1887" s="58">
        <v>13353</v>
      </c>
      <c r="J1887" s="58">
        <v>0</v>
      </c>
      <c r="K1887" s="1">
        <f t="shared" si="204"/>
        <v>410974.5</v>
      </c>
      <c r="L1887" s="1">
        <f t="shared" si="205"/>
        <v>2490</v>
      </c>
      <c r="M1887" s="1">
        <f>VLOOKUP(B1887,'[1]Срок Годности'!$A$2:$B$4,2,0)</f>
        <v>1000</v>
      </c>
      <c r="N1887" s="60">
        <f t="shared" si="206"/>
        <v>1896</v>
      </c>
      <c r="O1887" s="1" t="str">
        <f t="shared" si="207"/>
        <v>22 2012</v>
      </c>
      <c r="P1887" s="1">
        <f t="shared" si="208"/>
        <v>22</v>
      </c>
      <c r="Q1887" s="1">
        <f t="shared" ca="1" si="209"/>
        <v>4072</v>
      </c>
      <c r="S1887" s="1">
        <f t="shared" si="203"/>
        <v>13353</v>
      </c>
    </row>
    <row r="1888" spans="1:19" x14ac:dyDescent="0.2">
      <c r="A1888" s="57" t="s">
        <v>243</v>
      </c>
      <c r="B1888" s="57" t="s">
        <v>237</v>
      </c>
      <c r="C1888" s="57" t="s">
        <v>238</v>
      </c>
      <c r="D1888" s="58">
        <v>165.05</v>
      </c>
      <c r="E1888" s="59">
        <v>41062</v>
      </c>
      <c r="F1888" s="58">
        <v>13353</v>
      </c>
      <c r="G1888" s="58">
        <v>2082</v>
      </c>
      <c r="H1888" s="58">
        <v>2922</v>
      </c>
      <c r="I1888" s="58">
        <v>12484</v>
      </c>
      <c r="J1888" s="58">
        <v>0</v>
      </c>
      <c r="K1888" s="1">
        <f t="shared" si="204"/>
        <v>482276.10000000003</v>
      </c>
      <c r="L1888" s="1">
        <f t="shared" si="205"/>
        <v>2922</v>
      </c>
      <c r="M1888" s="1">
        <f>VLOOKUP(B1888,'[1]Срок Годности'!$A$2:$B$4,2,0)</f>
        <v>1000</v>
      </c>
      <c r="N1888" s="60">
        <f t="shared" si="206"/>
        <v>2082</v>
      </c>
      <c r="O1888" s="1" t="str">
        <f t="shared" si="207"/>
        <v>22 2012</v>
      </c>
      <c r="P1888" s="1">
        <f t="shared" si="208"/>
        <v>22</v>
      </c>
      <c r="Q1888" s="1">
        <f t="shared" ca="1" si="209"/>
        <v>4071</v>
      </c>
      <c r="S1888" s="1">
        <f t="shared" si="203"/>
        <v>12484</v>
      </c>
    </row>
    <row r="1889" spans="1:19" x14ac:dyDescent="0.2">
      <c r="A1889" s="57" t="s">
        <v>243</v>
      </c>
      <c r="B1889" s="57" t="s">
        <v>237</v>
      </c>
      <c r="C1889" s="57" t="s">
        <v>238</v>
      </c>
      <c r="D1889" s="58">
        <v>165.05</v>
      </c>
      <c r="E1889" s="59">
        <v>41063</v>
      </c>
      <c r="F1889" s="58">
        <v>12484</v>
      </c>
      <c r="G1889" s="58">
        <v>3128</v>
      </c>
      <c r="H1889" s="58">
        <v>3032</v>
      </c>
      <c r="I1889" s="58">
        <v>12537</v>
      </c>
      <c r="J1889" s="58">
        <v>0</v>
      </c>
      <c r="K1889" s="1">
        <f t="shared" si="204"/>
        <v>500431.60000000003</v>
      </c>
      <c r="L1889" s="1">
        <f t="shared" si="205"/>
        <v>3032</v>
      </c>
      <c r="M1889" s="1">
        <f>VLOOKUP(B1889,'[1]Срок Годности'!$A$2:$B$4,2,0)</f>
        <v>1000</v>
      </c>
      <c r="N1889" s="60">
        <f t="shared" si="206"/>
        <v>0</v>
      </c>
      <c r="O1889" s="1" t="str">
        <f t="shared" si="207"/>
        <v>23 2012</v>
      </c>
      <c r="P1889" s="1">
        <f t="shared" si="208"/>
        <v>22</v>
      </c>
      <c r="Q1889" s="1">
        <f t="shared" ca="1" si="209"/>
        <v>4070</v>
      </c>
      <c r="S1889" s="1">
        <f t="shared" si="203"/>
        <v>12537</v>
      </c>
    </row>
    <row r="1890" spans="1:19" x14ac:dyDescent="0.2">
      <c r="A1890" s="57" t="s">
        <v>243</v>
      </c>
      <c r="B1890" s="57" t="s">
        <v>237</v>
      </c>
      <c r="C1890" s="57" t="s">
        <v>238</v>
      </c>
      <c r="D1890" s="58">
        <v>165.05</v>
      </c>
      <c r="E1890" s="59">
        <v>41064</v>
      </c>
      <c r="F1890" s="58">
        <v>12537</v>
      </c>
      <c r="G1890" s="58">
        <v>2605</v>
      </c>
      <c r="H1890" s="58">
        <v>2788</v>
      </c>
      <c r="I1890" s="58">
        <v>12316</v>
      </c>
      <c r="J1890" s="58">
        <v>0</v>
      </c>
      <c r="K1890" s="1">
        <f t="shared" si="204"/>
        <v>460159.4</v>
      </c>
      <c r="L1890" s="1">
        <f t="shared" si="205"/>
        <v>2788</v>
      </c>
      <c r="M1890" s="1">
        <f>VLOOKUP(B1890,'[1]Срок Годности'!$A$2:$B$4,2,0)</f>
        <v>1000</v>
      </c>
      <c r="N1890" s="60">
        <f t="shared" si="206"/>
        <v>2605</v>
      </c>
      <c r="O1890" s="1" t="str">
        <f t="shared" si="207"/>
        <v>23 2012</v>
      </c>
      <c r="P1890" s="1">
        <f t="shared" si="208"/>
        <v>22</v>
      </c>
      <c r="Q1890" s="1">
        <f t="shared" ca="1" si="209"/>
        <v>4069</v>
      </c>
      <c r="S1890" s="1">
        <f t="shared" si="203"/>
        <v>12316</v>
      </c>
    </row>
    <row r="1891" spans="1:19" x14ac:dyDescent="0.2">
      <c r="A1891" s="57" t="s">
        <v>243</v>
      </c>
      <c r="B1891" s="57" t="s">
        <v>237</v>
      </c>
      <c r="C1891" s="57" t="s">
        <v>238</v>
      </c>
      <c r="D1891" s="58">
        <v>165.05</v>
      </c>
      <c r="E1891" s="59">
        <v>41065</v>
      </c>
      <c r="F1891" s="58">
        <v>12316</v>
      </c>
      <c r="G1891" s="58">
        <v>3023</v>
      </c>
      <c r="H1891" s="58">
        <v>3027</v>
      </c>
      <c r="I1891" s="58">
        <v>12272</v>
      </c>
      <c r="J1891" s="58">
        <v>0</v>
      </c>
      <c r="K1891" s="1">
        <f t="shared" si="204"/>
        <v>499606.35000000003</v>
      </c>
      <c r="L1891" s="1">
        <f t="shared" si="205"/>
        <v>3027</v>
      </c>
      <c r="M1891" s="1">
        <f>VLOOKUP(B1891,'[1]Срок Годности'!$A$2:$B$4,2,0)</f>
        <v>1000</v>
      </c>
      <c r="N1891" s="60">
        <f t="shared" si="206"/>
        <v>3023</v>
      </c>
      <c r="O1891" s="1" t="str">
        <f t="shared" si="207"/>
        <v>23 2012</v>
      </c>
      <c r="P1891" s="1">
        <f t="shared" si="208"/>
        <v>22</v>
      </c>
      <c r="Q1891" s="1">
        <f t="shared" ca="1" si="209"/>
        <v>4068</v>
      </c>
      <c r="S1891" s="1">
        <f t="shared" si="203"/>
        <v>12272</v>
      </c>
    </row>
    <row r="1892" spans="1:19" x14ac:dyDescent="0.2">
      <c r="A1892" s="57" t="s">
        <v>243</v>
      </c>
      <c r="B1892" s="57" t="s">
        <v>237</v>
      </c>
      <c r="C1892" s="57" t="s">
        <v>238</v>
      </c>
      <c r="D1892" s="58">
        <v>165.05</v>
      </c>
      <c r="E1892" s="59">
        <v>41066</v>
      </c>
      <c r="F1892" s="58">
        <v>12272</v>
      </c>
      <c r="G1892" s="58">
        <v>3797</v>
      </c>
      <c r="H1892" s="58">
        <v>3401</v>
      </c>
      <c r="I1892" s="58">
        <v>12611</v>
      </c>
      <c r="J1892" s="58">
        <v>0</v>
      </c>
      <c r="K1892" s="1">
        <f t="shared" si="204"/>
        <v>561335.05000000005</v>
      </c>
      <c r="L1892" s="1">
        <f t="shared" si="205"/>
        <v>3401</v>
      </c>
      <c r="M1892" s="1">
        <f>VLOOKUP(B1892,'[1]Срок Годности'!$A$2:$B$4,2,0)</f>
        <v>1000</v>
      </c>
      <c r="N1892" s="60">
        <f t="shared" si="206"/>
        <v>3797</v>
      </c>
      <c r="O1892" s="1" t="str">
        <f t="shared" si="207"/>
        <v>23 2012</v>
      </c>
      <c r="P1892" s="1">
        <f t="shared" si="208"/>
        <v>22</v>
      </c>
      <c r="Q1892" s="1">
        <f t="shared" ca="1" si="209"/>
        <v>4067</v>
      </c>
      <c r="S1892" s="1">
        <f t="shared" si="203"/>
        <v>12611</v>
      </c>
    </row>
    <row r="1893" spans="1:19" x14ac:dyDescent="0.2">
      <c r="A1893" s="57" t="s">
        <v>243</v>
      </c>
      <c r="B1893" s="57" t="s">
        <v>237</v>
      </c>
      <c r="C1893" s="57" t="s">
        <v>238</v>
      </c>
      <c r="D1893" s="58">
        <v>165.05</v>
      </c>
      <c r="E1893" s="59">
        <v>41067</v>
      </c>
      <c r="F1893" s="58">
        <v>12611</v>
      </c>
      <c r="G1893" s="58">
        <v>3403</v>
      </c>
      <c r="H1893" s="58">
        <v>3512</v>
      </c>
      <c r="I1893" s="58">
        <v>12444</v>
      </c>
      <c r="J1893" s="58">
        <v>0</v>
      </c>
      <c r="K1893" s="1">
        <f t="shared" si="204"/>
        <v>579655.60000000009</v>
      </c>
      <c r="L1893" s="1">
        <f t="shared" si="205"/>
        <v>3512</v>
      </c>
      <c r="M1893" s="1">
        <f>VLOOKUP(B1893,'[1]Срок Годности'!$A$2:$B$4,2,0)</f>
        <v>1000</v>
      </c>
      <c r="N1893" s="60">
        <f t="shared" si="206"/>
        <v>3403</v>
      </c>
      <c r="O1893" s="1" t="str">
        <f t="shared" si="207"/>
        <v>23 2012</v>
      </c>
      <c r="P1893" s="1">
        <f t="shared" si="208"/>
        <v>22</v>
      </c>
      <c r="Q1893" s="1">
        <f t="shared" ca="1" si="209"/>
        <v>4066</v>
      </c>
      <c r="S1893" s="1">
        <f t="shared" si="203"/>
        <v>12444</v>
      </c>
    </row>
    <row r="1894" spans="1:19" x14ac:dyDescent="0.2">
      <c r="A1894" s="57" t="s">
        <v>243</v>
      </c>
      <c r="B1894" s="57" t="s">
        <v>237</v>
      </c>
      <c r="C1894" s="57" t="s">
        <v>238</v>
      </c>
      <c r="D1894" s="58">
        <v>165.05</v>
      </c>
      <c r="E1894" s="59">
        <v>41068</v>
      </c>
      <c r="F1894" s="58">
        <v>12444</v>
      </c>
      <c r="G1894" s="58">
        <v>3026</v>
      </c>
      <c r="H1894" s="58">
        <v>4132</v>
      </c>
      <c r="I1894" s="58">
        <v>11279</v>
      </c>
      <c r="J1894" s="58">
        <v>0</v>
      </c>
      <c r="K1894" s="1">
        <f t="shared" si="204"/>
        <v>681986.60000000009</v>
      </c>
      <c r="L1894" s="1">
        <f t="shared" si="205"/>
        <v>4132</v>
      </c>
      <c r="M1894" s="1">
        <f>VLOOKUP(B1894,'[1]Срок Годности'!$A$2:$B$4,2,0)</f>
        <v>1000</v>
      </c>
      <c r="N1894" s="60">
        <f t="shared" si="206"/>
        <v>3026</v>
      </c>
      <c r="O1894" s="1" t="str">
        <f t="shared" si="207"/>
        <v>23 2012</v>
      </c>
      <c r="P1894" s="1">
        <f t="shared" si="208"/>
        <v>22</v>
      </c>
      <c r="Q1894" s="1">
        <f t="shared" ca="1" si="209"/>
        <v>4065</v>
      </c>
      <c r="S1894" s="1">
        <f t="shared" si="203"/>
        <v>11279</v>
      </c>
    </row>
    <row r="1895" spans="1:19" x14ac:dyDescent="0.2">
      <c r="A1895" s="57" t="s">
        <v>243</v>
      </c>
      <c r="B1895" s="57" t="s">
        <v>237</v>
      </c>
      <c r="C1895" s="57" t="s">
        <v>238</v>
      </c>
      <c r="D1895" s="58">
        <v>165.05</v>
      </c>
      <c r="E1895" s="59">
        <v>41069</v>
      </c>
      <c r="F1895" s="58">
        <v>11279</v>
      </c>
      <c r="G1895" s="58">
        <v>4882</v>
      </c>
      <c r="H1895" s="58">
        <v>4846</v>
      </c>
      <c r="I1895" s="58">
        <v>11255</v>
      </c>
      <c r="J1895" s="58">
        <v>0</v>
      </c>
      <c r="K1895" s="1">
        <f t="shared" si="204"/>
        <v>799832.3</v>
      </c>
      <c r="L1895" s="1">
        <f t="shared" si="205"/>
        <v>4846</v>
      </c>
      <c r="M1895" s="1">
        <f>VLOOKUP(B1895,'[1]Срок Годности'!$A$2:$B$4,2,0)</f>
        <v>1000</v>
      </c>
      <c r="N1895" s="60">
        <f t="shared" si="206"/>
        <v>4882</v>
      </c>
      <c r="O1895" s="1" t="str">
        <f t="shared" si="207"/>
        <v>23 2012</v>
      </c>
      <c r="P1895" s="1">
        <f t="shared" si="208"/>
        <v>22</v>
      </c>
      <c r="Q1895" s="1">
        <f t="shared" ca="1" si="209"/>
        <v>4064</v>
      </c>
      <c r="S1895" s="1">
        <f t="shared" si="203"/>
        <v>11255</v>
      </c>
    </row>
    <row r="1896" spans="1:19" x14ac:dyDescent="0.2">
      <c r="A1896" s="57" t="s">
        <v>243</v>
      </c>
      <c r="B1896" s="57" t="s">
        <v>237</v>
      </c>
      <c r="C1896" s="57" t="s">
        <v>238</v>
      </c>
      <c r="D1896" s="58">
        <v>165.05</v>
      </c>
      <c r="E1896" s="59">
        <v>41070</v>
      </c>
      <c r="F1896" s="58">
        <v>11255</v>
      </c>
      <c r="G1896" s="58">
        <v>3213</v>
      </c>
      <c r="H1896" s="58">
        <v>4371</v>
      </c>
      <c r="I1896" s="58">
        <v>10022</v>
      </c>
      <c r="J1896" s="58">
        <v>0</v>
      </c>
      <c r="K1896" s="1">
        <f t="shared" si="204"/>
        <v>721433.55</v>
      </c>
      <c r="L1896" s="1">
        <f t="shared" si="205"/>
        <v>4371</v>
      </c>
      <c r="M1896" s="1">
        <f>VLOOKUP(B1896,'[1]Срок Годности'!$A$2:$B$4,2,0)</f>
        <v>1000</v>
      </c>
      <c r="N1896" s="60">
        <f t="shared" si="206"/>
        <v>0</v>
      </c>
      <c r="O1896" s="1" t="str">
        <f t="shared" si="207"/>
        <v>24 2012</v>
      </c>
      <c r="P1896" s="1">
        <f t="shared" si="208"/>
        <v>22</v>
      </c>
      <c r="Q1896" s="1">
        <f t="shared" ca="1" si="209"/>
        <v>4063</v>
      </c>
      <c r="S1896" s="1">
        <f t="shared" si="203"/>
        <v>10022</v>
      </c>
    </row>
    <row r="1897" spans="1:19" x14ac:dyDescent="0.2">
      <c r="A1897" s="57" t="s">
        <v>243</v>
      </c>
      <c r="B1897" s="57" t="s">
        <v>237</v>
      </c>
      <c r="C1897" s="57" t="s">
        <v>238</v>
      </c>
      <c r="D1897" s="58">
        <v>165.05</v>
      </c>
      <c r="E1897" s="59">
        <v>41071</v>
      </c>
      <c r="F1897" s="58">
        <v>10022</v>
      </c>
      <c r="G1897" s="58">
        <v>3659</v>
      </c>
      <c r="H1897" s="58">
        <v>4178</v>
      </c>
      <c r="I1897" s="58">
        <v>9459</v>
      </c>
      <c r="J1897" s="58">
        <v>0</v>
      </c>
      <c r="K1897" s="1">
        <f t="shared" si="204"/>
        <v>689578.9</v>
      </c>
      <c r="L1897" s="1">
        <f t="shared" si="205"/>
        <v>4178</v>
      </c>
      <c r="M1897" s="1">
        <f>VLOOKUP(B1897,'[1]Срок Годности'!$A$2:$B$4,2,0)</f>
        <v>1000</v>
      </c>
      <c r="N1897" s="60">
        <f t="shared" si="206"/>
        <v>3659</v>
      </c>
      <c r="O1897" s="1" t="str">
        <f t="shared" si="207"/>
        <v>24 2012</v>
      </c>
      <c r="P1897" s="1">
        <f t="shared" si="208"/>
        <v>22</v>
      </c>
      <c r="Q1897" s="1">
        <f t="shared" ca="1" si="209"/>
        <v>4062</v>
      </c>
      <c r="S1897" s="1">
        <f t="shared" si="203"/>
        <v>9459</v>
      </c>
    </row>
    <row r="1898" spans="1:19" x14ac:dyDescent="0.2">
      <c r="A1898" s="57" t="s">
        <v>243</v>
      </c>
      <c r="B1898" s="57" t="s">
        <v>237</v>
      </c>
      <c r="C1898" s="57" t="s">
        <v>238</v>
      </c>
      <c r="D1898" s="58">
        <v>165.05</v>
      </c>
      <c r="E1898" s="59">
        <v>41072</v>
      </c>
      <c r="F1898" s="58">
        <v>9459</v>
      </c>
      <c r="G1898" s="58">
        <v>3679</v>
      </c>
      <c r="H1898" s="58">
        <v>3850</v>
      </c>
      <c r="I1898" s="58">
        <v>9135</v>
      </c>
      <c r="J1898" s="58">
        <v>0</v>
      </c>
      <c r="K1898" s="1">
        <f t="shared" si="204"/>
        <v>635442.5</v>
      </c>
      <c r="L1898" s="1">
        <f t="shared" si="205"/>
        <v>3850</v>
      </c>
      <c r="M1898" s="1">
        <f>VLOOKUP(B1898,'[1]Срок Годности'!$A$2:$B$4,2,0)</f>
        <v>1000</v>
      </c>
      <c r="N1898" s="60">
        <f t="shared" si="206"/>
        <v>3679</v>
      </c>
      <c r="O1898" s="1" t="str">
        <f t="shared" si="207"/>
        <v>24 2012</v>
      </c>
      <c r="P1898" s="1">
        <f t="shared" si="208"/>
        <v>22</v>
      </c>
      <c r="Q1898" s="1">
        <f t="shared" ca="1" si="209"/>
        <v>4061</v>
      </c>
      <c r="S1898" s="1">
        <f t="shared" si="203"/>
        <v>9135</v>
      </c>
    </row>
    <row r="1899" spans="1:19" x14ac:dyDescent="0.2">
      <c r="A1899" s="57" t="s">
        <v>243</v>
      </c>
      <c r="B1899" s="57" t="s">
        <v>237</v>
      </c>
      <c r="C1899" s="57" t="s">
        <v>238</v>
      </c>
      <c r="D1899" s="58">
        <v>165.05</v>
      </c>
      <c r="E1899" s="59">
        <v>41073</v>
      </c>
      <c r="F1899" s="58">
        <v>9135</v>
      </c>
      <c r="G1899" s="58">
        <v>3845</v>
      </c>
      <c r="H1899" s="58">
        <v>3768</v>
      </c>
      <c r="I1899" s="58">
        <v>9157</v>
      </c>
      <c r="J1899" s="58">
        <v>1</v>
      </c>
      <c r="K1899" s="1">
        <f t="shared" si="204"/>
        <v>621908.4</v>
      </c>
      <c r="L1899" s="1">
        <f t="shared" si="205"/>
        <v>3768</v>
      </c>
      <c r="M1899" s="1">
        <f>VLOOKUP(B1899,'[1]Срок Годности'!$A$2:$B$4,2,0)</f>
        <v>1000</v>
      </c>
      <c r="N1899" s="60">
        <f t="shared" si="206"/>
        <v>3845</v>
      </c>
      <c r="O1899" s="1" t="str">
        <f t="shared" si="207"/>
        <v>24 2012</v>
      </c>
      <c r="P1899" s="1">
        <f t="shared" si="208"/>
        <v>22</v>
      </c>
      <c r="Q1899" s="1">
        <f t="shared" ca="1" si="209"/>
        <v>4060</v>
      </c>
      <c r="S1899" s="1">
        <f t="shared" si="203"/>
        <v>9156</v>
      </c>
    </row>
    <row r="1900" spans="1:19" x14ac:dyDescent="0.2">
      <c r="A1900" s="57" t="s">
        <v>243</v>
      </c>
      <c r="B1900" s="57" t="s">
        <v>237</v>
      </c>
      <c r="C1900" s="57" t="s">
        <v>238</v>
      </c>
      <c r="D1900" s="58">
        <v>165.05</v>
      </c>
      <c r="E1900" s="59">
        <v>41074</v>
      </c>
      <c r="F1900" s="58">
        <v>9157</v>
      </c>
      <c r="G1900" s="58">
        <v>3505</v>
      </c>
      <c r="H1900" s="58">
        <v>3739</v>
      </c>
      <c r="I1900" s="58">
        <v>8916</v>
      </c>
      <c r="J1900" s="58">
        <v>0</v>
      </c>
      <c r="K1900" s="1">
        <f t="shared" si="204"/>
        <v>617121.95000000007</v>
      </c>
      <c r="L1900" s="1">
        <f t="shared" si="205"/>
        <v>3739</v>
      </c>
      <c r="M1900" s="1">
        <f>VLOOKUP(B1900,'[1]Срок Годности'!$A$2:$B$4,2,0)</f>
        <v>1000</v>
      </c>
      <c r="N1900" s="60">
        <f t="shared" si="206"/>
        <v>3505</v>
      </c>
      <c r="O1900" s="1" t="str">
        <f t="shared" si="207"/>
        <v>24 2012</v>
      </c>
      <c r="P1900" s="1">
        <f t="shared" si="208"/>
        <v>22</v>
      </c>
      <c r="Q1900" s="1">
        <f t="shared" ca="1" si="209"/>
        <v>4059</v>
      </c>
      <c r="S1900" s="1">
        <f t="shared" si="203"/>
        <v>8916</v>
      </c>
    </row>
    <row r="1901" spans="1:19" x14ac:dyDescent="0.2">
      <c r="A1901" s="57" t="s">
        <v>243</v>
      </c>
      <c r="B1901" s="57" t="s">
        <v>237</v>
      </c>
      <c r="C1901" s="57" t="s">
        <v>238</v>
      </c>
      <c r="D1901" s="58">
        <v>165.05</v>
      </c>
      <c r="E1901" s="59">
        <v>41075</v>
      </c>
      <c r="F1901" s="58">
        <v>8916</v>
      </c>
      <c r="G1901" s="58">
        <v>3385</v>
      </c>
      <c r="H1901" s="58">
        <v>3846</v>
      </c>
      <c r="I1901" s="58">
        <v>8424</v>
      </c>
      <c r="J1901" s="58">
        <v>2</v>
      </c>
      <c r="K1901" s="1">
        <f t="shared" si="204"/>
        <v>634782.30000000005</v>
      </c>
      <c r="L1901" s="1">
        <f t="shared" si="205"/>
        <v>3846</v>
      </c>
      <c r="M1901" s="1">
        <f>VLOOKUP(B1901,'[1]Срок Годности'!$A$2:$B$4,2,0)</f>
        <v>1000</v>
      </c>
      <c r="N1901" s="60">
        <f t="shared" si="206"/>
        <v>3385</v>
      </c>
      <c r="O1901" s="1" t="str">
        <f t="shared" si="207"/>
        <v>24 2012</v>
      </c>
      <c r="P1901" s="1">
        <f t="shared" si="208"/>
        <v>22</v>
      </c>
      <c r="Q1901" s="1">
        <f t="shared" ca="1" si="209"/>
        <v>4058</v>
      </c>
      <c r="S1901" s="1">
        <f t="shared" si="203"/>
        <v>8422</v>
      </c>
    </row>
    <row r="1902" spans="1:19" x14ac:dyDescent="0.2">
      <c r="A1902" s="57" t="s">
        <v>243</v>
      </c>
      <c r="B1902" s="57" t="s">
        <v>237</v>
      </c>
      <c r="C1902" s="57" t="s">
        <v>238</v>
      </c>
      <c r="D1902" s="58">
        <v>165.05</v>
      </c>
      <c r="E1902" s="59">
        <v>41076</v>
      </c>
      <c r="F1902" s="58">
        <v>8424</v>
      </c>
      <c r="G1902" s="58">
        <v>4232</v>
      </c>
      <c r="H1902" s="58">
        <v>4526</v>
      </c>
      <c r="I1902" s="58">
        <v>8098</v>
      </c>
      <c r="J1902" s="58">
        <v>0</v>
      </c>
      <c r="K1902" s="1">
        <f t="shared" si="204"/>
        <v>747016.3</v>
      </c>
      <c r="L1902" s="1">
        <f t="shared" si="205"/>
        <v>4526</v>
      </c>
      <c r="M1902" s="1">
        <f>VLOOKUP(B1902,'[1]Срок Годности'!$A$2:$B$4,2,0)</f>
        <v>1000</v>
      </c>
      <c r="N1902" s="60">
        <f t="shared" si="206"/>
        <v>4232</v>
      </c>
      <c r="O1902" s="1" t="str">
        <f t="shared" si="207"/>
        <v>24 2012</v>
      </c>
      <c r="P1902" s="1">
        <f t="shared" si="208"/>
        <v>22</v>
      </c>
      <c r="Q1902" s="1">
        <f t="shared" ca="1" si="209"/>
        <v>4057</v>
      </c>
      <c r="S1902" s="1">
        <f t="shared" si="203"/>
        <v>8098</v>
      </c>
    </row>
    <row r="1903" spans="1:19" x14ac:dyDescent="0.2">
      <c r="A1903" s="57" t="s">
        <v>243</v>
      </c>
      <c r="B1903" s="57" t="s">
        <v>237</v>
      </c>
      <c r="C1903" s="57" t="s">
        <v>238</v>
      </c>
      <c r="D1903" s="58">
        <v>165.05</v>
      </c>
      <c r="E1903" s="59">
        <v>41077</v>
      </c>
      <c r="F1903" s="58">
        <v>8098</v>
      </c>
      <c r="G1903" s="58">
        <v>3730</v>
      </c>
      <c r="H1903" s="58">
        <v>4372</v>
      </c>
      <c r="I1903" s="58">
        <v>7482</v>
      </c>
      <c r="J1903" s="58">
        <v>0</v>
      </c>
      <c r="K1903" s="1">
        <f t="shared" si="204"/>
        <v>721598.60000000009</v>
      </c>
      <c r="L1903" s="1">
        <f t="shared" si="205"/>
        <v>4372</v>
      </c>
      <c r="M1903" s="1">
        <f>VLOOKUP(B1903,'[1]Срок Годности'!$A$2:$B$4,2,0)</f>
        <v>1000</v>
      </c>
      <c r="N1903" s="60">
        <f t="shared" si="206"/>
        <v>0</v>
      </c>
      <c r="O1903" s="1" t="str">
        <f t="shared" si="207"/>
        <v>25 2012</v>
      </c>
      <c r="P1903" s="1">
        <f t="shared" si="208"/>
        <v>22</v>
      </c>
      <c r="Q1903" s="1">
        <f t="shared" ca="1" si="209"/>
        <v>4056</v>
      </c>
      <c r="S1903" s="1">
        <f t="shared" si="203"/>
        <v>7482</v>
      </c>
    </row>
    <row r="1904" spans="1:19" x14ac:dyDescent="0.2">
      <c r="A1904" s="57" t="s">
        <v>243</v>
      </c>
      <c r="B1904" s="57" t="s">
        <v>237</v>
      </c>
      <c r="C1904" s="57" t="s">
        <v>238</v>
      </c>
      <c r="D1904" s="58">
        <v>165.05</v>
      </c>
      <c r="E1904" s="59">
        <v>41078</v>
      </c>
      <c r="F1904" s="58">
        <v>7482</v>
      </c>
      <c r="G1904" s="58">
        <v>4973</v>
      </c>
      <c r="H1904" s="58">
        <v>4033</v>
      </c>
      <c r="I1904" s="58">
        <v>8361</v>
      </c>
      <c r="J1904" s="58">
        <v>0</v>
      </c>
      <c r="K1904" s="1">
        <f t="shared" si="204"/>
        <v>665646.65</v>
      </c>
      <c r="L1904" s="1">
        <f t="shared" si="205"/>
        <v>4033</v>
      </c>
      <c r="M1904" s="1">
        <f>VLOOKUP(B1904,'[1]Срок Годности'!$A$2:$B$4,2,0)</f>
        <v>1000</v>
      </c>
      <c r="N1904" s="60">
        <f t="shared" si="206"/>
        <v>4973</v>
      </c>
      <c r="O1904" s="1" t="str">
        <f t="shared" si="207"/>
        <v>25 2012</v>
      </c>
      <c r="P1904" s="1">
        <f t="shared" si="208"/>
        <v>22</v>
      </c>
      <c r="Q1904" s="1">
        <f t="shared" ca="1" si="209"/>
        <v>4055</v>
      </c>
      <c r="S1904" s="1">
        <f t="shared" si="203"/>
        <v>8361</v>
      </c>
    </row>
    <row r="1905" spans="1:19" x14ac:dyDescent="0.2">
      <c r="A1905" s="57" t="s">
        <v>243</v>
      </c>
      <c r="B1905" s="57" t="s">
        <v>237</v>
      </c>
      <c r="C1905" s="57" t="s">
        <v>238</v>
      </c>
      <c r="D1905" s="58">
        <v>165.05</v>
      </c>
      <c r="E1905" s="59">
        <v>41079</v>
      </c>
      <c r="F1905" s="58">
        <v>8361</v>
      </c>
      <c r="G1905" s="58">
        <v>7627</v>
      </c>
      <c r="H1905" s="58">
        <v>4161</v>
      </c>
      <c r="I1905" s="58">
        <v>11758</v>
      </c>
      <c r="J1905" s="58">
        <v>0</v>
      </c>
      <c r="K1905" s="1">
        <f t="shared" si="204"/>
        <v>686773.05</v>
      </c>
      <c r="L1905" s="1">
        <f t="shared" si="205"/>
        <v>4161</v>
      </c>
      <c r="M1905" s="1">
        <f>VLOOKUP(B1905,'[1]Срок Годности'!$A$2:$B$4,2,0)</f>
        <v>1000</v>
      </c>
      <c r="N1905" s="60">
        <f t="shared" si="206"/>
        <v>7627</v>
      </c>
      <c r="O1905" s="1" t="str">
        <f t="shared" si="207"/>
        <v>25 2012</v>
      </c>
      <c r="P1905" s="1">
        <f t="shared" si="208"/>
        <v>22</v>
      </c>
      <c r="Q1905" s="1">
        <f t="shared" ca="1" si="209"/>
        <v>4054</v>
      </c>
      <c r="S1905" s="1">
        <f t="shared" si="203"/>
        <v>11758</v>
      </c>
    </row>
    <row r="1906" spans="1:19" x14ac:dyDescent="0.2">
      <c r="A1906" s="57" t="s">
        <v>243</v>
      </c>
      <c r="B1906" s="57" t="s">
        <v>237</v>
      </c>
      <c r="C1906" s="57" t="s">
        <v>238</v>
      </c>
      <c r="D1906" s="58">
        <v>165.05</v>
      </c>
      <c r="E1906" s="59">
        <v>41080</v>
      </c>
      <c r="F1906" s="58">
        <v>11758</v>
      </c>
      <c r="G1906" s="58">
        <v>5671</v>
      </c>
      <c r="H1906" s="58">
        <v>4206</v>
      </c>
      <c r="I1906" s="58">
        <v>13180</v>
      </c>
      <c r="J1906" s="58">
        <v>0</v>
      </c>
      <c r="K1906" s="1">
        <f t="shared" si="204"/>
        <v>694200.3</v>
      </c>
      <c r="L1906" s="1">
        <f t="shared" si="205"/>
        <v>4206</v>
      </c>
      <c r="M1906" s="1">
        <f>VLOOKUP(B1906,'[1]Срок Годности'!$A$2:$B$4,2,0)</f>
        <v>1000</v>
      </c>
      <c r="N1906" s="60">
        <f t="shared" si="206"/>
        <v>5671</v>
      </c>
      <c r="O1906" s="1" t="str">
        <f t="shared" si="207"/>
        <v>25 2012</v>
      </c>
      <c r="P1906" s="1">
        <f t="shared" si="208"/>
        <v>22</v>
      </c>
      <c r="Q1906" s="1">
        <f t="shared" ca="1" si="209"/>
        <v>4053</v>
      </c>
      <c r="S1906" s="1">
        <f t="shared" si="203"/>
        <v>13180</v>
      </c>
    </row>
    <row r="1907" spans="1:19" x14ac:dyDescent="0.2">
      <c r="A1907" s="57" t="s">
        <v>243</v>
      </c>
      <c r="B1907" s="57" t="s">
        <v>237</v>
      </c>
      <c r="C1907" s="57" t="s">
        <v>238</v>
      </c>
      <c r="D1907" s="58">
        <v>165.05</v>
      </c>
      <c r="E1907" s="59">
        <v>41081</v>
      </c>
      <c r="F1907" s="58">
        <v>13180</v>
      </c>
      <c r="G1907" s="58">
        <v>5211</v>
      </c>
      <c r="H1907" s="58">
        <v>4431</v>
      </c>
      <c r="I1907" s="58">
        <v>13938</v>
      </c>
      <c r="J1907" s="58">
        <v>0</v>
      </c>
      <c r="K1907" s="1">
        <f t="shared" si="204"/>
        <v>731336.55</v>
      </c>
      <c r="L1907" s="1">
        <f t="shared" si="205"/>
        <v>4431</v>
      </c>
      <c r="M1907" s="1">
        <f>VLOOKUP(B1907,'[1]Срок Годности'!$A$2:$B$4,2,0)</f>
        <v>1000</v>
      </c>
      <c r="N1907" s="60">
        <f t="shared" si="206"/>
        <v>5211</v>
      </c>
      <c r="O1907" s="1" t="str">
        <f t="shared" si="207"/>
        <v>25 2012</v>
      </c>
      <c r="P1907" s="1">
        <f t="shared" si="208"/>
        <v>22</v>
      </c>
      <c r="Q1907" s="1">
        <f t="shared" ca="1" si="209"/>
        <v>4052</v>
      </c>
      <c r="S1907" s="1">
        <f t="shared" si="203"/>
        <v>13938</v>
      </c>
    </row>
    <row r="1908" spans="1:19" x14ac:dyDescent="0.2">
      <c r="A1908" s="57" t="s">
        <v>243</v>
      </c>
      <c r="B1908" s="57" t="s">
        <v>237</v>
      </c>
      <c r="C1908" s="57" t="s">
        <v>238</v>
      </c>
      <c r="D1908" s="58">
        <v>165.05</v>
      </c>
      <c r="E1908" s="59">
        <v>41082</v>
      </c>
      <c r="F1908" s="58">
        <v>13938</v>
      </c>
      <c r="G1908" s="58">
        <v>4768</v>
      </c>
      <c r="H1908" s="58">
        <v>4995</v>
      </c>
      <c r="I1908" s="58">
        <v>13696</v>
      </c>
      <c r="J1908" s="58">
        <v>0</v>
      </c>
      <c r="K1908" s="1">
        <f t="shared" si="204"/>
        <v>824424.75</v>
      </c>
      <c r="L1908" s="1">
        <f t="shared" si="205"/>
        <v>4995</v>
      </c>
      <c r="M1908" s="1">
        <f>VLOOKUP(B1908,'[1]Срок Годности'!$A$2:$B$4,2,0)</f>
        <v>1000</v>
      </c>
      <c r="N1908" s="60">
        <f t="shared" si="206"/>
        <v>4768</v>
      </c>
      <c r="O1908" s="1" t="str">
        <f t="shared" si="207"/>
        <v>25 2012</v>
      </c>
      <c r="P1908" s="1">
        <f t="shared" si="208"/>
        <v>22</v>
      </c>
      <c r="Q1908" s="1">
        <f t="shared" ca="1" si="209"/>
        <v>4051</v>
      </c>
      <c r="S1908" s="1">
        <f t="shared" si="203"/>
        <v>13696</v>
      </c>
    </row>
    <row r="1909" spans="1:19" x14ac:dyDescent="0.2">
      <c r="A1909" s="57" t="s">
        <v>243</v>
      </c>
      <c r="B1909" s="57" t="s">
        <v>237</v>
      </c>
      <c r="C1909" s="57" t="s">
        <v>238</v>
      </c>
      <c r="D1909" s="58">
        <v>165.05</v>
      </c>
      <c r="E1909" s="59">
        <v>41083</v>
      </c>
      <c r="F1909" s="58">
        <v>13696</v>
      </c>
      <c r="G1909" s="58">
        <v>5581</v>
      </c>
      <c r="H1909" s="58">
        <v>5317</v>
      </c>
      <c r="I1909" s="58">
        <v>13943</v>
      </c>
      <c r="J1909" s="58">
        <v>1</v>
      </c>
      <c r="K1909" s="1">
        <f t="shared" si="204"/>
        <v>877570.85000000009</v>
      </c>
      <c r="L1909" s="1">
        <f t="shared" si="205"/>
        <v>5317</v>
      </c>
      <c r="M1909" s="1">
        <f>VLOOKUP(B1909,'[1]Срок Годности'!$A$2:$B$4,2,0)</f>
        <v>1000</v>
      </c>
      <c r="N1909" s="60">
        <f t="shared" si="206"/>
        <v>5581</v>
      </c>
      <c r="O1909" s="1" t="str">
        <f t="shared" si="207"/>
        <v>25 2012</v>
      </c>
      <c r="P1909" s="1">
        <f t="shared" si="208"/>
        <v>22</v>
      </c>
      <c r="Q1909" s="1">
        <f t="shared" ca="1" si="209"/>
        <v>4050</v>
      </c>
      <c r="S1909" s="1">
        <f t="shared" si="203"/>
        <v>13942</v>
      </c>
    </row>
    <row r="1910" spans="1:19" x14ac:dyDescent="0.2">
      <c r="A1910" s="57" t="s">
        <v>243</v>
      </c>
      <c r="B1910" s="57" t="s">
        <v>237</v>
      </c>
      <c r="C1910" s="57" t="s">
        <v>238</v>
      </c>
      <c r="D1910" s="58">
        <v>165.05</v>
      </c>
      <c r="E1910" s="59">
        <v>41084</v>
      </c>
      <c r="F1910" s="58">
        <v>13943</v>
      </c>
      <c r="G1910" s="58">
        <v>5038</v>
      </c>
      <c r="H1910" s="58">
        <v>5152</v>
      </c>
      <c r="I1910" s="58">
        <v>13808</v>
      </c>
      <c r="J1910" s="58">
        <v>0</v>
      </c>
      <c r="K1910" s="1">
        <f t="shared" si="204"/>
        <v>850337.60000000009</v>
      </c>
      <c r="L1910" s="1">
        <f t="shared" si="205"/>
        <v>5152</v>
      </c>
      <c r="M1910" s="1">
        <f>VLOOKUP(B1910,'[1]Срок Годности'!$A$2:$B$4,2,0)</f>
        <v>1000</v>
      </c>
      <c r="N1910" s="60">
        <f t="shared" si="206"/>
        <v>0</v>
      </c>
      <c r="O1910" s="1" t="str">
        <f t="shared" si="207"/>
        <v>26 2012</v>
      </c>
      <c r="P1910" s="1">
        <f t="shared" si="208"/>
        <v>22</v>
      </c>
      <c r="Q1910" s="1">
        <f t="shared" ca="1" si="209"/>
        <v>4049</v>
      </c>
      <c r="S1910" s="1">
        <f t="shared" si="203"/>
        <v>13808</v>
      </c>
    </row>
    <row r="1911" spans="1:19" x14ac:dyDescent="0.2">
      <c r="A1911" s="57" t="s">
        <v>243</v>
      </c>
      <c r="B1911" s="57" t="s">
        <v>237</v>
      </c>
      <c r="C1911" s="57" t="s">
        <v>238</v>
      </c>
      <c r="D1911" s="58">
        <v>165.05</v>
      </c>
      <c r="E1911" s="59">
        <v>41085</v>
      </c>
      <c r="F1911" s="58">
        <v>13808</v>
      </c>
      <c r="G1911" s="58">
        <v>9522</v>
      </c>
      <c r="H1911" s="58">
        <v>5065</v>
      </c>
      <c r="I1911" s="58">
        <v>18133</v>
      </c>
      <c r="J1911" s="58">
        <v>0</v>
      </c>
      <c r="K1911" s="1">
        <f t="shared" si="204"/>
        <v>835978.25</v>
      </c>
      <c r="L1911" s="1">
        <f t="shared" si="205"/>
        <v>5065</v>
      </c>
      <c r="M1911" s="1">
        <f>VLOOKUP(B1911,'[1]Срок Годности'!$A$2:$B$4,2,0)</f>
        <v>1000</v>
      </c>
      <c r="N1911" s="60">
        <f t="shared" si="206"/>
        <v>9522</v>
      </c>
      <c r="O1911" s="1" t="str">
        <f t="shared" si="207"/>
        <v>26 2012</v>
      </c>
      <c r="P1911" s="1">
        <f t="shared" si="208"/>
        <v>22</v>
      </c>
      <c r="Q1911" s="1">
        <f t="shared" ca="1" si="209"/>
        <v>4048</v>
      </c>
      <c r="S1911" s="1">
        <f t="shared" si="203"/>
        <v>18133</v>
      </c>
    </row>
    <row r="1912" spans="1:19" x14ac:dyDescent="0.2">
      <c r="A1912" s="57" t="s">
        <v>243</v>
      </c>
      <c r="B1912" s="57" t="s">
        <v>237</v>
      </c>
      <c r="C1912" s="57" t="s">
        <v>238</v>
      </c>
      <c r="D1912" s="58">
        <v>165.05</v>
      </c>
      <c r="E1912" s="59">
        <v>41086</v>
      </c>
      <c r="F1912" s="58">
        <v>18133</v>
      </c>
      <c r="G1912" s="58">
        <v>7631</v>
      </c>
      <c r="H1912" s="58">
        <v>5187</v>
      </c>
      <c r="I1912" s="58">
        <v>20516</v>
      </c>
      <c r="J1912" s="58">
        <v>0</v>
      </c>
      <c r="K1912" s="1">
        <f t="shared" si="204"/>
        <v>856114.35000000009</v>
      </c>
      <c r="L1912" s="1">
        <f t="shared" si="205"/>
        <v>5187</v>
      </c>
      <c r="M1912" s="1">
        <f>VLOOKUP(B1912,'[1]Срок Годности'!$A$2:$B$4,2,0)</f>
        <v>1000</v>
      </c>
      <c r="N1912" s="60">
        <f t="shared" si="206"/>
        <v>7631</v>
      </c>
      <c r="O1912" s="1" t="str">
        <f t="shared" si="207"/>
        <v>26 2012</v>
      </c>
      <c r="P1912" s="1">
        <f t="shared" si="208"/>
        <v>22</v>
      </c>
      <c r="Q1912" s="1">
        <f t="shared" ca="1" si="209"/>
        <v>4047</v>
      </c>
      <c r="S1912" s="1">
        <f t="shared" si="203"/>
        <v>20516</v>
      </c>
    </row>
    <row r="1913" spans="1:19" x14ac:dyDescent="0.2">
      <c r="A1913" s="57" t="s">
        <v>243</v>
      </c>
      <c r="B1913" s="57" t="s">
        <v>237</v>
      </c>
      <c r="C1913" s="57" t="s">
        <v>238</v>
      </c>
      <c r="D1913" s="58">
        <v>165.05</v>
      </c>
      <c r="E1913" s="59">
        <v>41087</v>
      </c>
      <c r="F1913" s="58">
        <v>20516</v>
      </c>
      <c r="G1913" s="58">
        <v>4027</v>
      </c>
      <c r="H1913" s="58">
        <v>5237</v>
      </c>
      <c r="I1913" s="58">
        <v>19253</v>
      </c>
      <c r="J1913" s="58">
        <v>0</v>
      </c>
      <c r="K1913" s="1">
        <f t="shared" si="204"/>
        <v>864366.85000000009</v>
      </c>
      <c r="L1913" s="1">
        <f t="shared" si="205"/>
        <v>5237</v>
      </c>
      <c r="M1913" s="1">
        <f>VLOOKUP(B1913,'[1]Срок Годности'!$A$2:$B$4,2,0)</f>
        <v>1000</v>
      </c>
      <c r="N1913" s="60">
        <f t="shared" si="206"/>
        <v>4027</v>
      </c>
      <c r="O1913" s="1" t="str">
        <f t="shared" si="207"/>
        <v>26 2012</v>
      </c>
      <c r="P1913" s="1">
        <f t="shared" si="208"/>
        <v>22</v>
      </c>
      <c r="Q1913" s="1">
        <f t="shared" ca="1" si="209"/>
        <v>4046</v>
      </c>
      <c r="S1913" s="1">
        <f t="shared" si="203"/>
        <v>19253</v>
      </c>
    </row>
    <row r="1914" spans="1:19" x14ac:dyDescent="0.2">
      <c r="A1914" s="57" t="s">
        <v>243</v>
      </c>
      <c r="B1914" s="57" t="s">
        <v>237</v>
      </c>
      <c r="C1914" s="57" t="s">
        <v>238</v>
      </c>
      <c r="D1914" s="58">
        <v>165.05</v>
      </c>
      <c r="E1914" s="59">
        <v>41088</v>
      </c>
      <c r="F1914" s="58">
        <v>19253</v>
      </c>
      <c r="G1914" s="58">
        <v>813</v>
      </c>
      <c r="H1914" s="58">
        <v>6182</v>
      </c>
      <c r="I1914" s="58">
        <v>13860</v>
      </c>
      <c r="J1914" s="58">
        <v>0</v>
      </c>
      <c r="K1914" s="1">
        <f t="shared" si="204"/>
        <v>1020339.1000000001</v>
      </c>
      <c r="L1914" s="1">
        <f t="shared" si="205"/>
        <v>6182</v>
      </c>
      <c r="M1914" s="1">
        <f>VLOOKUP(B1914,'[1]Срок Годности'!$A$2:$B$4,2,0)</f>
        <v>1000</v>
      </c>
      <c r="N1914" s="60">
        <f t="shared" si="206"/>
        <v>813</v>
      </c>
      <c r="O1914" s="1" t="str">
        <f t="shared" si="207"/>
        <v>26 2012</v>
      </c>
      <c r="P1914" s="1">
        <f t="shared" si="208"/>
        <v>22</v>
      </c>
      <c r="Q1914" s="1">
        <f t="shared" ca="1" si="209"/>
        <v>4045</v>
      </c>
      <c r="S1914" s="1">
        <f t="shared" si="203"/>
        <v>13860</v>
      </c>
    </row>
    <row r="1915" spans="1:19" x14ac:dyDescent="0.2">
      <c r="A1915" s="57" t="s">
        <v>243</v>
      </c>
      <c r="B1915" s="57" t="s">
        <v>237</v>
      </c>
      <c r="C1915" s="57" t="s">
        <v>238</v>
      </c>
      <c r="D1915" s="58">
        <v>165.05</v>
      </c>
      <c r="E1915" s="59">
        <v>41089</v>
      </c>
      <c r="F1915" s="58">
        <v>13860</v>
      </c>
      <c r="G1915" s="58">
        <v>721</v>
      </c>
      <c r="H1915" s="58">
        <v>5287</v>
      </c>
      <c r="I1915" s="58">
        <v>9342</v>
      </c>
      <c r="J1915" s="58">
        <v>0</v>
      </c>
      <c r="K1915" s="1">
        <f t="shared" si="204"/>
        <v>872619.35000000009</v>
      </c>
      <c r="L1915" s="1">
        <f t="shared" si="205"/>
        <v>5287</v>
      </c>
      <c r="M1915" s="1">
        <f>VLOOKUP(B1915,'[1]Срок Годности'!$A$2:$B$4,2,0)</f>
        <v>1000</v>
      </c>
      <c r="N1915" s="60">
        <f t="shared" si="206"/>
        <v>721</v>
      </c>
      <c r="O1915" s="1" t="str">
        <f t="shared" si="207"/>
        <v>26 2012</v>
      </c>
      <c r="P1915" s="1">
        <f t="shared" si="208"/>
        <v>22</v>
      </c>
      <c r="Q1915" s="1">
        <f t="shared" ca="1" si="209"/>
        <v>4044</v>
      </c>
      <c r="S1915" s="1">
        <f t="shared" si="203"/>
        <v>9342</v>
      </c>
    </row>
    <row r="1916" spans="1:19" x14ac:dyDescent="0.2">
      <c r="A1916" s="57" t="s">
        <v>243</v>
      </c>
      <c r="B1916" s="57" t="s">
        <v>237</v>
      </c>
      <c r="C1916" s="57" t="s">
        <v>238</v>
      </c>
      <c r="D1916" s="58">
        <v>165.05</v>
      </c>
      <c r="E1916" s="59">
        <v>41090</v>
      </c>
      <c r="F1916" s="58">
        <v>9342</v>
      </c>
      <c r="G1916" s="58">
        <v>659</v>
      </c>
      <c r="H1916" s="58">
        <v>3693</v>
      </c>
      <c r="I1916" s="58">
        <v>6465</v>
      </c>
      <c r="J1916" s="58">
        <v>0</v>
      </c>
      <c r="K1916" s="1">
        <f t="shared" si="204"/>
        <v>609529.65</v>
      </c>
      <c r="L1916" s="1">
        <f t="shared" si="205"/>
        <v>3693</v>
      </c>
      <c r="M1916" s="1">
        <f>VLOOKUP(B1916,'[1]Срок Годности'!$A$2:$B$4,2,0)</f>
        <v>1000</v>
      </c>
      <c r="N1916" s="60">
        <f t="shared" si="206"/>
        <v>659</v>
      </c>
      <c r="O1916" s="1" t="str">
        <f t="shared" si="207"/>
        <v>26 2012</v>
      </c>
      <c r="P1916" s="1">
        <f t="shared" si="208"/>
        <v>22</v>
      </c>
      <c r="Q1916" s="1">
        <f t="shared" ca="1" si="209"/>
        <v>4043</v>
      </c>
      <c r="S1916" s="1">
        <f t="shared" si="203"/>
        <v>6465</v>
      </c>
    </row>
    <row r="1917" spans="1:19" x14ac:dyDescent="0.2">
      <c r="A1917" s="57" t="s">
        <v>243</v>
      </c>
      <c r="B1917" s="57" t="s">
        <v>237</v>
      </c>
      <c r="C1917" s="57" t="s">
        <v>238</v>
      </c>
      <c r="D1917" s="58">
        <v>165.05</v>
      </c>
      <c r="E1917" s="59">
        <v>41091</v>
      </c>
      <c r="F1917" s="58">
        <v>6465</v>
      </c>
      <c r="G1917" s="58">
        <v>822</v>
      </c>
      <c r="H1917" s="58">
        <v>2097</v>
      </c>
      <c r="I1917" s="58">
        <v>5315</v>
      </c>
      <c r="J1917" s="58">
        <v>0</v>
      </c>
      <c r="K1917" s="1">
        <f t="shared" si="204"/>
        <v>346109.85000000003</v>
      </c>
      <c r="L1917" s="1">
        <f t="shared" si="205"/>
        <v>2097</v>
      </c>
      <c r="M1917" s="1">
        <f>VLOOKUP(B1917,'[1]Срок Годности'!$A$2:$B$4,2,0)</f>
        <v>1000</v>
      </c>
      <c r="N1917" s="60">
        <f t="shared" si="206"/>
        <v>0</v>
      </c>
      <c r="O1917" s="1" t="str">
        <f t="shared" si="207"/>
        <v>27 2012</v>
      </c>
      <c r="P1917" s="1">
        <f t="shared" si="208"/>
        <v>22</v>
      </c>
      <c r="Q1917" s="1">
        <f t="shared" ca="1" si="209"/>
        <v>4042</v>
      </c>
      <c r="S1917" s="1">
        <f t="shared" si="203"/>
        <v>5315</v>
      </c>
    </row>
    <row r="1918" spans="1:19" x14ac:dyDescent="0.2">
      <c r="A1918" s="57" t="s">
        <v>243</v>
      </c>
      <c r="B1918" s="57" t="s">
        <v>237</v>
      </c>
      <c r="C1918" s="57" t="s">
        <v>238</v>
      </c>
      <c r="D1918" s="58">
        <v>165.05</v>
      </c>
      <c r="E1918" s="59">
        <v>41092</v>
      </c>
      <c r="F1918" s="58">
        <v>5315</v>
      </c>
      <c r="G1918" s="58">
        <v>417</v>
      </c>
      <c r="H1918" s="58">
        <v>1404</v>
      </c>
      <c r="I1918" s="58">
        <v>4324</v>
      </c>
      <c r="J1918" s="58">
        <v>1</v>
      </c>
      <c r="K1918" s="1">
        <f t="shared" si="204"/>
        <v>231730.2</v>
      </c>
      <c r="L1918" s="1">
        <f t="shared" si="205"/>
        <v>1404</v>
      </c>
      <c r="M1918" s="1">
        <f>VLOOKUP(B1918,'[1]Срок Годности'!$A$2:$B$4,2,0)</f>
        <v>1000</v>
      </c>
      <c r="N1918" s="60">
        <f t="shared" si="206"/>
        <v>417</v>
      </c>
      <c r="O1918" s="1" t="str">
        <f t="shared" si="207"/>
        <v>27 2012</v>
      </c>
      <c r="P1918" s="1">
        <f t="shared" si="208"/>
        <v>22</v>
      </c>
      <c r="Q1918" s="1">
        <f t="shared" ca="1" si="209"/>
        <v>4041</v>
      </c>
      <c r="S1918" s="1">
        <f t="shared" si="203"/>
        <v>4323</v>
      </c>
    </row>
    <row r="1919" spans="1:19" x14ac:dyDescent="0.2">
      <c r="A1919" s="57" t="s">
        <v>243</v>
      </c>
      <c r="B1919" s="57" t="s">
        <v>237</v>
      </c>
      <c r="C1919" s="57" t="s">
        <v>238</v>
      </c>
      <c r="D1919" s="58">
        <v>165.05</v>
      </c>
      <c r="E1919" s="59">
        <v>41093</v>
      </c>
      <c r="F1919" s="58">
        <v>4324</v>
      </c>
      <c r="G1919" s="58">
        <v>842</v>
      </c>
      <c r="H1919" s="58">
        <v>1221</v>
      </c>
      <c r="I1919" s="58">
        <v>3939</v>
      </c>
      <c r="J1919" s="58">
        <v>2</v>
      </c>
      <c r="K1919" s="1">
        <f t="shared" si="204"/>
        <v>201526.05000000002</v>
      </c>
      <c r="L1919" s="1">
        <f t="shared" si="205"/>
        <v>1221</v>
      </c>
      <c r="M1919" s="1">
        <f>VLOOKUP(B1919,'[1]Срок Годности'!$A$2:$B$4,2,0)</f>
        <v>1000</v>
      </c>
      <c r="N1919" s="60">
        <f t="shared" si="206"/>
        <v>842</v>
      </c>
      <c r="O1919" s="1" t="str">
        <f t="shared" si="207"/>
        <v>27 2012</v>
      </c>
      <c r="P1919" s="1">
        <f t="shared" si="208"/>
        <v>22</v>
      </c>
      <c r="Q1919" s="1">
        <f t="shared" ca="1" si="209"/>
        <v>4040</v>
      </c>
      <c r="S1919" s="1">
        <f t="shared" si="203"/>
        <v>3937</v>
      </c>
    </row>
    <row r="1920" spans="1:19" x14ac:dyDescent="0.2">
      <c r="A1920" s="57" t="s">
        <v>243</v>
      </c>
      <c r="B1920" s="57" t="s">
        <v>237</v>
      </c>
      <c r="C1920" s="57" t="s">
        <v>238</v>
      </c>
      <c r="D1920" s="58">
        <v>165.05</v>
      </c>
      <c r="E1920" s="59">
        <v>41094</v>
      </c>
      <c r="F1920" s="58">
        <v>3939</v>
      </c>
      <c r="G1920" s="58">
        <v>8450</v>
      </c>
      <c r="H1920" s="58">
        <v>1881</v>
      </c>
      <c r="I1920" s="58">
        <v>10427</v>
      </c>
      <c r="J1920" s="58">
        <v>0</v>
      </c>
      <c r="K1920" s="1">
        <f t="shared" si="204"/>
        <v>310459.05000000005</v>
      </c>
      <c r="L1920" s="1">
        <f t="shared" si="205"/>
        <v>1881</v>
      </c>
      <c r="M1920" s="1">
        <f>VLOOKUP(B1920,'[1]Срок Годности'!$A$2:$B$4,2,0)</f>
        <v>1000</v>
      </c>
      <c r="N1920" s="60">
        <f t="shared" si="206"/>
        <v>8450</v>
      </c>
      <c r="O1920" s="1" t="str">
        <f t="shared" si="207"/>
        <v>27 2012</v>
      </c>
      <c r="P1920" s="1">
        <f t="shared" si="208"/>
        <v>22</v>
      </c>
      <c r="Q1920" s="1">
        <f t="shared" ca="1" si="209"/>
        <v>4039</v>
      </c>
      <c r="S1920" s="1">
        <f t="shared" si="203"/>
        <v>10427</v>
      </c>
    </row>
    <row r="1921" spans="1:19" x14ac:dyDescent="0.2">
      <c r="A1921" s="57" t="s">
        <v>243</v>
      </c>
      <c r="B1921" s="57" t="s">
        <v>237</v>
      </c>
      <c r="C1921" s="57" t="s">
        <v>238</v>
      </c>
      <c r="D1921" s="58">
        <v>165.05</v>
      </c>
      <c r="E1921" s="59">
        <v>41095</v>
      </c>
      <c r="F1921" s="58">
        <v>10427</v>
      </c>
      <c r="G1921" s="58">
        <v>16221</v>
      </c>
      <c r="H1921" s="58">
        <v>4259</v>
      </c>
      <c r="I1921" s="58">
        <v>22155</v>
      </c>
      <c r="J1921" s="58">
        <v>0</v>
      </c>
      <c r="K1921" s="1">
        <f t="shared" si="204"/>
        <v>702947.95000000007</v>
      </c>
      <c r="L1921" s="1">
        <f t="shared" si="205"/>
        <v>4259</v>
      </c>
      <c r="M1921" s="1">
        <f>VLOOKUP(B1921,'[1]Срок Годности'!$A$2:$B$4,2,0)</f>
        <v>1000</v>
      </c>
      <c r="N1921" s="60">
        <f t="shared" si="206"/>
        <v>16221</v>
      </c>
      <c r="O1921" s="1" t="str">
        <f t="shared" si="207"/>
        <v>27 2012</v>
      </c>
      <c r="P1921" s="1">
        <f t="shared" si="208"/>
        <v>22</v>
      </c>
      <c r="Q1921" s="1">
        <f t="shared" ca="1" si="209"/>
        <v>4038</v>
      </c>
      <c r="S1921" s="1">
        <f t="shared" si="203"/>
        <v>22155</v>
      </c>
    </row>
    <row r="1922" spans="1:19" x14ac:dyDescent="0.2">
      <c r="A1922" s="57" t="s">
        <v>243</v>
      </c>
      <c r="B1922" s="57" t="s">
        <v>237</v>
      </c>
      <c r="C1922" s="57" t="s">
        <v>238</v>
      </c>
      <c r="D1922" s="58">
        <v>165.05</v>
      </c>
      <c r="E1922" s="59">
        <v>41096</v>
      </c>
      <c r="F1922" s="58">
        <v>22155</v>
      </c>
      <c r="G1922" s="58">
        <v>1328</v>
      </c>
      <c r="H1922" s="58">
        <v>5056</v>
      </c>
      <c r="I1922" s="58">
        <v>18263</v>
      </c>
      <c r="J1922" s="58">
        <v>0</v>
      </c>
      <c r="K1922" s="1">
        <f t="shared" si="204"/>
        <v>834492.8</v>
      </c>
      <c r="L1922" s="1">
        <f t="shared" si="205"/>
        <v>5056</v>
      </c>
      <c r="M1922" s="1">
        <f>VLOOKUP(B1922,'[1]Срок Годности'!$A$2:$B$4,2,0)</f>
        <v>1000</v>
      </c>
      <c r="N1922" s="60">
        <f t="shared" si="206"/>
        <v>1328</v>
      </c>
      <c r="O1922" s="1" t="str">
        <f t="shared" si="207"/>
        <v>27 2012</v>
      </c>
      <c r="P1922" s="1">
        <f t="shared" si="208"/>
        <v>22</v>
      </c>
      <c r="Q1922" s="1">
        <f t="shared" ca="1" si="209"/>
        <v>4037</v>
      </c>
      <c r="S1922" s="1">
        <f t="shared" si="203"/>
        <v>18263</v>
      </c>
    </row>
    <row r="1923" spans="1:19" x14ac:dyDescent="0.2">
      <c r="A1923" s="57" t="s">
        <v>243</v>
      </c>
      <c r="B1923" s="57" t="s">
        <v>237</v>
      </c>
      <c r="C1923" s="57" t="s">
        <v>238</v>
      </c>
      <c r="D1923" s="58">
        <v>165.05</v>
      </c>
      <c r="E1923" s="59">
        <v>41097</v>
      </c>
      <c r="F1923" s="58">
        <v>18263</v>
      </c>
      <c r="G1923" s="58">
        <v>4822</v>
      </c>
      <c r="H1923" s="58">
        <v>5284</v>
      </c>
      <c r="I1923" s="58">
        <v>17641</v>
      </c>
      <c r="J1923" s="58">
        <v>0</v>
      </c>
      <c r="K1923" s="1">
        <f t="shared" si="204"/>
        <v>872124.20000000007</v>
      </c>
      <c r="L1923" s="1">
        <f t="shared" si="205"/>
        <v>5284</v>
      </c>
      <c r="M1923" s="1">
        <f>VLOOKUP(B1923,'[1]Срок Годности'!$A$2:$B$4,2,0)</f>
        <v>1000</v>
      </c>
      <c r="N1923" s="60">
        <f t="shared" si="206"/>
        <v>4822</v>
      </c>
      <c r="O1923" s="1" t="str">
        <f t="shared" si="207"/>
        <v>27 2012</v>
      </c>
      <c r="P1923" s="1">
        <f t="shared" si="208"/>
        <v>22</v>
      </c>
      <c r="Q1923" s="1">
        <f t="shared" ca="1" si="209"/>
        <v>4036</v>
      </c>
      <c r="S1923" s="1">
        <f t="shared" si="203"/>
        <v>17641</v>
      </c>
    </row>
    <row r="1924" spans="1:19" x14ac:dyDescent="0.2">
      <c r="A1924" s="57" t="s">
        <v>243</v>
      </c>
      <c r="B1924" s="57" t="s">
        <v>237</v>
      </c>
      <c r="C1924" s="57" t="s">
        <v>238</v>
      </c>
      <c r="D1924" s="58">
        <v>165.05</v>
      </c>
      <c r="E1924" s="59">
        <v>41098</v>
      </c>
      <c r="F1924" s="58">
        <v>17641</v>
      </c>
      <c r="G1924" s="58">
        <v>4732</v>
      </c>
      <c r="H1924" s="58">
        <v>5890</v>
      </c>
      <c r="I1924" s="58">
        <v>16262</v>
      </c>
      <c r="J1924" s="58">
        <v>0</v>
      </c>
      <c r="K1924" s="1">
        <f t="shared" si="204"/>
        <v>972144.50000000012</v>
      </c>
      <c r="L1924" s="1">
        <f t="shared" si="205"/>
        <v>5890</v>
      </c>
      <c r="M1924" s="1">
        <f>VLOOKUP(B1924,'[1]Срок Годности'!$A$2:$B$4,2,0)</f>
        <v>1000</v>
      </c>
      <c r="N1924" s="60">
        <f t="shared" si="206"/>
        <v>0</v>
      </c>
      <c r="O1924" s="1" t="str">
        <f t="shared" si="207"/>
        <v>28 2012</v>
      </c>
      <c r="P1924" s="1">
        <f t="shared" si="208"/>
        <v>22</v>
      </c>
      <c r="Q1924" s="1">
        <f t="shared" ca="1" si="209"/>
        <v>4035</v>
      </c>
      <c r="S1924" s="1">
        <f t="shared" si="203"/>
        <v>16262</v>
      </c>
    </row>
    <row r="1925" spans="1:19" x14ac:dyDescent="0.2">
      <c r="A1925" s="57" t="s">
        <v>243</v>
      </c>
      <c r="B1925" s="57" t="s">
        <v>237</v>
      </c>
      <c r="C1925" s="57" t="s">
        <v>238</v>
      </c>
      <c r="D1925" s="58">
        <v>165.05</v>
      </c>
      <c r="E1925" s="59">
        <v>41099</v>
      </c>
      <c r="F1925" s="58">
        <v>16262</v>
      </c>
      <c r="G1925" s="58">
        <v>7914</v>
      </c>
      <c r="H1925" s="58">
        <v>5828</v>
      </c>
      <c r="I1925" s="58">
        <v>17910</v>
      </c>
      <c r="J1925" s="58">
        <v>0</v>
      </c>
      <c r="K1925" s="1">
        <f t="shared" si="204"/>
        <v>961911.4</v>
      </c>
      <c r="L1925" s="1">
        <f t="shared" si="205"/>
        <v>5828</v>
      </c>
      <c r="M1925" s="1">
        <f>VLOOKUP(B1925,'[1]Срок Годности'!$A$2:$B$4,2,0)</f>
        <v>1000</v>
      </c>
      <c r="N1925" s="60">
        <f t="shared" si="206"/>
        <v>7914</v>
      </c>
      <c r="O1925" s="1" t="str">
        <f t="shared" si="207"/>
        <v>28 2012</v>
      </c>
      <c r="P1925" s="1">
        <f t="shared" si="208"/>
        <v>22</v>
      </c>
      <c r="Q1925" s="1">
        <f t="shared" ca="1" si="209"/>
        <v>4034</v>
      </c>
      <c r="S1925" s="1">
        <f t="shared" si="203"/>
        <v>17910</v>
      </c>
    </row>
    <row r="1926" spans="1:19" x14ac:dyDescent="0.2">
      <c r="A1926" s="57" t="s">
        <v>243</v>
      </c>
      <c r="B1926" s="57" t="s">
        <v>237</v>
      </c>
      <c r="C1926" s="57" t="s">
        <v>238</v>
      </c>
      <c r="D1926" s="58">
        <v>165.05</v>
      </c>
      <c r="E1926" s="59">
        <v>41100</v>
      </c>
      <c r="F1926" s="58">
        <v>17910</v>
      </c>
      <c r="G1926" s="58">
        <v>10045</v>
      </c>
      <c r="H1926" s="58">
        <v>6229</v>
      </c>
      <c r="I1926" s="58">
        <v>21416</v>
      </c>
      <c r="J1926" s="58">
        <v>0</v>
      </c>
      <c r="K1926" s="1">
        <f t="shared" si="204"/>
        <v>1028096.4500000001</v>
      </c>
      <c r="L1926" s="1">
        <f t="shared" si="205"/>
        <v>6229</v>
      </c>
      <c r="M1926" s="1">
        <f>VLOOKUP(B1926,'[1]Срок Годности'!$A$2:$B$4,2,0)</f>
        <v>1000</v>
      </c>
      <c r="N1926" s="60">
        <f t="shared" si="206"/>
        <v>10045</v>
      </c>
      <c r="O1926" s="1" t="str">
        <f t="shared" si="207"/>
        <v>28 2012</v>
      </c>
      <c r="P1926" s="1">
        <f t="shared" si="208"/>
        <v>22</v>
      </c>
      <c r="Q1926" s="1">
        <f t="shared" ca="1" si="209"/>
        <v>4033</v>
      </c>
      <c r="S1926" s="1">
        <f t="shared" si="203"/>
        <v>21416</v>
      </c>
    </row>
    <row r="1927" spans="1:19" x14ac:dyDescent="0.2">
      <c r="A1927" s="57" t="s">
        <v>243</v>
      </c>
      <c r="B1927" s="57" t="s">
        <v>237</v>
      </c>
      <c r="C1927" s="57" t="s">
        <v>238</v>
      </c>
      <c r="D1927" s="58">
        <v>165.05</v>
      </c>
      <c r="E1927" s="59">
        <v>41101</v>
      </c>
      <c r="F1927" s="58">
        <v>21416</v>
      </c>
      <c r="G1927" s="58">
        <v>7707</v>
      </c>
      <c r="H1927" s="58">
        <v>6042</v>
      </c>
      <c r="I1927" s="58">
        <v>22895</v>
      </c>
      <c r="J1927" s="58">
        <v>0</v>
      </c>
      <c r="K1927" s="1">
        <f t="shared" si="204"/>
        <v>997232.10000000009</v>
      </c>
      <c r="L1927" s="1">
        <f t="shared" si="205"/>
        <v>6042</v>
      </c>
      <c r="M1927" s="1">
        <f>VLOOKUP(B1927,'[1]Срок Годности'!$A$2:$B$4,2,0)</f>
        <v>1000</v>
      </c>
      <c r="N1927" s="60">
        <f t="shared" si="206"/>
        <v>7707</v>
      </c>
      <c r="O1927" s="1" t="str">
        <f t="shared" si="207"/>
        <v>28 2012</v>
      </c>
      <c r="P1927" s="1">
        <f t="shared" si="208"/>
        <v>22</v>
      </c>
      <c r="Q1927" s="1">
        <f t="shared" ca="1" si="209"/>
        <v>4032</v>
      </c>
      <c r="S1927" s="1">
        <f t="shared" ref="S1927:S1990" si="210">I1927-J1927</f>
        <v>22895</v>
      </c>
    </row>
    <row r="1928" spans="1:19" x14ac:dyDescent="0.2">
      <c r="A1928" s="57" t="s">
        <v>243</v>
      </c>
      <c r="B1928" s="57" t="s">
        <v>237</v>
      </c>
      <c r="C1928" s="57" t="s">
        <v>238</v>
      </c>
      <c r="D1928" s="58">
        <v>165.05</v>
      </c>
      <c r="E1928" s="59">
        <v>41102</v>
      </c>
      <c r="F1928" s="58">
        <v>22895</v>
      </c>
      <c r="G1928" s="58">
        <v>8324</v>
      </c>
      <c r="H1928" s="58">
        <v>5426</v>
      </c>
      <c r="I1928" s="58">
        <v>25494</v>
      </c>
      <c r="J1928" s="58">
        <v>0</v>
      </c>
      <c r="K1928" s="1">
        <f t="shared" ref="K1928:K1991" si="211">H1928*D1928</f>
        <v>895561.3</v>
      </c>
      <c r="L1928" s="1">
        <f t="shared" ref="L1928:L1991" si="212">IF(H1928&gt;1000,H1928,"")</f>
        <v>5426</v>
      </c>
      <c r="M1928" s="1">
        <f>VLOOKUP(B1928,'[1]Срок Годности'!$A$2:$B$4,2,0)</f>
        <v>1000</v>
      </c>
      <c r="N1928" s="60">
        <f t="shared" ref="N1928:N1991" si="213">IF(WEEKDAY(E1928) = 1, 0, G1928)</f>
        <v>8324</v>
      </c>
      <c r="O1928" s="1" t="str">
        <f t="shared" ref="O1928:O1991" si="214">WEEKNUM(E1928) &amp; " " &amp; YEAR(E1928)</f>
        <v>28 2012</v>
      </c>
      <c r="P1928" s="1">
        <f t="shared" ref="P1928:P1991" si="215">LEN(C1928)</f>
        <v>22</v>
      </c>
      <c r="Q1928" s="1">
        <f t="shared" ref="Q1928:Q1991" ca="1" si="216">DATEDIF(E1928,NOW(),"D")</f>
        <v>4031</v>
      </c>
      <c r="S1928" s="1">
        <f t="shared" si="210"/>
        <v>25494</v>
      </c>
    </row>
    <row r="1929" spans="1:19" x14ac:dyDescent="0.2">
      <c r="A1929" s="57" t="s">
        <v>243</v>
      </c>
      <c r="B1929" s="57" t="s">
        <v>237</v>
      </c>
      <c r="C1929" s="57" t="s">
        <v>238</v>
      </c>
      <c r="D1929" s="58">
        <v>165.05</v>
      </c>
      <c r="E1929" s="59">
        <v>41103</v>
      </c>
      <c r="F1929" s="58">
        <v>25494</v>
      </c>
      <c r="G1929" s="58">
        <v>7267</v>
      </c>
      <c r="H1929" s="58">
        <v>4489</v>
      </c>
      <c r="I1929" s="58">
        <v>28156</v>
      </c>
      <c r="J1929" s="58">
        <v>0</v>
      </c>
      <c r="K1929" s="1">
        <f t="shared" si="211"/>
        <v>740909.45000000007</v>
      </c>
      <c r="L1929" s="1">
        <f t="shared" si="212"/>
        <v>4489</v>
      </c>
      <c r="M1929" s="1">
        <f>VLOOKUP(B1929,'[1]Срок Годности'!$A$2:$B$4,2,0)</f>
        <v>1000</v>
      </c>
      <c r="N1929" s="60">
        <f t="shared" si="213"/>
        <v>7267</v>
      </c>
      <c r="O1929" s="1" t="str">
        <f t="shared" si="214"/>
        <v>28 2012</v>
      </c>
      <c r="P1929" s="1">
        <f t="shared" si="215"/>
        <v>22</v>
      </c>
      <c r="Q1929" s="1">
        <f t="shared" ca="1" si="216"/>
        <v>4030</v>
      </c>
      <c r="S1929" s="1">
        <f t="shared" si="210"/>
        <v>28156</v>
      </c>
    </row>
    <row r="1930" spans="1:19" x14ac:dyDescent="0.2">
      <c r="A1930" s="57" t="s">
        <v>243</v>
      </c>
      <c r="B1930" s="57" t="s">
        <v>237</v>
      </c>
      <c r="C1930" s="57" t="s">
        <v>238</v>
      </c>
      <c r="D1930" s="58">
        <v>165.05</v>
      </c>
      <c r="E1930" s="59">
        <v>41104</v>
      </c>
      <c r="F1930" s="58">
        <v>28156</v>
      </c>
      <c r="G1930" s="58">
        <v>5139</v>
      </c>
      <c r="H1930" s="58">
        <v>4857</v>
      </c>
      <c r="I1930" s="58">
        <v>28369</v>
      </c>
      <c r="J1930" s="58">
        <v>0</v>
      </c>
      <c r="K1930" s="1">
        <f t="shared" si="211"/>
        <v>801647.85000000009</v>
      </c>
      <c r="L1930" s="1">
        <f t="shared" si="212"/>
        <v>4857</v>
      </c>
      <c r="M1930" s="1">
        <f>VLOOKUP(B1930,'[1]Срок Годности'!$A$2:$B$4,2,0)</f>
        <v>1000</v>
      </c>
      <c r="N1930" s="60">
        <f t="shared" si="213"/>
        <v>5139</v>
      </c>
      <c r="O1930" s="1" t="str">
        <f t="shared" si="214"/>
        <v>28 2012</v>
      </c>
      <c r="P1930" s="1">
        <f t="shared" si="215"/>
        <v>22</v>
      </c>
      <c r="Q1930" s="1">
        <f t="shared" ca="1" si="216"/>
        <v>4029</v>
      </c>
      <c r="S1930" s="1">
        <f t="shared" si="210"/>
        <v>28369</v>
      </c>
    </row>
    <row r="1931" spans="1:19" x14ac:dyDescent="0.2">
      <c r="A1931" s="57" t="s">
        <v>243</v>
      </c>
      <c r="B1931" s="57" t="s">
        <v>237</v>
      </c>
      <c r="C1931" s="57" t="s">
        <v>238</v>
      </c>
      <c r="D1931" s="58">
        <v>165.05</v>
      </c>
      <c r="E1931" s="59">
        <v>41105</v>
      </c>
      <c r="F1931" s="58">
        <v>28369</v>
      </c>
      <c r="G1931" s="58">
        <v>4379</v>
      </c>
      <c r="H1931" s="58">
        <v>4258</v>
      </c>
      <c r="I1931" s="58">
        <v>28459</v>
      </c>
      <c r="J1931" s="58">
        <v>0</v>
      </c>
      <c r="K1931" s="1">
        <f t="shared" si="211"/>
        <v>702782.9</v>
      </c>
      <c r="L1931" s="1">
        <f t="shared" si="212"/>
        <v>4258</v>
      </c>
      <c r="M1931" s="1">
        <f>VLOOKUP(B1931,'[1]Срок Годности'!$A$2:$B$4,2,0)</f>
        <v>1000</v>
      </c>
      <c r="N1931" s="60">
        <f t="shared" si="213"/>
        <v>0</v>
      </c>
      <c r="O1931" s="1" t="str">
        <f t="shared" si="214"/>
        <v>29 2012</v>
      </c>
      <c r="P1931" s="1">
        <f t="shared" si="215"/>
        <v>22</v>
      </c>
      <c r="Q1931" s="1">
        <f t="shared" ca="1" si="216"/>
        <v>4028</v>
      </c>
      <c r="S1931" s="1">
        <f t="shared" si="210"/>
        <v>28459</v>
      </c>
    </row>
    <row r="1932" spans="1:19" x14ac:dyDescent="0.2">
      <c r="A1932" s="57" t="s">
        <v>243</v>
      </c>
      <c r="B1932" s="57" t="s">
        <v>237</v>
      </c>
      <c r="C1932" s="57" t="s">
        <v>238</v>
      </c>
      <c r="D1932" s="58">
        <v>165.05</v>
      </c>
      <c r="E1932" s="59">
        <v>41106</v>
      </c>
      <c r="F1932" s="58">
        <v>28459</v>
      </c>
      <c r="G1932" s="58">
        <v>4240</v>
      </c>
      <c r="H1932" s="58">
        <v>3253</v>
      </c>
      <c r="I1932" s="58">
        <v>29416</v>
      </c>
      <c r="J1932" s="58">
        <v>0</v>
      </c>
      <c r="K1932" s="1">
        <f t="shared" si="211"/>
        <v>536907.65</v>
      </c>
      <c r="L1932" s="1">
        <f t="shared" si="212"/>
        <v>3253</v>
      </c>
      <c r="M1932" s="1">
        <f>VLOOKUP(B1932,'[1]Срок Годности'!$A$2:$B$4,2,0)</f>
        <v>1000</v>
      </c>
      <c r="N1932" s="60">
        <f t="shared" si="213"/>
        <v>4240</v>
      </c>
      <c r="O1932" s="1" t="str">
        <f t="shared" si="214"/>
        <v>29 2012</v>
      </c>
      <c r="P1932" s="1">
        <f t="shared" si="215"/>
        <v>22</v>
      </c>
      <c r="Q1932" s="1">
        <f t="shared" ca="1" si="216"/>
        <v>4027</v>
      </c>
      <c r="S1932" s="1">
        <f t="shared" si="210"/>
        <v>29416</v>
      </c>
    </row>
    <row r="1933" spans="1:19" x14ac:dyDescent="0.2">
      <c r="A1933" s="57" t="s">
        <v>243</v>
      </c>
      <c r="B1933" s="57" t="s">
        <v>237</v>
      </c>
      <c r="C1933" s="57" t="s">
        <v>238</v>
      </c>
      <c r="D1933" s="58">
        <v>165.05</v>
      </c>
      <c r="E1933" s="59">
        <v>41107</v>
      </c>
      <c r="F1933" s="58">
        <v>29416</v>
      </c>
      <c r="G1933" s="58">
        <v>3348</v>
      </c>
      <c r="H1933" s="58">
        <v>2631</v>
      </c>
      <c r="I1933" s="58">
        <v>30090</v>
      </c>
      <c r="J1933" s="58">
        <v>0</v>
      </c>
      <c r="K1933" s="1">
        <f t="shared" si="211"/>
        <v>434246.55000000005</v>
      </c>
      <c r="L1933" s="1">
        <f t="shared" si="212"/>
        <v>2631</v>
      </c>
      <c r="M1933" s="1">
        <f>VLOOKUP(B1933,'[1]Срок Годности'!$A$2:$B$4,2,0)</f>
        <v>1000</v>
      </c>
      <c r="N1933" s="60">
        <f t="shared" si="213"/>
        <v>3348</v>
      </c>
      <c r="O1933" s="1" t="str">
        <f t="shared" si="214"/>
        <v>29 2012</v>
      </c>
      <c r="P1933" s="1">
        <f t="shared" si="215"/>
        <v>22</v>
      </c>
      <c r="Q1933" s="1">
        <f t="shared" ca="1" si="216"/>
        <v>4026</v>
      </c>
      <c r="S1933" s="1">
        <f t="shared" si="210"/>
        <v>30090</v>
      </c>
    </row>
    <row r="1934" spans="1:19" x14ac:dyDescent="0.2">
      <c r="A1934" s="57" t="s">
        <v>224</v>
      </c>
      <c r="B1934" s="57" t="s">
        <v>225</v>
      </c>
      <c r="C1934" s="57" t="s">
        <v>226</v>
      </c>
      <c r="D1934" s="58">
        <v>317.08</v>
      </c>
      <c r="E1934" s="59">
        <v>41061</v>
      </c>
      <c r="F1934" s="58">
        <v>23</v>
      </c>
      <c r="G1934" s="58">
        <v>0</v>
      </c>
      <c r="H1934" s="58">
        <v>0</v>
      </c>
      <c r="I1934" s="58">
        <v>23</v>
      </c>
      <c r="J1934" s="58">
        <v>0</v>
      </c>
      <c r="K1934" s="1">
        <f t="shared" si="211"/>
        <v>0</v>
      </c>
      <c r="L1934" s="1" t="str">
        <f t="shared" si="212"/>
        <v/>
      </c>
      <c r="M1934" s="1">
        <f>VLOOKUP(B1934,'[1]Срок Годности'!$A$2:$B$4,2,0)</f>
        <v>500</v>
      </c>
      <c r="N1934" s="60">
        <f t="shared" si="213"/>
        <v>0</v>
      </c>
      <c r="O1934" s="1" t="str">
        <f t="shared" si="214"/>
        <v>22 2012</v>
      </c>
      <c r="P1934" s="1">
        <f t="shared" si="215"/>
        <v>23</v>
      </c>
      <c r="Q1934" s="1">
        <f t="shared" ca="1" si="216"/>
        <v>4072</v>
      </c>
      <c r="S1934" s="1">
        <f t="shared" si="210"/>
        <v>23</v>
      </c>
    </row>
    <row r="1935" spans="1:19" x14ac:dyDescent="0.2">
      <c r="A1935" s="57" t="s">
        <v>224</v>
      </c>
      <c r="B1935" s="57" t="s">
        <v>225</v>
      </c>
      <c r="C1935" s="57" t="s">
        <v>226</v>
      </c>
      <c r="D1935" s="58">
        <v>317.08</v>
      </c>
      <c r="E1935" s="59">
        <v>41062</v>
      </c>
      <c r="F1935" s="58">
        <v>23</v>
      </c>
      <c r="G1935" s="58">
        <v>0</v>
      </c>
      <c r="H1935" s="58">
        <v>3</v>
      </c>
      <c r="I1935" s="58">
        <v>20</v>
      </c>
      <c r="J1935" s="58">
        <v>0</v>
      </c>
      <c r="K1935" s="1">
        <f t="shared" si="211"/>
        <v>951.24</v>
      </c>
      <c r="L1935" s="1" t="str">
        <f t="shared" si="212"/>
        <v/>
      </c>
      <c r="M1935" s="1">
        <f>VLOOKUP(B1935,'[1]Срок Годности'!$A$2:$B$4,2,0)</f>
        <v>500</v>
      </c>
      <c r="N1935" s="60">
        <f t="shared" si="213"/>
        <v>0</v>
      </c>
      <c r="O1935" s="1" t="str">
        <f t="shared" si="214"/>
        <v>22 2012</v>
      </c>
      <c r="P1935" s="1">
        <f t="shared" si="215"/>
        <v>23</v>
      </c>
      <c r="Q1935" s="1">
        <f t="shared" ca="1" si="216"/>
        <v>4071</v>
      </c>
      <c r="S1935" s="1">
        <f t="shared" si="210"/>
        <v>20</v>
      </c>
    </row>
    <row r="1936" spans="1:19" x14ac:dyDescent="0.2">
      <c r="A1936" s="57" t="s">
        <v>224</v>
      </c>
      <c r="B1936" s="57" t="s">
        <v>225</v>
      </c>
      <c r="C1936" s="57" t="s">
        <v>226</v>
      </c>
      <c r="D1936" s="58">
        <v>317.08</v>
      </c>
      <c r="E1936" s="59">
        <v>41063</v>
      </c>
      <c r="F1936" s="58">
        <v>20</v>
      </c>
      <c r="G1936" s="58">
        <v>0</v>
      </c>
      <c r="H1936" s="58">
        <v>6</v>
      </c>
      <c r="I1936" s="58">
        <v>14</v>
      </c>
      <c r="J1936" s="58">
        <v>0</v>
      </c>
      <c r="K1936" s="1">
        <f t="shared" si="211"/>
        <v>1902.48</v>
      </c>
      <c r="L1936" s="1" t="str">
        <f t="shared" si="212"/>
        <v/>
      </c>
      <c r="M1936" s="1">
        <f>VLOOKUP(B1936,'[1]Срок Годности'!$A$2:$B$4,2,0)</f>
        <v>500</v>
      </c>
      <c r="N1936" s="60">
        <f t="shared" si="213"/>
        <v>0</v>
      </c>
      <c r="O1936" s="1" t="str">
        <f t="shared" si="214"/>
        <v>23 2012</v>
      </c>
      <c r="P1936" s="1">
        <f t="shared" si="215"/>
        <v>23</v>
      </c>
      <c r="Q1936" s="1">
        <f t="shared" ca="1" si="216"/>
        <v>4070</v>
      </c>
      <c r="S1936" s="1">
        <f t="shared" si="210"/>
        <v>14</v>
      </c>
    </row>
    <row r="1937" spans="1:19" x14ac:dyDescent="0.2">
      <c r="A1937" s="57" t="s">
        <v>224</v>
      </c>
      <c r="B1937" s="57" t="s">
        <v>225</v>
      </c>
      <c r="C1937" s="57" t="s">
        <v>226</v>
      </c>
      <c r="D1937" s="58">
        <v>317.08</v>
      </c>
      <c r="E1937" s="59">
        <v>41064</v>
      </c>
      <c r="F1937" s="58">
        <v>14</v>
      </c>
      <c r="G1937" s="58">
        <v>0</v>
      </c>
      <c r="H1937" s="58">
        <v>0</v>
      </c>
      <c r="I1937" s="58">
        <v>14</v>
      </c>
      <c r="J1937" s="58">
        <v>0</v>
      </c>
      <c r="K1937" s="1">
        <f t="shared" si="211"/>
        <v>0</v>
      </c>
      <c r="L1937" s="1" t="str">
        <f t="shared" si="212"/>
        <v/>
      </c>
      <c r="M1937" s="1">
        <f>VLOOKUP(B1937,'[1]Срок Годности'!$A$2:$B$4,2,0)</f>
        <v>500</v>
      </c>
      <c r="N1937" s="60">
        <f t="shared" si="213"/>
        <v>0</v>
      </c>
      <c r="O1937" s="1" t="str">
        <f t="shared" si="214"/>
        <v>23 2012</v>
      </c>
      <c r="P1937" s="1">
        <f t="shared" si="215"/>
        <v>23</v>
      </c>
      <c r="Q1937" s="1">
        <f t="shared" ca="1" si="216"/>
        <v>4069</v>
      </c>
      <c r="S1937" s="1">
        <f t="shared" si="210"/>
        <v>14</v>
      </c>
    </row>
    <row r="1938" spans="1:19" x14ac:dyDescent="0.2">
      <c r="A1938" s="57" t="s">
        <v>224</v>
      </c>
      <c r="B1938" s="57" t="s">
        <v>225</v>
      </c>
      <c r="C1938" s="57" t="s">
        <v>226</v>
      </c>
      <c r="D1938" s="58">
        <v>317.08</v>
      </c>
      <c r="E1938" s="59">
        <v>41065</v>
      </c>
      <c r="F1938" s="58">
        <v>14</v>
      </c>
      <c r="G1938" s="58">
        <v>0</v>
      </c>
      <c r="H1938" s="58">
        <v>0</v>
      </c>
      <c r="I1938" s="58">
        <v>14</v>
      </c>
      <c r="J1938" s="58">
        <v>0</v>
      </c>
      <c r="K1938" s="1">
        <f t="shared" si="211"/>
        <v>0</v>
      </c>
      <c r="L1938" s="1" t="str">
        <f t="shared" si="212"/>
        <v/>
      </c>
      <c r="M1938" s="1">
        <f>VLOOKUP(B1938,'[1]Срок Годности'!$A$2:$B$4,2,0)</f>
        <v>500</v>
      </c>
      <c r="N1938" s="60">
        <f t="shared" si="213"/>
        <v>0</v>
      </c>
      <c r="O1938" s="1" t="str">
        <f t="shared" si="214"/>
        <v>23 2012</v>
      </c>
      <c r="P1938" s="1">
        <f t="shared" si="215"/>
        <v>23</v>
      </c>
      <c r="Q1938" s="1">
        <f t="shared" ca="1" si="216"/>
        <v>4068</v>
      </c>
      <c r="S1938" s="1">
        <f t="shared" si="210"/>
        <v>14</v>
      </c>
    </row>
    <row r="1939" spans="1:19" x14ac:dyDescent="0.2">
      <c r="A1939" s="57" t="s">
        <v>224</v>
      </c>
      <c r="B1939" s="57" t="s">
        <v>225</v>
      </c>
      <c r="C1939" s="57" t="s">
        <v>226</v>
      </c>
      <c r="D1939" s="58">
        <v>317.08</v>
      </c>
      <c r="E1939" s="59">
        <v>41066</v>
      </c>
      <c r="F1939" s="58">
        <v>14</v>
      </c>
      <c r="G1939" s="58">
        <v>0</v>
      </c>
      <c r="H1939" s="58">
        <v>1</v>
      </c>
      <c r="I1939" s="58">
        <v>13</v>
      </c>
      <c r="J1939" s="58">
        <v>0</v>
      </c>
      <c r="K1939" s="1">
        <f t="shared" si="211"/>
        <v>317.08</v>
      </c>
      <c r="L1939" s="1" t="str">
        <f t="shared" si="212"/>
        <v/>
      </c>
      <c r="M1939" s="1">
        <f>VLOOKUP(B1939,'[1]Срок Годности'!$A$2:$B$4,2,0)</f>
        <v>500</v>
      </c>
      <c r="N1939" s="60">
        <f t="shared" si="213"/>
        <v>0</v>
      </c>
      <c r="O1939" s="1" t="str">
        <f t="shared" si="214"/>
        <v>23 2012</v>
      </c>
      <c r="P1939" s="1">
        <f t="shared" si="215"/>
        <v>23</v>
      </c>
      <c r="Q1939" s="1">
        <f t="shared" ca="1" si="216"/>
        <v>4067</v>
      </c>
      <c r="S1939" s="1">
        <f t="shared" si="210"/>
        <v>13</v>
      </c>
    </row>
    <row r="1940" spans="1:19" x14ac:dyDescent="0.2">
      <c r="A1940" s="57" t="s">
        <v>224</v>
      </c>
      <c r="B1940" s="57" t="s">
        <v>225</v>
      </c>
      <c r="C1940" s="57" t="s">
        <v>226</v>
      </c>
      <c r="D1940" s="58">
        <v>317.08</v>
      </c>
      <c r="E1940" s="59">
        <v>41067</v>
      </c>
      <c r="F1940" s="58">
        <v>13</v>
      </c>
      <c r="G1940" s="58">
        <v>3499</v>
      </c>
      <c r="H1940" s="58">
        <v>239</v>
      </c>
      <c r="I1940" s="58">
        <v>3272</v>
      </c>
      <c r="J1940" s="58">
        <v>0</v>
      </c>
      <c r="K1940" s="1">
        <f t="shared" si="211"/>
        <v>75782.12</v>
      </c>
      <c r="L1940" s="1" t="str">
        <f t="shared" si="212"/>
        <v/>
      </c>
      <c r="M1940" s="1">
        <f>VLOOKUP(B1940,'[1]Срок Годности'!$A$2:$B$4,2,0)</f>
        <v>500</v>
      </c>
      <c r="N1940" s="60">
        <f t="shared" si="213"/>
        <v>3499</v>
      </c>
      <c r="O1940" s="1" t="str">
        <f t="shared" si="214"/>
        <v>23 2012</v>
      </c>
      <c r="P1940" s="1">
        <f t="shared" si="215"/>
        <v>23</v>
      </c>
      <c r="Q1940" s="1">
        <f t="shared" ca="1" si="216"/>
        <v>4066</v>
      </c>
      <c r="S1940" s="1">
        <f t="shared" si="210"/>
        <v>3272</v>
      </c>
    </row>
    <row r="1941" spans="1:19" x14ac:dyDescent="0.2">
      <c r="A1941" s="57" t="s">
        <v>224</v>
      </c>
      <c r="B1941" s="57" t="s">
        <v>225</v>
      </c>
      <c r="C1941" s="57" t="s">
        <v>226</v>
      </c>
      <c r="D1941" s="58">
        <v>317.08</v>
      </c>
      <c r="E1941" s="59">
        <v>41068</v>
      </c>
      <c r="F1941" s="58">
        <v>3272</v>
      </c>
      <c r="G1941" s="58">
        <v>1762</v>
      </c>
      <c r="H1941" s="58">
        <v>877</v>
      </c>
      <c r="I1941" s="58">
        <v>4151</v>
      </c>
      <c r="J1941" s="58">
        <v>0</v>
      </c>
      <c r="K1941" s="1">
        <f t="shared" si="211"/>
        <v>278079.15999999997</v>
      </c>
      <c r="L1941" s="1" t="str">
        <f t="shared" si="212"/>
        <v/>
      </c>
      <c r="M1941" s="1">
        <f>VLOOKUP(B1941,'[1]Срок Годности'!$A$2:$B$4,2,0)</f>
        <v>500</v>
      </c>
      <c r="N1941" s="60">
        <f t="shared" si="213"/>
        <v>1762</v>
      </c>
      <c r="O1941" s="1" t="str">
        <f t="shared" si="214"/>
        <v>23 2012</v>
      </c>
      <c r="P1941" s="1">
        <f t="shared" si="215"/>
        <v>23</v>
      </c>
      <c r="Q1941" s="1">
        <f t="shared" ca="1" si="216"/>
        <v>4065</v>
      </c>
      <c r="S1941" s="1">
        <f t="shared" si="210"/>
        <v>4151</v>
      </c>
    </row>
    <row r="1942" spans="1:19" x14ac:dyDescent="0.2">
      <c r="A1942" s="57" t="s">
        <v>224</v>
      </c>
      <c r="B1942" s="57" t="s">
        <v>225</v>
      </c>
      <c r="C1942" s="57" t="s">
        <v>226</v>
      </c>
      <c r="D1942" s="58">
        <v>317.08</v>
      </c>
      <c r="E1942" s="59">
        <v>41069</v>
      </c>
      <c r="F1942" s="58">
        <v>4151</v>
      </c>
      <c r="G1942" s="58">
        <v>899</v>
      </c>
      <c r="H1942" s="58">
        <v>1455</v>
      </c>
      <c r="I1942" s="58">
        <v>3590</v>
      </c>
      <c r="J1942" s="58">
        <v>0</v>
      </c>
      <c r="K1942" s="1">
        <f t="shared" si="211"/>
        <v>461351.39999999997</v>
      </c>
      <c r="L1942" s="1">
        <f t="shared" si="212"/>
        <v>1455</v>
      </c>
      <c r="M1942" s="1">
        <f>VLOOKUP(B1942,'[1]Срок Годности'!$A$2:$B$4,2,0)</f>
        <v>500</v>
      </c>
      <c r="N1942" s="60">
        <f t="shared" si="213"/>
        <v>899</v>
      </c>
      <c r="O1942" s="1" t="str">
        <f t="shared" si="214"/>
        <v>23 2012</v>
      </c>
      <c r="P1942" s="1">
        <f t="shared" si="215"/>
        <v>23</v>
      </c>
      <c r="Q1942" s="1">
        <f t="shared" ca="1" si="216"/>
        <v>4064</v>
      </c>
      <c r="S1942" s="1">
        <f t="shared" si="210"/>
        <v>3590</v>
      </c>
    </row>
    <row r="1943" spans="1:19" x14ac:dyDescent="0.2">
      <c r="A1943" s="57" t="s">
        <v>224</v>
      </c>
      <c r="B1943" s="57" t="s">
        <v>225</v>
      </c>
      <c r="C1943" s="57" t="s">
        <v>226</v>
      </c>
      <c r="D1943" s="58">
        <v>317.08</v>
      </c>
      <c r="E1943" s="59">
        <v>41070</v>
      </c>
      <c r="F1943" s="58">
        <v>3590</v>
      </c>
      <c r="G1943" s="58">
        <v>906</v>
      </c>
      <c r="H1943" s="58">
        <v>918</v>
      </c>
      <c r="I1943" s="58">
        <v>3574</v>
      </c>
      <c r="J1943" s="58">
        <v>0</v>
      </c>
      <c r="K1943" s="1">
        <f t="shared" si="211"/>
        <v>291079.44</v>
      </c>
      <c r="L1943" s="1" t="str">
        <f t="shared" si="212"/>
        <v/>
      </c>
      <c r="M1943" s="1">
        <f>VLOOKUP(B1943,'[1]Срок Годности'!$A$2:$B$4,2,0)</f>
        <v>500</v>
      </c>
      <c r="N1943" s="60">
        <f t="shared" si="213"/>
        <v>0</v>
      </c>
      <c r="O1943" s="1" t="str">
        <f t="shared" si="214"/>
        <v>24 2012</v>
      </c>
      <c r="P1943" s="1">
        <f t="shared" si="215"/>
        <v>23</v>
      </c>
      <c r="Q1943" s="1">
        <f t="shared" ca="1" si="216"/>
        <v>4063</v>
      </c>
      <c r="S1943" s="1">
        <f t="shared" si="210"/>
        <v>3574</v>
      </c>
    </row>
    <row r="1944" spans="1:19" x14ac:dyDescent="0.2">
      <c r="A1944" s="57" t="s">
        <v>224</v>
      </c>
      <c r="B1944" s="57" t="s">
        <v>225</v>
      </c>
      <c r="C1944" s="57" t="s">
        <v>226</v>
      </c>
      <c r="D1944" s="58">
        <v>317.08</v>
      </c>
      <c r="E1944" s="59">
        <v>41071</v>
      </c>
      <c r="F1944" s="58">
        <v>3574</v>
      </c>
      <c r="G1944" s="58">
        <v>1150</v>
      </c>
      <c r="H1944" s="58">
        <v>866</v>
      </c>
      <c r="I1944" s="58">
        <v>3849</v>
      </c>
      <c r="J1944" s="58">
        <v>0</v>
      </c>
      <c r="K1944" s="1">
        <f t="shared" si="211"/>
        <v>274591.27999999997</v>
      </c>
      <c r="L1944" s="1" t="str">
        <f t="shared" si="212"/>
        <v/>
      </c>
      <c r="M1944" s="1">
        <f>VLOOKUP(B1944,'[1]Срок Годности'!$A$2:$B$4,2,0)</f>
        <v>500</v>
      </c>
      <c r="N1944" s="60">
        <f t="shared" si="213"/>
        <v>1150</v>
      </c>
      <c r="O1944" s="1" t="str">
        <f t="shared" si="214"/>
        <v>24 2012</v>
      </c>
      <c r="P1944" s="1">
        <f t="shared" si="215"/>
        <v>23</v>
      </c>
      <c r="Q1944" s="1">
        <f t="shared" ca="1" si="216"/>
        <v>4062</v>
      </c>
      <c r="S1944" s="1">
        <f t="shared" si="210"/>
        <v>3849</v>
      </c>
    </row>
    <row r="1945" spans="1:19" x14ac:dyDescent="0.2">
      <c r="A1945" s="57" t="s">
        <v>224</v>
      </c>
      <c r="B1945" s="57" t="s">
        <v>225</v>
      </c>
      <c r="C1945" s="57" t="s">
        <v>226</v>
      </c>
      <c r="D1945" s="58">
        <v>317.08</v>
      </c>
      <c r="E1945" s="59">
        <v>41072</v>
      </c>
      <c r="F1945" s="58">
        <v>3849</v>
      </c>
      <c r="G1945" s="58">
        <v>1176</v>
      </c>
      <c r="H1945" s="58">
        <v>960</v>
      </c>
      <c r="I1945" s="58">
        <v>4057</v>
      </c>
      <c r="J1945" s="58">
        <v>0</v>
      </c>
      <c r="K1945" s="1">
        <f t="shared" si="211"/>
        <v>304396.79999999999</v>
      </c>
      <c r="L1945" s="1" t="str">
        <f t="shared" si="212"/>
        <v/>
      </c>
      <c r="M1945" s="1">
        <f>VLOOKUP(B1945,'[1]Срок Годности'!$A$2:$B$4,2,0)</f>
        <v>500</v>
      </c>
      <c r="N1945" s="60">
        <f t="shared" si="213"/>
        <v>1176</v>
      </c>
      <c r="O1945" s="1" t="str">
        <f t="shared" si="214"/>
        <v>24 2012</v>
      </c>
      <c r="P1945" s="1">
        <f t="shared" si="215"/>
        <v>23</v>
      </c>
      <c r="Q1945" s="1">
        <f t="shared" ca="1" si="216"/>
        <v>4061</v>
      </c>
      <c r="S1945" s="1">
        <f t="shared" si="210"/>
        <v>4057</v>
      </c>
    </row>
    <row r="1946" spans="1:19" x14ac:dyDescent="0.2">
      <c r="A1946" s="57" t="s">
        <v>224</v>
      </c>
      <c r="B1946" s="57" t="s">
        <v>225</v>
      </c>
      <c r="C1946" s="57" t="s">
        <v>226</v>
      </c>
      <c r="D1946" s="58">
        <v>317.08</v>
      </c>
      <c r="E1946" s="59">
        <v>41073</v>
      </c>
      <c r="F1946" s="58">
        <v>4057</v>
      </c>
      <c r="G1946" s="58">
        <v>486</v>
      </c>
      <c r="H1946" s="58">
        <v>1030</v>
      </c>
      <c r="I1946" s="58">
        <v>3506</v>
      </c>
      <c r="J1946" s="58">
        <v>0</v>
      </c>
      <c r="K1946" s="1">
        <f t="shared" si="211"/>
        <v>326592.39999999997</v>
      </c>
      <c r="L1946" s="1">
        <f t="shared" si="212"/>
        <v>1030</v>
      </c>
      <c r="M1946" s="1">
        <f>VLOOKUP(B1946,'[1]Срок Годности'!$A$2:$B$4,2,0)</f>
        <v>500</v>
      </c>
      <c r="N1946" s="60">
        <f t="shared" si="213"/>
        <v>486</v>
      </c>
      <c r="O1946" s="1" t="str">
        <f t="shared" si="214"/>
        <v>24 2012</v>
      </c>
      <c r="P1946" s="1">
        <f t="shared" si="215"/>
        <v>23</v>
      </c>
      <c r="Q1946" s="1">
        <f t="shared" ca="1" si="216"/>
        <v>4060</v>
      </c>
      <c r="S1946" s="1">
        <f t="shared" si="210"/>
        <v>3506</v>
      </c>
    </row>
    <row r="1947" spans="1:19" x14ac:dyDescent="0.2">
      <c r="A1947" s="57" t="s">
        <v>224</v>
      </c>
      <c r="B1947" s="57" t="s">
        <v>225</v>
      </c>
      <c r="C1947" s="57" t="s">
        <v>226</v>
      </c>
      <c r="D1947" s="58">
        <v>317.08</v>
      </c>
      <c r="E1947" s="59">
        <v>41074</v>
      </c>
      <c r="F1947" s="58">
        <v>3506</v>
      </c>
      <c r="G1947" s="58">
        <v>789</v>
      </c>
      <c r="H1947" s="58">
        <v>885</v>
      </c>
      <c r="I1947" s="58">
        <v>3402</v>
      </c>
      <c r="J1947" s="58">
        <v>0</v>
      </c>
      <c r="K1947" s="1">
        <f t="shared" si="211"/>
        <v>280615.8</v>
      </c>
      <c r="L1947" s="1" t="str">
        <f t="shared" si="212"/>
        <v/>
      </c>
      <c r="M1947" s="1">
        <f>VLOOKUP(B1947,'[1]Срок Годности'!$A$2:$B$4,2,0)</f>
        <v>500</v>
      </c>
      <c r="N1947" s="60">
        <f t="shared" si="213"/>
        <v>789</v>
      </c>
      <c r="O1947" s="1" t="str">
        <f t="shared" si="214"/>
        <v>24 2012</v>
      </c>
      <c r="P1947" s="1">
        <f t="shared" si="215"/>
        <v>23</v>
      </c>
      <c r="Q1947" s="1">
        <f t="shared" ca="1" si="216"/>
        <v>4059</v>
      </c>
      <c r="S1947" s="1">
        <f t="shared" si="210"/>
        <v>3402</v>
      </c>
    </row>
    <row r="1948" spans="1:19" x14ac:dyDescent="0.2">
      <c r="A1948" s="57" t="s">
        <v>224</v>
      </c>
      <c r="B1948" s="57" t="s">
        <v>225</v>
      </c>
      <c r="C1948" s="57" t="s">
        <v>226</v>
      </c>
      <c r="D1948" s="58">
        <v>317.08</v>
      </c>
      <c r="E1948" s="59">
        <v>41075</v>
      </c>
      <c r="F1948" s="58">
        <v>3402</v>
      </c>
      <c r="G1948" s="58">
        <v>649</v>
      </c>
      <c r="H1948" s="58">
        <v>934</v>
      </c>
      <c r="I1948" s="58">
        <v>3102</v>
      </c>
      <c r="J1948" s="58">
        <v>0</v>
      </c>
      <c r="K1948" s="1">
        <f t="shared" si="211"/>
        <v>296152.71999999997</v>
      </c>
      <c r="L1948" s="1" t="str">
        <f t="shared" si="212"/>
        <v/>
      </c>
      <c r="M1948" s="1">
        <f>VLOOKUP(B1948,'[1]Срок Годности'!$A$2:$B$4,2,0)</f>
        <v>500</v>
      </c>
      <c r="N1948" s="60">
        <f t="shared" si="213"/>
        <v>649</v>
      </c>
      <c r="O1948" s="1" t="str">
        <f t="shared" si="214"/>
        <v>24 2012</v>
      </c>
      <c r="P1948" s="1">
        <f t="shared" si="215"/>
        <v>23</v>
      </c>
      <c r="Q1948" s="1">
        <f t="shared" ca="1" si="216"/>
        <v>4058</v>
      </c>
      <c r="S1948" s="1">
        <f t="shared" si="210"/>
        <v>3102</v>
      </c>
    </row>
    <row r="1949" spans="1:19" x14ac:dyDescent="0.2">
      <c r="A1949" s="57" t="s">
        <v>224</v>
      </c>
      <c r="B1949" s="57" t="s">
        <v>225</v>
      </c>
      <c r="C1949" s="57" t="s">
        <v>226</v>
      </c>
      <c r="D1949" s="58">
        <v>317.08</v>
      </c>
      <c r="E1949" s="59">
        <v>41076</v>
      </c>
      <c r="F1949" s="58">
        <v>3102</v>
      </c>
      <c r="G1949" s="58">
        <v>884</v>
      </c>
      <c r="H1949" s="58">
        <v>1082</v>
      </c>
      <c r="I1949" s="58">
        <v>2889</v>
      </c>
      <c r="J1949" s="58">
        <v>0</v>
      </c>
      <c r="K1949" s="1">
        <f t="shared" si="211"/>
        <v>343080.56</v>
      </c>
      <c r="L1949" s="1">
        <f t="shared" si="212"/>
        <v>1082</v>
      </c>
      <c r="M1949" s="1">
        <f>VLOOKUP(B1949,'[1]Срок Годности'!$A$2:$B$4,2,0)</f>
        <v>500</v>
      </c>
      <c r="N1949" s="60">
        <f t="shared" si="213"/>
        <v>884</v>
      </c>
      <c r="O1949" s="1" t="str">
        <f t="shared" si="214"/>
        <v>24 2012</v>
      </c>
      <c r="P1949" s="1">
        <f t="shared" si="215"/>
        <v>23</v>
      </c>
      <c r="Q1949" s="1">
        <f t="shared" ca="1" si="216"/>
        <v>4057</v>
      </c>
      <c r="S1949" s="1">
        <f t="shared" si="210"/>
        <v>2889</v>
      </c>
    </row>
    <row r="1950" spans="1:19" x14ac:dyDescent="0.2">
      <c r="A1950" s="57" t="s">
        <v>224</v>
      </c>
      <c r="B1950" s="57" t="s">
        <v>225</v>
      </c>
      <c r="C1950" s="57" t="s">
        <v>226</v>
      </c>
      <c r="D1950" s="58">
        <v>317.08</v>
      </c>
      <c r="E1950" s="59">
        <v>41077</v>
      </c>
      <c r="F1950" s="58">
        <v>2889</v>
      </c>
      <c r="G1950" s="58">
        <v>534</v>
      </c>
      <c r="H1950" s="58">
        <v>1315</v>
      </c>
      <c r="I1950" s="58">
        <v>2088</v>
      </c>
      <c r="J1950" s="58">
        <v>0</v>
      </c>
      <c r="K1950" s="1">
        <f t="shared" si="211"/>
        <v>416960.19999999995</v>
      </c>
      <c r="L1950" s="1">
        <f t="shared" si="212"/>
        <v>1315</v>
      </c>
      <c r="M1950" s="1">
        <f>VLOOKUP(B1950,'[1]Срок Годности'!$A$2:$B$4,2,0)</f>
        <v>500</v>
      </c>
      <c r="N1950" s="60">
        <f t="shared" si="213"/>
        <v>0</v>
      </c>
      <c r="O1950" s="1" t="str">
        <f t="shared" si="214"/>
        <v>25 2012</v>
      </c>
      <c r="P1950" s="1">
        <f t="shared" si="215"/>
        <v>23</v>
      </c>
      <c r="Q1950" s="1">
        <f t="shared" ca="1" si="216"/>
        <v>4056</v>
      </c>
      <c r="S1950" s="1">
        <f t="shared" si="210"/>
        <v>2088</v>
      </c>
    </row>
    <row r="1951" spans="1:19" x14ac:dyDescent="0.2">
      <c r="A1951" s="57" t="s">
        <v>224</v>
      </c>
      <c r="B1951" s="57" t="s">
        <v>225</v>
      </c>
      <c r="C1951" s="57" t="s">
        <v>226</v>
      </c>
      <c r="D1951" s="58">
        <v>317.08</v>
      </c>
      <c r="E1951" s="59">
        <v>41078</v>
      </c>
      <c r="F1951" s="58">
        <v>2088</v>
      </c>
      <c r="G1951" s="58">
        <v>1143</v>
      </c>
      <c r="H1951" s="58">
        <v>1117</v>
      </c>
      <c r="I1951" s="58">
        <v>2101</v>
      </c>
      <c r="J1951" s="58">
        <v>0</v>
      </c>
      <c r="K1951" s="1">
        <f t="shared" si="211"/>
        <v>354178.36</v>
      </c>
      <c r="L1951" s="1">
        <f t="shared" si="212"/>
        <v>1117</v>
      </c>
      <c r="M1951" s="1">
        <f>VLOOKUP(B1951,'[1]Срок Годности'!$A$2:$B$4,2,0)</f>
        <v>500</v>
      </c>
      <c r="N1951" s="60">
        <f t="shared" si="213"/>
        <v>1143</v>
      </c>
      <c r="O1951" s="1" t="str">
        <f t="shared" si="214"/>
        <v>25 2012</v>
      </c>
      <c r="P1951" s="1">
        <f t="shared" si="215"/>
        <v>23</v>
      </c>
      <c r="Q1951" s="1">
        <f t="shared" ca="1" si="216"/>
        <v>4055</v>
      </c>
      <c r="S1951" s="1">
        <f t="shared" si="210"/>
        <v>2101</v>
      </c>
    </row>
    <row r="1952" spans="1:19" x14ac:dyDescent="0.2">
      <c r="A1952" s="57" t="s">
        <v>224</v>
      </c>
      <c r="B1952" s="57" t="s">
        <v>225</v>
      </c>
      <c r="C1952" s="57" t="s">
        <v>226</v>
      </c>
      <c r="D1952" s="58">
        <v>317.08</v>
      </c>
      <c r="E1952" s="59">
        <v>41079</v>
      </c>
      <c r="F1952" s="58">
        <v>2101</v>
      </c>
      <c r="G1952" s="58">
        <v>1499</v>
      </c>
      <c r="H1952" s="58">
        <v>940</v>
      </c>
      <c r="I1952" s="58">
        <v>2646</v>
      </c>
      <c r="J1952" s="58">
        <v>0</v>
      </c>
      <c r="K1952" s="1">
        <f t="shared" si="211"/>
        <v>298055.2</v>
      </c>
      <c r="L1952" s="1" t="str">
        <f t="shared" si="212"/>
        <v/>
      </c>
      <c r="M1952" s="1">
        <f>VLOOKUP(B1952,'[1]Срок Годности'!$A$2:$B$4,2,0)</f>
        <v>500</v>
      </c>
      <c r="N1952" s="60">
        <f t="shared" si="213"/>
        <v>1499</v>
      </c>
      <c r="O1952" s="1" t="str">
        <f t="shared" si="214"/>
        <v>25 2012</v>
      </c>
      <c r="P1952" s="1">
        <f t="shared" si="215"/>
        <v>23</v>
      </c>
      <c r="Q1952" s="1">
        <f t="shared" ca="1" si="216"/>
        <v>4054</v>
      </c>
      <c r="S1952" s="1">
        <f t="shared" si="210"/>
        <v>2646</v>
      </c>
    </row>
    <row r="1953" spans="1:19" x14ac:dyDescent="0.2">
      <c r="A1953" s="57" t="s">
        <v>224</v>
      </c>
      <c r="B1953" s="57" t="s">
        <v>225</v>
      </c>
      <c r="C1953" s="57" t="s">
        <v>226</v>
      </c>
      <c r="D1953" s="58">
        <v>317.08</v>
      </c>
      <c r="E1953" s="59">
        <v>41080</v>
      </c>
      <c r="F1953" s="58">
        <v>2646</v>
      </c>
      <c r="G1953" s="58">
        <v>2494</v>
      </c>
      <c r="H1953" s="58">
        <v>1219</v>
      </c>
      <c r="I1953" s="58">
        <v>3911</v>
      </c>
      <c r="J1953" s="58">
        <v>0</v>
      </c>
      <c r="K1953" s="1">
        <f t="shared" si="211"/>
        <v>386520.51999999996</v>
      </c>
      <c r="L1953" s="1">
        <f t="shared" si="212"/>
        <v>1219</v>
      </c>
      <c r="M1953" s="1">
        <f>VLOOKUP(B1953,'[1]Срок Годности'!$A$2:$B$4,2,0)</f>
        <v>500</v>
      </c>
      <c r="N1953" s="60">
        <f t="shared" si="213"/>
        <v>2494</v>
      </c>
      <c r="O1953" s="1" t="str">
        <f t="shared" si="214"/>
        <v>25 2012</v>
      </c>
      <c r="P1953" s="1">
        <f t="shared" si="215"/>
        <v>23</v>
      </c>
      <c r="Q1953" s="1">
        <f t="shared" ca="1" si="216"/>
        <v>4053</v>
      </c>
      <c r="S1953" s="1">
        <f t="shared" si="210"/>
        <v>3911</v>
      </c>
    </row>
    <row r="1954" spans="1:19" x14ac:dyDescent="0.2">
      <c r="A1954" s="57" t="s">
        <v>224</v>
      </c>
      <c r="B1954" s="57" t="s">
        <v>225</v>
      </c>
      <c r="C1954" s="57" t="s">
        <v>226</v>
      </c>
      <c r="D1954" s="58">
        <v>317.08</v>
      </c>
      <c r="E1954" s="59">
        <v>41081</v>
      </c>
      <c r="F1954" s="58">
        <v>3911</v>
      </c>
      <c r="G1954" s="58">
        <v>1639</v>
      </c>
      <c r="H1954" s="58">
        <v>1282</v>
      </c>
      <c r="I1954" s="58">
        <v>4239</v>
      </c>
      <c r="J1954" s="58">
        <v>0</v>
      </c>
      <c r="K1954" s="1">
        <f t="shared" si="211"/>
        <v>406496.56</v>
      </c>
      <c r="L1954" s="1">
        <f t="shared" si="212"/>
        <v>1282</v>
      </c>
      <c r="M1954" s="1">
        <f>VLOOKUP(B1954,'[1]Срок Годности'!$A$2:$B$4,2,0)</f>
        <v>500</v>
      </c>
      <c r="N1954" s="60">
        <f t="shared" si="213"/>
        <v>1639</v>
      </c>
      <c r="O1954" s="1" t="str">
        <f t="shared" si="214"/>
        <v>25 2012</v>
      </c>
      <c r="P1954" s="1">
        <f t="shared" si="215"/>
        <v>23</v>
      </c>
      <c r="Q1954" s="1">
        <f t="shared" ca="1" si="216"/>
        <v>4052</v>
      </c>
      <c r="S1954" s="1">
        <f t="shared" si="210"/>
        <v>4239</v>
      </c>
    </row>
    <row r="1955" spans="1:19" x14ac:dyDescent="0.2">
      <c r="A1955" s="57" t="s">
        <v>224</v>
      </c>
      <c r="B1955" s="57" t="s">
        <v>225</v>
      </c>
      <c r="C1955" s="57" t="s">
        <v>226</v>
      </c>
      <c r="D1955" s="58">
        <v>317.08</v>
      </c>
      <c r="E1955" s="59">
        <v>41082</v>
      </c>
      <c r="F1955" s="58">
        <v>4239</v>
      </c>
      <c r="G1955" s="58">
        <v>1375</v>
      </c>
      <c r="H1955" s="58">
        <v>1267</v>
      </c>
      <c r="I1955" s="58">
        <v>4336</v>
      </c>
      <c r="J1955" s="58">
        <v>0</v>
      </c>
      <c r="K1955" s="1">
        <f t="shared" si="211"/>
        <v>401740.36</v>
      </c>
      <c r="L1955" s="1">
        <f t="shared" si="212"/>
        <v>1267</v>
      </c>
      <c r="M1955" s="1">
        <f>VLOOKUP(B1955,'[1]Срок Годности'!$A$2:$B$4,2,0)</f>
        <v>500</v>
      </c>
      <c r="N1955" s="60">
        <f t="shared" si="213"/>
        <v>1375</v>
      </c>
      <c r="O1955" s="1" t="str">
        <f t="shared" si="214"/>
        <v>25 2012</v>
      </c>
      <c r="P1955" s="1">
        <f t="shared" si="215"/>
        <v>23</v>
      </c>
      <c r="Q1955" s="1">
        <f t="shared" ca="1" si="216"/>
        <v>4051</v>
      </c>
      <c r="S1955" s="1">
        <f t="shared" si="210"/>
        <v>4336</v>
      </c>
    </row>
    <row r="1956" spans="1:19" x14ac:dyDescent="0.2">
      <c r="A1956" s="57" t="s">
        <v>224</v>
      </c>
      <c r="B1956" s="57" t="s">
        <v>225</v>
      </c>
      <c r="C1956" s="57" t="s">
        <v>226</v>
      </c>
      <c r="D1956" s="58">
        <v>317.08</v>
      </c>
      <c r="E1956" s="59">
        <v>41083</v>
      </c>
      <c r="F1956" s="58">
        <v>4336</v>
      </c>
      <c r="G1956" s="58">
        <v>1103</v>
      </c>
      <c r="H1956" s="58">
        <v>1356</v>
      </c>
      <c r="I1956" s="58">
        <v>4077</v>
      </c>
      <c r="J1956" s="58">
        <v>0</v>
      </c>
      <c r="K1956" s="1">
        <f t="shared" si="211"/>
        <v>429960.48</v>
      </c>
      <c r="L1956" s="1">
        <f t="shared" si="212"/>
        <v>1356</v>
      </c>
      <c r="M1956" s="1">
        <f>VLOOKUP(B1956,'[1]Срок Годности'!$A$2:$B$4,2,0)</f>
        <v>500</v>
      </c>
      <c r="N1956" s="60">
        <f t="shared" si="213"/>
        <v>1103</v>
      </c>
      <c r="O1956" s="1" t="str">
        <f t="shared" si="214"/>
        <v>25 2012</v>
      </c>
      <c r="P1956" s="1">
        <f t="shared" si="215"/>
        <v>23</v>
      </c>
      <c r="Q1956" s="1">
        <f t="shared" ca="1" si="216"/>
        <v>4050</v>
      </c>
      <c r="S1956" s="1">
        <f t="shared" si="210"/>
        <v>4077</v>
      </c>
    </row>
    <row r="1957" spans="1:19" x14ac:dyDescent="0.2">
      <c r="A1957" s="57" t="s">
        <v>224</v>
      </c>
      <c r="B1957" s="57" t="s">
        <v>225</v>
      </c>
      <c r="C1957" s="57" t="s">
        <v>226</v>
      </c>
      <c r="D1957" s="58">
        <v>317.08</v>
      </c>
      <c r="E1957" s="59">
        <v>41084</v>
      </c>
      <c r="F1957" s="58">
        <v>4077</v>
      </c>
      <c r="G1957" s="58">
        <v>1789</v>
      </c>
      <c r="H1957" s="58">
        <v>1240</v>
      </c>
      <c r="I1957" s="58">
        <v>4624</v>
      </c>
      <c r="J1957" s="58">
        <v>0</v>
      </c>
      <c r="K1957" s="1">
        <f t="shared" si="211"/>
        <v>393179.19999999995</v>
      </c>
      <c r="L1957" s="1">
        <f t="shared" si="212"/>
        <v>1240</v>
      </c>
      <c r="M1957" s="1">
        <f>VLOOKUP(B1957,'[1]Срок Годности'!$A$2:$B$4,2,0)</f>
        <v>500</v>
      </c>
      <c r="N1957" s="60">
        <f t="shared" si="213"/>
        <v>0</v>
      </c>
      <c r="O1957" s="1" t="str">
        <f t="shared" si="214"/>
        <v>26 2012</v>
      </c>
      <c r="P1957" s="1">
        <f t="shared" si="215"/>
        <v>23</v>
      </c>
      <c r="Q1957" s="1">
        <f t="shared" ca="1" si="216"/>
        <v>4049</v>
      </c>
      <c r="S1957" s="1">
        <f t="shared" si="210"/>
        <v>4624</v>
      </c>
    </row>
    <row r="1958" spans="1:19" x14ac:dyDescent="0.2">
      <c r="A1958" s="57" t="s">
        <v>224</v>
      </c>
      <c r="B1958" s="57" t="s">
        <v>225</v>
      </c>
      <c r="C1958" s="57" t="s">
        <v>226</v>
      </c>
      <c r="D1958" s="58">
        <v>317.08</v>
      </c>
      <c r="E1958" s="59">
        <v>41085</v>
      </c>
      <c r="F1958" s="58">
        <v>4624</v>
      </c>
      <c r="G1958" s="58">
        <v>1877</v>
      </c>
      <c r="H1958" s="58">
        <v>1216</v>
      </c>
      <c r="I1958" s="58">
        <v>5276</v>
      </c>
      <c r="J1958" s="58">
        <v>0</v>
      </c>
      <c r="K1958" s="1">
        <f t="shared" si="211"/>
        <v>385569.27999999997</v>
      </c>
      <c r="L1958" s="1">
        <f t="shared" si="212"/>
        <v>1216</v>
      </c>
      <c r="M1958" s="1">
        <f>VLOOKUP(B1958,'[1]Срок Годности'!$A$2:$B$4,2,0)</f>
        <v>500</v>
      </c>
      <c r="N1958" s="60">
        <f t="shared" si="213"/>
        <v>1877</v>
      </c>
      <c r="O1958" s="1" t="str">
        <f t="shared" si="214"/>
        <v>26 2012</v>
      </c>
      <c r="P1958" s="1">
        <f t="shared" si="215"/>
        <v>23</v>
      </c>
      <c r="Q1958" s="1">
        <f t="shared" ca="1" si="216"/>
        <v>4048</v>
      </c>
      <c r="S1958" s="1">
        <f t="shared" si="210"/>
        <v>5276</v>
      </c>
    </row>
    <row r="1959" spans="1:19" x14ac:dyDescent="0.2">
      <c r="A1959" s="57" t="s">
        <v>224</v>
      </c>
      <c r="B1959" s="57" t="s">
        <v>225</v>
      </c>
      <c r="C1959" s="57" t="s">
        <v>226</v>
      </c>
      <c r="D1959" s="58">
        <v>317.08</v>
      </c>
      <c r="E1959" s="59">
        <v>41086</v>
      </c>
      <c r="F1959" s="58">
        <v>5276</v>
      </c>
      <c r="G1959" s="58">
        <v>1941</v>
      </c>
      <c r="H1959" s="58">
        <v>1229</v>
      </c>
      <c r="I1959" s="58">
        <v>5974</v>
      </c>
      <c r="J1959" s="58">
        <v>0</v>
      </c>
      <c r="K1959" s="1">
        <f t="shared" si="211"/>
        <v>389691.32</v>
      </c>
      <c r="L1959" s="1">
        <f t="shared" si="212"/>
        <v>1229</v>
      </c>
      <c r="M1959" s="1">
        <f>VLOOKUP(B1959,'[1]Срок Годности'!$A$2:$B$4,2,0)</f>
        <v>500</v>
      </c>
      <c r="N1959" s="60">
        <f t="shared" si="213"/>
        <v>1941</v>
      </c>
      <c r="O1959" s="1" t="str">
        <f t="shared" si="214"/>
        <v>26 2012</v>
      </c>
      <c r="P1959" s="1">
        <f t="shared" si="215"/>
        <v>23</v>
      </c>
      <c r="Q1959" s="1">
        <f t="shared" ca="1" si="216"/>
        <v>4047</v>
      </c>
      <c r="S1959" s="1">
        <f t="shared" si="210"/>
        <v>5974</v>
      </c>
    </row>
    <row r="1960" spans="1:19" x14ac:dyDescent="0.2">
      <c r="A1960" s="57" t="s">
        <v>224</v>
      </c>
      <c r="B1960" s="57" t="s">
        <v>225</v>
      </c>
      <c r="C1960" s="57" t="s">
        <v>226</v>
      </c>
      <c r="D1960" s="58">
        <v>317.08</v>
      </c>
      <c r="E1960" s="59">
        <v>41087</v>
      </c>
      <c r="F1960" s="58">
        <v>5974</v>
      </c>
      <c r="G1960" s="58">
        <v>1260</v>
      </c>
      <c r="H1960" s="58">
        <v>1154</v>
      </c>
      <c r="I1960" s="58">
        <v>6052</v>
      </c>
      <c r="J1960" s="58">
        <v>0</v>
      </c>
      <c r="K1960" s="1">
        <f t="shared" si="211"/>
        <v>365910.32</v>
      </c>
      <c r="L1960" s="1">
        <f t="shared" si="212"/>
        <v>1154</v>
      </c>
      <c r="M1960" s="1">
        <f>VLOOKUP(B1960,'[1]Срок Годности'!$A$2:$B$4,2,0)</f>
        <v>500</v>
      </c>
      <c r="N1960" s="60">
        <f t="shared" si="213"/>
        <v>1260</v>
      </c>
      <c r="O1960" s="1" t="str">
        <f t="shared" si="214"/>
        <v>26 2012</v>
      </c>
      <c r="P1960" s="1">
        <f t="shared" si="215"/>
        <v>23</v>
      </c>
      <c r="Q1960" s="1">
        <f t="shared" ca="1" si="216"/>
        <v>4046</v>
      </c>
      <c r="S1960" s="1">
        <f t="shared" si="210"/>
        <v>6052</v>
      </c>
    </row>
    <row r="1961" spans="1:19" x14ac:dyDescent="0.2">
      <c r="A1961" s="57" t="s">
        <v>224</v>
      </c>
      <c r="B1961" s="57" t="s">
        <v>225</v>
      </c>
      <c r="C1961" s="57" t="s">
        <v>226</v>
      </c>
      <c r="D1961" s="58">
        <v>317.08</v>
      </c>
      <c r="E1961" s="59">
        <v>41088</v>
      </c>
      <c r="F1961" s="58">
        <v>6052</v>
      </c>
      <c r="G1961" s="58">
        <v>1468</v>
      </c>
      <c r="H1961" s="58">
        <v>1108</v>
      </c>
      <c r="I1961" s="58">
        <v>6399</v>
      </c>
      <c r="J1961" s="58">
        <v>0</v>
      </c>
      <c r="K1961" s="1">
        <f t="shared" si="211"/>
        <v>351324.63999999996</v>
      </c>
      <c r="L1961" s="1">
        <f t="shared" si="212"/>
        <v>1108</v>
      </c>
      <c r="M1961" s="1">
        <f>VLOOKUP(B1961,'[1]Срок Годности'!$A$2:$B$4,2,0)</f>
        <v>500</v>
      </c>
      <c r="N1961" s="60">
        <f t="shared" si="213"/>
        <v>1468</v>
      </c>
      <c r="O1961" s="1" t="str">
        <f t="shared" si="214"/>
        <v>26 2012</v>
      </c>
      <c r="P1961" s="1">
        <f t="shared" si="215"/>
        <v>23</v>
      </c>
      <c r="Q1961" s="1">
        <f t="shared" ca="1" si="216"/>
        <v>4045</v>
      </c>
      <c r="S1961" s="1">
        <f t="shared" si="210"/>
        <v>6399</v>
      </c>
    </row>
    <row r="1962" spans="1:19" x14ac:dyDescent="0.2">
      <c r="A1962" s="57" t="s">
        <v>224</v>
      </c>
      <c r="B1962" s="57" t="s">
        <v>225</v>
      </c>
      <c r="C1962" s="57" t="s">
        <v>226</v>
      </c>
      <c r="D1962" s="58">
        <v>317.08</v>
      </c>
      <c r="E1962" s="59">
        <v>41089</v>
      </c>
      <c r="F1962" s="58">
        <v>6399</v>
      </c>
      <c r="G1962" s="58">
        <v>1480</v>
      </c>
      <c r="H1962" s="58">
        <v>1322</v>
      </c>
      <c r="I1962" s="58">
        <v>6554</v>
      </c>
      <c r="J1962" s="58">
        <v>0</v>
      </c>
      <c r="K1962" s="1">
        <f t="shared" si="211"/>
        <v>419179.75999999995</v>
      </c>
      <c r="L1962" s="1">
        <f t="shared" si="212"/>
        <v>1322</v>
      </c>
      <c r="M1962" s="1">
        <f>VLOOKUP(B1962,'[1]Срок Годности'!$A$2:$B$4,2,0)</f>
        <v>500</v>
      </c>
      <c r="N1962" s="60">
        <f t="shared" si="213"/>
        <v>1480</v>
      </c>
      <c r="O1962" s="1" t="str">
        <f t="shared" si="214"/>
        <v>26 2012</v>
      </c>
      <c r="P1962" s="1">
        <f t="shared" si="215"/>
        <v>23</v>
      </c>
      <c r="Q1962" s="1">
        <f t="shared" ca="1" si="216"/>
        <v>4044</v>
      </c>
      <c r="S1962" s="1">
        <f t="shared" si="210"/>
        <v>6554</v>
      </c>
    </row>
    <row r="1963" spans="1:19" x14ac:dyDescent="0.2">
      <c r="A1963" s="57" t="s">
        <v>224</v>
      </c>
      <c r="B1963" s="57" t="s">
        <v>225</v>
      </c>
      <c r="C1963" s="57" t="s">
        <v>226</v>
      </c>
      <c r="D1963" s="58">
        <v>317.08</v>
      </c>
      <c r="E1963" s="59">
        <v>41090</v>
      </c>
      <c r="F1963" s="58">
        <v>6554</v>
      </c>
      <c r="G1963" s="58">
        <v>1117</v>
      </c>
      <c r="H1963" s="58">
        <v>1551</v>
      </c>
      <c r="I1963" s="58">
        <v>6111</v>
      </c>
      <c r="J1963" s="58">
        <v>0</v>
      </c>
      <c r="K1963" s="1">
        <f t="shared" si="211"/>
        <v>491791.07999999996</v>
      </c>
      <c r="L1963" s="1">
        <f t="shared" si="212"/>
        <v>1551</v>
      </c>
      <c r="M1963" s="1">
        <f>VLOOKUP(B1963,'[1]Срок Годности'!$A$2:$B$4,2,0)</f>
        <v>500</v>
      </c>
      <c r="N1963" s="60">
        <f t="shared" si="213"/>
        <v>1117</v>
      </c>
      <c r="O1963" s="1" t="str">
        <f t="shared" si="214"/>
        <v>26 2012</v>
      </c>
      <c r="P1963" s="1">
        <f t="shared" si="215"/>
        <v>23</v>
      </c>
      <c r="Q1963" s="1">
        <f t="shared" ca="1" si="216"/>
        <v>4043</v>
      </c>
      <c r="S1963" s="1">
        <f t="shared" si="210"/>
        <v>6111</v>
      </c>
    </row>
    <row r="1964" spans="1:19" x14ac:dyDescent="0.2">
      <c r="A1964" s="57" t="s">
        <v>224</v>
      </c>
      <c r="B1964" s="57" t="s">
        <v>225</v>
      </c>
      <c r="C1964" s="57" t="s">
        <v>226</v>
      </c>
      <c r="D1964" s="58">
        <v>317.08</v>
      </c>
      <c r="E1964" s="59">
        <v>41091</v>
      </c>
      <c r="F1964" s="58">
        <v>6111</v>
      </c>
      <c r="G1964" s="58">
        <v>1160</v>
      </c>
      <c r="H1964" s="58">
        <v>1527</v>
      </c>
      <c r="I1964" s="58">
        <v>5741</v>
      </c>
      <c r="J1964" s="58">
        <v>0</v>
      </c>
      <c r="K1964" s="1">
        <f t="shared" si="211"/>
        <v>484181.16</v>
      </c>
      <c r="L1964" s="1">
        <f t="shared" si="212"/>
        <v>1527</v>
      </c>
      <c r="M1964" s="1">
        <f>VLOOKUP(B1964,'[1]Срок Годности'!$A$2:$B$4,2,0)</f>
        <v>500</v>
      </c>
      <c r="N1964" s="60">
        <f t="shared" si="213"/>
        <v>0</v>
      </c>
      <c r="O1964" s="1" t="str">
        <f t="shared" si="214"/>
        <v>27 2012</v>
      </c>
      <c r="P1964" s="1">
        <f t="shared" si="215"/>
        <v>23</v>
      </c>
      <c r="Q1964" s="1">
        <f t="shared" ca="1" si="216"/>
        <v>4042</v>
      </c>
      <c r="S1964" s="1">
        <f t="shared" si="210"/>
        <v>5741</v>
      </c>
    </row>
    <row r="1965" spans="1:19" x14ac:dyDescent="0.2">
      <c r="A1965" s="57" t="s">
        <v>224</v>
      </c>
      <c r="B1965" s="57" t="s">
        <v>225</v>
      </c>
      <c r="C1965" s="57" t="s">
        <v>226</v>
      </c>
      <c r="D1965" s="58">
        <v>317.08</v>
      </c>
      <c r="E1965" s="59">
        <v>41092</v>
      </c>
      <c r="F1965" s="58">
        <v>5741</v>
      </c>
      <c r="G1965" s="58">
        <v>0</v>
      </c>
      <c r="H1965" s="58">
        <v>1306</v>
      </c>
      <c r="I1965" s="58">
        <v>4425</v>
      </c>
      <c r="J1965" s="58">
        <v>0</v>
      </c>
      <c r="K1965" s="1">
        <f t="shared" si="211"/>
        <v>414106.48</v>
      </c>
      <c r="L1965" s="1">
        <f t="shared" si="212"/>
        <v>1306</v>
      </c>
      <c r="M1965" s="1">
        <f>VLOOKUP(B1965,'[1]Срок Годности'!$A$2:$B$4,2,0)</f>
        <v>500</v>
      </c>
      <c r="N1965" s="60">
        <f t="shared" si="213"/>
        <v>0</v>
      </c>
      <c r="O1965" s="1" t="str">
        <f t="shared" si="214"/>
        <v>27 2012</v>
      </c>
      <c r="P1965" s="1">
        <f t="shared" si="215"/>
        <v>23</v>
      </c>
      <c r="Q1965" s="1">
        <f t="shared" ca="1" si="216"/>
        <v>4041</v>
      </c>
      <c r="S1965" s="1">
        <f t="shared" si="210"/>
        <v>4425</v>
      </c>
    </row>
    <row r="1966" spans="1:19" x14ac:dyDescent="0.2">
      <c r="A1966" s="57" t="s">
        <v>224</v>
      </c>
      <c r="B1966" s="57" t="s">
        <v>225</v>
      </c>
      <c r="C1966" s="57" t="s">
        <v>226</v>
      </c>
      <c r="D1966" s="58">
        <v>317.08</v>
      </c>
      <c r="E1966" s="59">
        <v>41093</v>
      </c>
      <c r="F1966" s="58">
        <v>4425</v>
      </c>
      <c r="G1966" s="58">
        <v>1340</v>
      </c>
      <c r="H1966" s="58">
        <v>1167</v>
      </c>
      <c r="I1966" s="58">
        <v>4584</v>
      </c>
      <c r="J1966" s="58">
        <v>0</v>
      </c>
      <c r="K1966" s="1">
        <f t="shared" si="211"/>
        <v>370032.36</v>
      </c>
      <c r="L1966" s="1">
        <f t="shared" si="212"/>
        <v>1167</v>
      </c>
      <c r="M1966" s="1">
        <f>VLOOKUP(B1966,'[1]Срок Годности'!$A$2:$B$4,2,0)</f>
        <v>500</v>
      </c>
      <c r="N1966" s="60">
        <f t="shared" si="213"/>
        <v>1340</v>
      </c>
      <c r="O1966" s="1" t="str">
        <f t="shared" si="214"/>
        <v>27 2012</v>
      </c>
      <c r="P1966" s="1">
        <f t="shared" si="215"/>
        <v>23</v>
      </c>
      <c r="Q1966" s="1">
        <f t="shared" ca="1" si="216"/>
        <v>4040</v>
      </c>
      <c r="S1966" s="1">
        <f t="shared" si="210"/>
        <v>4584</v>
      </c>
    </row>
    <row r="1967" spans="1:19" x14ac:dyDescent="0.2">
      <c r="A1967" s="57" t="s">
        <v>224</v>
      </c>
      <c r="B1967" s="57" t="s">
        <v>225</v>
      </c>
      <c r="C1967" s="57" t="s">
        <v>226</v>
      </c>
      <c r="D1967" s="58">
        <v>317.08</v>
      </c>
      <c r="E1967" s="59">
        <v>41094</v>
      </c>
      <c r="F1967" s="58">
        <v>4584</v>
      </c>
      <c r="G1967" s="58">
        <v>0</v>
      </c>
      <c r="H1967" s="58">
        <v>1070</v>
      </c>
      <c r="I1967" s="58">
        <v>3517</v>
      </c>
      <c r="J1967" s="58">
        <v>0</v>
      </c>
      <c r="K1967" s="1">
        <f t="shared" si="211"/>
        <v>339275.6</v>
      </c>
      <c r="L1967" s="1">
        <f t="shared" si="212"/>
        <v>1070</v>
      </c>
      <c r="M1967" s="1">
        <f>VLOOKUP(B1967,'[1]Срок Годности'!$A$2:$B$4,2,0)</f>
        <v>500</v>
      </c>
      <c r="N1967" s="60">
        <f t="shared" si="213"/>
        <v>0</v>
      </c>
      <c r="O1967" s="1" t="str">
        <f t="shared" si="214"/>
        <v>27 2012</v>
      </c>
      <c r="P1967" s="1">
        <f t="shared" si="215"/>
        <v>23</v>
      </c>
      <c r="Q1967" s="1">
        <f t="shared" ca="1" si="216"/>
        <v>4039</v>
      </c>
      <c r="S1967" s="1">
        <f t="shared" si="210"/>
        <v>3517</v>
      </c>
    </row>
    <row r="1968" spans="1:19" x14ac:dyDescent="0.2">
      <c r="A1968" s="57" t="s">
        <v>224</v>
      </c>
      <c r="B1968" s="57" t="s">
        <v>225</v>
      </c>
      <c r="C1968" s="57" t="s">
        <v>226</v>
      </c>
      <c r="D1968" s="58">
        <v>317.08</v>
      </c>
      <c r="E1968" s="59">
        <v>41095</v>
      </c>
      <c r="F1968" s="58">
        <v>3517</v>
      </c>
      <c r="G1968" s="58">
        <v>21</v>
      </c>
      <c r="H1968" s="58">
        <v>830</v>
      </c>
      <c r="I1968" s="58">
        <v>2708</v>
      </c>
      <c r="J1968" s="58">
        <v>0</v>
      </c>
      <c r="K1968" s="1">
        <f t="shared" si="211"/>
        <v>263176.39999999997</v>
      </c>
      <c r="L1968" s="1" t="str">
        <f t="shared" si="212"/>
        <v/>
      </c>
      <c r="M1968" s="1">
        <f>VLOOKUP(B1968,'[1]Срок Годности'!$A$2:$B$4,2,0)</f>
        <v>500</v>
      </c>
      <c r="N1968" s="60">
        <f t="shared" si="213"/>
        <v>21</v>
      </c>
      <c r="O1968" s="1" t="str">
        <f t="shared" si="214"/>
        <v>27 2012</v>
      </c>
      <c r="P1968" s="1">
        <f t="shared" si="215"/>
        <v>23</v>
      </c>
      <c r="Q1968" s="1">
        <f t="shared" ca="1" si="216"/>
        <v>4038</v>
      </c>
      <c r="S1968" s="1">
        <f t="shared" si="210"/>
        <v>2708</v>
      </c>
    </row>
    <row r="1969" spans="1:19" x14ac:dyDescent="0.2">
      <c r="A1969" s="57" t="s">
        <v>224</v>
      </c>
      <c r="B1969" s="57" t="s">
        <v>225</v>
      </c>
      <c r="C1969" s="57" t="s">
        <v>226</v>
      </c>
      <c r="D1969" s="58">
        <v>317.08</v>
      </c>
      <c r="E1969" s="59">
        <v>41096</v>
      </c>
      <c r="F1969" s="58">
        <v>2708</v>
      </c>
      <c r="G1969" s="58">
        <v>1908</v>
      </c>
      <c r="H1969" s="58">
        <v>775</v>
      </c>
      <c r="I1969" s="58">
        <v>3824</v>
      </c>
      <c r="J1969" s="58">
        <v>0</v>
      </c>
      <c r="K1969" s="1">
        <f t="shared" si="211"/>
        <v>245737</v>
      </c>
      <c r="L1969" s="1" t="str">
        <f t="shared" si="212"/>
        <v/>
      </c>
      <c r="M1969" s="1">
        <f>VLOOKUP(B1969,'[1]Срок Годности'!$A$2:$B$4,2,0)</f>
        <v>500</v>
      </c>
      <c r="N1969" s="60">
        <f t="shared" si="213"/>
        <v>1908</v>
      </c>
      <c r="O1969" s="1" t="str">
        <f t="shared" si="214"/>
        <v>27 2012</v>
      </c>
      <c r="P1969" s="1">
        <f t="shared" si="215"/>
        <v>23</v>
      </c>
      <c r="Q1969" s="1">
        <f t="shared" ca="1" si="216"/>
        <v>4037</v>
      </c>
      <c r="S1969" s="1">
        <f t="shared" si="210"/>
        <v>3824</v>
      </c>
    </row>
    <row r="1970" spans="1:19" x14ac:dyDescent="0.2">
      <c r="A1970" s="57" t="s">
        <v>224</v>
      </c>
      <c r="B1970" s="57" t="s">
        <v>225</v>
      </c>
      <c r="C1970" s="57" t="s">
        <v>226</v>
      </c>
      <c r="D1970" s="58">
        <v>317.08</v>
      </c>
      <c r="E1970" s="59">
        <v>41097</v>
      </c>
      <c r="F1970" s="58">
        <v>3824</v>
      </c>
      <c r="G1970" s="58">
        <v>1916</v>
      </c>
      <c r="H1970" s="58">
        <v>1047</v>
      </c>
      <c r="I1970" s="58">
        <v>4681</v>
      </c>
      <c r="J1970" s="58">
        <v>0</v>
      </c>
      <c r="K1970" s="1">
        <f t="shared" si="211"/>
        <v>331982.76</v>
      </c>
      <c r="L1970" s="1">
        <f t="shared" si="212"/>
        <v>1047</v>
      </c>
      <c r="M1970" s="1">
        <f>VLOOKUP(B1970,'[1]Срок Годности'!$A$2:$B$4,2,0)</f>
        <v>500</v>
      </c>
      <c r="N1970" s="60">
        <f t="shared" si="213"/>
        <v>1916</v>
      </c>
      <c r="O1970" s="1" t="str">
        <f t="shared" si="214"/>
        <v>27 2012</v>
      </c>
      <c r="P1970" s="1">
        <f t="shared" si="215"/>
        <v>23</v>
      </c>
      <c r="Q1970" s="1">
        <f t="shared" ca="1" si="216"/>
        <v>4036</v>
      </c>
      <c r="S1970" s="1">
        <f t="shared" si="210"/>
        <v>4681</v>
      </c>
    </row>
    <row r="1971" spans="1:19" x14ac:dyDescent="0.2">
      <c r="A1971" s="57" t="s">
        <v>224</v>
      </c>
      <c r="B1971" s="57" t="s">
        <v>225</v>
      </c>
      <c r="C1971" s="57" t="s">
        <v>226</v>
      </c>
      <c r="D1971" s="58">
        <v>317.08</v>
      </c>
      <c r="E1971" s="59">
        <v>41098</v>
      </c>
      <c r="F1971" s="58">
        <v>4681</v>
      </c>
      <c r="G1971" s="58">
        <v>5</v>
      </c>
      <c r="H1971" s="58">
        <v>1468</v>
      </c>
      <c r="I1971" s="58">
        <v>3209</v>
      </c>
      <c r="J1971" s="58">
        <v>0</v>
      </c>
      <c r="K1971" s="1">
        <f t="shared" si="211"/>
        <v>465473.44</v>
      </c>
      <c r="L1971" s="1">
        <f t="shared" si="212"/>
        <v>1468</v>
      </c>
      <c r="M1971" s="1">
        <f>VLOOKUP(B1971,'[1]Срок Годности'!$A$2:$B$4,2,0)</f>
        <v>500</v>
      </c>
      <c r="N1971" s="60">
        <f t="shared" si="213"/>
        <v>0</v>
      </c>
      <c r="O1971" s="1" t="str">
        <f t="shared" si="214"/>
        <v>28 2012</v>
      </c>
      <c r="P1971" s="1">
        <f t="shared" si="215"/>
        <v>23</v>
      </c>
      <c r="Q1971" s="1">
        <f t="shared" ca="1" si="216"/>
        <v>4035</v>
      </c>
      <c r="S1971" s="1">
        <f t="shared" si="210"/>
        <v>3209</v>
      </c>
    </row>
    <row r="1972" spans="1:19" x14ac:dyDescent="0.2">
      <c r="A1972" s="57" t="s">
        <v>224</v>
      </c>
      <c r="B1972" s="57" t="s">
        <v>225</v>
      </c>
      <c r="C1972" s="57" t="s">
        <v>226</v>
      </c>
      <c r="D1972" s="58">
        <v>317.08</v>
      </c>
      <c r="E1972" s="59">
        <v>41099</v>
      </c>
      <c r="F1972" s="58">
        <v>3209</v>
      </c>
      <c r="G1972" s="58">
        <v>4</v>
      </c>
      <c r="H1972" s="58">
        <v>916</v>
      </c>
      <c r="I1972" s="58">
        <v>2276</v>
      </c>
      <c r="J1972" s="58">
        <v>0</v>
      </c>
      <c r="K1972" s="1">
        <f t="shared" si="211"/>
        <v>290445.27999999997</v>
      </c>
      <c r="L1972" s="1" t="str">
        <f t="shared" si="212"/>
        <v/>
      </c>
      <c r="M1972" s="1">
        <f>VLOOKUP(B1972,'[1]Срок Годности'!$A$2:$B$4,2,0)</f>
        <v>500</v>
      </c>
      <c r="N1972" s="60">
        <f t="shared" si="213"/>
        <v>4</v>
      </c>
      <c r="O1972" s="1" t="str">
        <f t="shared" si="214"/>
        <v>28 2012</v>
      </c>
      <c r="P1972" s="1">
        <f t="shared" si="215"/>
        <v>23</v>
      </c>
      <c r="Q1972" s="1">
        <f t="shared" ca="1" si="216"/>
        <v>4034</v>
      </c>
      <c r="S1972" s="1">
        <f t="shared" si="210"/>
        <v>2276</v>
      </c>
    </row>
    <row r="1973" spans="1:19" x14ac:dyDescent="0.2">
      <c r="A1973" s="57" t="s">
        <v>224</v>
      </c>
      <c r="B1973" s="57" t="s">
        <v>225</v>
      </c>
      <c r="C1973" s="57" t="s">
        <v>226</v>
      </c>
      <c r="D1973" s="58">
        <v>317.08</v>
      </c>
      <c r="E1973" s="59">
        <v>41100</v>
      </c>
      <c r="F1973" s="58">
        <v>2276</v>
      </c>
      <c r="G1973" s="58">
        <v>1896</v>
      </c>
      <c r="H1973" s="58">
        <v>669</v>
      </c>
      <c r="I1973" s="58">
        <v>3470</v>
      </c>
      <c r="J1973" s="58">
        <v>0</v>
      </c>
      <c r="K1973" s="1">
        <f t="shared" si="211"/>
        <v>212126.52</v>
      </c>
      <c r="L1973" s="1" t="str">
        <f t="shared" si="212"/>
        <v/>
      </c>
      <c r="M1973" s="1">
        <f>VLOOKUP(B1973,'[1]Срок Годности'!$A$2:$B$4,2,0)</f>
        <v>500</v>
      </c>
      <c r="N1973" s="60">
        <f t="shared" si="213"/>
        <v>1896</v>
      </c>
      <c r="O1973" s="1" t="str">
        <f t="shared" si="214"/>
        <v>28 2012</v>
      </c>
      <c r="P1973" s="1">
        <f t="shared" si="215"/>
        <v>23</v>
      </c>
      <c r="Q1973" s="1">
        <f t="shared" ca="1" si="216"/>
        <v>4033</v>
      </c>
      <c r="S1973" s="1">
        <f t="shared" si="210"/>
        <v>3470</v>
      </c>
    </row>
    <row r="1974" spans="1:19" x14ac:dyDescent="0.2">
      <c r="A1974" s="57" t="s">
        <v>224</v>
      </c>
      <c r="B1974" s="57" t="s">
        <v>225</v>
      </c>
      <c r="C1974" s="57" t="s">
        <v>226</v>
      </c>
      <c r="D1974" s="58">
        <v>317.08</v>
      </c>
      <c r="E1974" s="59">
        <v>41101</v>
      </c>
      <c r="F1974" s="58">
        <v>3470</v>
      </c>
      <c r="G1974" s="58">
        <v>2</v>
      </c>
      <c r="H1974" s="58">
        <v>629</v>
      </c>
      <c r="I1974" s="58">
        <v>2830</v>
      </c>
      <c r="J1974" s="58">
        <v>0</v>
      </c>
      <c r="K1974" s="1">
        <f t="shared" si="211"/>
        <v>199443.31999999998</v>
      </c>
      <c r="L1974" s="1" t="str">
        <f t="shared" si="212"/>
        <v/>
      </c>
      <c r="M1974" s="1">
        <f>VLOOKUP(B1974,'[1]Срок Годности'!$A$2:$B$4,2,0)</f>
        <v>500</v>
      </c>
      <c r="N1974" s="60">
        <f t="shared" si="213"/>
        <v>2</v>
      </c>
      <c r="O1974" s="1" t="str">
        <f t="shared" si="214"/>
        <v>28 2012</v>
      </c>
      <c r="P1974" s="1">
        <f t="shared" si="215"/>
        <v>23</v>
      </c>
      <c r="Q1974" s="1">
        <f t="shared" ca="1" si="216"/>
        <v>4032</v>
      </c>
      <c r="S1974" s="1">
        <f t="shared" si="210"/>
        <v>2830</v>
      </c>
    </row>
    <row r="1975" spans="1:19" x14ac:dyDescent="0.2">
      <c r="A1975" s="57" t="s">
        <v>224</v>
      </c>
      <c r="B1975" s="57" t="s">
        <v>225</v>
      </c>
      <c r="C1975" s="57" t="s">
        <v>226</v>
      </c>
      <c r="D1975" s="58">
        <v>317.08</v>
      </c>
      <c r="E1975" s="59">
        <v>41102</v>
      </c>
      <c r="F1975" s="58">
        <v>2830</v>
      </c>
      <c r="G1975" s="58">
        <v>0</v>
      </c>
      <c r="H1975" s="58">
        <v>483</v>
      </c>
      <c r="I1975" s="58">
        <v>2327</v>
      </c>
      <c r="J1975" s="58">
        <v>0</v>
      </c>
      <c r="K1975" s="1">
        <f t="shared" si="211"/>
        <v>153149.63999999998</v>
      </c>
      <c r="L1975" s="1" t="str">
        <f t="shared" si="212"/>
        <v/>
      </c>
      <c r="M1975" s="1">
        <f>VLOOKUP(B1975,'[1]Срок Годности'!$A$2:$B$4,2,0)</f>
        <v>500</v>
      </c>
      <c r="N1975" s="60">
        <f t="shared" si="213"/>
        <v>0</v>
      </c>
      <c r="O1975" s="1" t="str">
        <f t="shared" si="214"/>
        <v>28 2012</v>
      </c>
      <c r="P1975" s="1">
        <f t="shared" si="215"/>
        <v>23</v>
      </c>
      <c r="Q1975" s="1">
        <f t="shared" ca="1" si="216"/>
        <v>4031</v>
      </c>
      <c r="S1975" s="1">
        <f t="shared" si="210"/>
        <v>2327</v>
      </c>
    </row>
    <row r="1976" spans="1:19" x14ac:dyDescent="0.2">
      <c r="A1976" s="57" t="s">
        <v>224</v>
      </c>
      <c r="B1976" s="57" t="s">
        <v>225</v>
      </c>
      <c r="C1976" s="57" t="s">
        <v>226</v>
      </c>
      <c r="D1976" s="58">
        <v>317.08</v>
      </c>
      <c r="E1976" s="59">
        <v>41103</v>
      </c>
      <c r="F1976" s="58">
        <v>2327</v>
      </c>
      <c r="G1976" s="58">
        <v>2</v>
      </c>
      <c r="H1976" s="58">
        <v>381</v>
      </c>
      <c r="I1976" s="58">
        <v>1946</v>
      </c>
      <c r="J1976" s="58">
        <v>0</v>
      </c>
      <c r="K1976" s="1">
        <f t="shared" si="211"/>
        <v>120807.48</v>
      </c>
      <c r="L1976" s="1" t="str">
        <f t="shared" si="212"/>
        <v/>
      </c>
      <c r="M1976" s="1">
        <f>VLOOKUP(B1976,'[1]Срок Годности'!$A$2:$B$4,2,0)</f>
        <v>500</v>
      </c>
      <c r="N1976" s="60">
        <f t="shared" si="213"/>
        <v>2</v>
      </c>
      <c r="O1976" s="1" t="str">
        <f t="shared" si="214"/>
        <v>28 2012</v>
      </c>
      <c r="P1976" s="1">
        <f t="shared" si="215"/>
        <v>23</v>
      </c>
      <c r="Q1976" s="1">
        <f t="shared" ca="1" si="216"/>
        <v>4030</v>
      </c>
      <c r="S1976" s="1">
        <f t="shared" si="210"/>
        <v>1946</v>
      </c>
    </row>
    <row r="1977" spans="1:19" x14ac:dyDescent="0.2">
      <c r="A1977" s="57" t="s">
        <v>224</v>
      </c>
      <c r="B1977" s="57" t="s">
        <v>225</v>
      </c>
      <c r="C1977" s="57" t="s">
        <v>226</v>
      </c>
      <c r="D1977" s="58">
        <v>317.08</v>
      </c>
      <c r="E1977" s="59">
        <v>41104</v>
      </c>
      <c r="F1977" s="58">
        <v>1946</v>
      </c>
      <c r="G1977" s="58">
        <v>0</v>
      </c>
      <c r="H1977" s="58">
        <v>299</v>
      </c>
      <c r="I1977" s="58">
        <v>1648</v>
      </c>
      <c r="J1977" s="58">
        <v>0</v>
      </c>
      <c r="K1977" s="1">
        <f t="shared" si="211"/>
        <v>94806.92</v>
      </c>
      <c r="L1977" s="1" t="str">
        <f t="shared" si="212"/>
        <v/>
      </c>
      <c r="M1977" s="1">
        <f>VLOOKUP(B1977,'[1]Срок Годности'!$A$2:$B$4,2,0)</f>
        <v>500</v>
      </c>
      <c r="N1977" s="60">
        <f t="shared" si="213"/>
        <v>0</v>
      </c>
      <c r="O1977" s="1" t="str">
        <f t="shared" si="214"/>
        <v>28 2012</v>
      </c>
      <c r="P1977" s="1">
        <f t="shared" si="215"/>
        <v>23</v>
      </c>
      <c r="Q1977" s="1">
        <f t="shared" ca="1" si="216"/>
        <v>4029</v>
      </c>
      <c r="S1977" s="1">
        <f t="shared" si="210"/>
        <v>1648</v>
      </c>
    </row>
    <row r="1978" spans="1:19" x14ac:dyDescent="0.2">
      <c r="A1978" s="57" t="s">
        <v>224</v>
      </c>
      <c r="B1978" s="57" t="s">
        <v>225</v>
      </c>
      <c r="C1978" s="57" t="s">
        <v>226</v>
      </c>
      <c r="D1978" s="58">
        <v>317.08</v>
      </c>
      <c r="E1978" s="59">
        <v>41105</v>
      </c>
      <c r="F1978" s="58">
        <v>1648</v>
      </c>
      <c r="G1978" s="58">
        <v>-18</v>
      </c>
      <c r="H1978" s="58">
        <v>235</v>
      </c>
      <c r="I1978" s="58">
        <v>1392</v>
      </c>
      <c r="J1978" s="58">
        <v>0</v>
      </c>
      <c r="K1978" s="1">
        <f t="shared" si="211"/>
        <v>74513.8</v>
      </c>
      <c r="L1978" s="1" t="str">
        <f t="shared" si="212"/>
        <v/>
      </c>
      <c r="M1978" s="1">
        <f>VLOOKUP(B1978,'[1]Срок Годности'!$A$2:$B$4,2,0)</f>
        <v>500</v>
      </c>
      <c r="N1978" s="60">
        <f t="shared" si="213"/>
        <v>0</v>
      </c>
      <c r="O1978" s="1" t="str">
        <f t="shared" si="214"/>
        <v>29 2012</v>
      </c>
      <c r="P1978" s="1">
        <f t="shared" si="215"/>
        <v>23</v>
      </c>
      <c r="Q1978" s="1">
        <f t="shared" ca="1" si="216"/>
        <v>4028</v>
      </c>
      <c r="S1978" s="1">
        <f t="shared" si="210"/>
        <v>1392</v>
      </c>
    </row>
    <row r="1979" spans="1:19" x14ac:dyDescent="0.2">
      <c r="A1979" s="57" t="s">
        <v>224</v>
      </c>
      <c r="B1979" s="57" t="s">
        <v>225</v>
      </c>
      <c r="C1979" s="57" t="s">
        <v>226</v>
      </c>
      <c r="D1979" s="58">
        <v>317.08</v>
      </c>
      <c r="E1979" s="59">
        <v>41106</v>
      </c>
      <c r="F1979" s="58">
        <v>1392</v>
      </c>
      <c r="G1979" s="58">
        <v>0</v>
      </c>
      <c r="H1979" s="58">
        <v>157</v>
      </c>
      <c r="I1979" s="58">
        <v>1226</v>
      </c>
      <c r="J1979" s="58">
        <v>0</v>
      </c>
      <c r="K1979" s="1">
        <f t="shared" si="211"/>
        <v>49781.56</v>
      </c>
      <c r="L1979" s="1" t="str">
        <f t="shared" si="212"/>
        <v/>
      </c>
      <c r="M1979" s="1">
        <f>VLOOKUP(B1979,'[1]Срок Годности'!$A$2:$B$4,2,0)</f>
        <v>500</v>
      </c>
      <c r="N1979" s="60">
        <f t="shared" si="213"/>
        <v>0</v>
      </c>
      <c r="O1979" s="1" t="str">
        <f t="shared" si="214"/>
        <v>29 2012</v>
      </c>
      <c r="P1979" s="1">
        <f t="shared" si="215"/>
        <v>23</v>
      </c>
      <c r="Q1979" s="1">
        <f t="shared" ca="1" si="216"/>
        <v>4027</v>
      </c>
      <c r="S1979" s="1">
        <f t="shared" si="210"/>
        <v>1226</v>
      </c>
    </row>
    <row r="1980" spans="1:19" x14ac:dyDescent="0.2">
      <c r="A1980" s="57" t="s">
        <v>224</v>
      </c>
      <c r="B1980" s="57" t="s">
        <v>225</v>
      </c>
      <c r="C1980" s="57" t="s">
        <v>226</v>
      </c>
      <c r="D1980" s="58">
        <v>317.08</v>
      </c>
      <c r="E1980" s="59">
        <v>41107</v>
      </c>
      <c r="F1980" s="58">
        <v>1226</v>
      </c>
      <c r="G1980" s="58">
        <v>0</v>
      </c>
      <c r="H1980" s="58">
        <v>91</v>
      </c>
      <c r="I1980" s="58">
        <v>1122</v>
      </c>
      <c r="J1980" s="58">
        <v>0</v>
      </c>
      <c r="K1980" s="1">
        <f t="shared" si="211"/>
        <v>28854.28</v>
      </c>
      <c r="L1980" s="1" t="str">
        <f t="shared" si="212"/>
        <v/>
      </c>
      <c r="M1980" s="1">
        <f>VLOOKUP(B1980,'[1]Срок Годности'!$A$2:$B$4,2,0)</f>
        <v>500</v>
      </c>
      <c r="N1980" s="60">
        <f t="shared" si="213"/>
        <v>0</v>
      </c>
      <c r="O1980" s="1" t="str">
        <f t="shared" si="214"/>
        <v>29 2012</v>
      </c>
      <c r="P1980" s="1">
        <f t="shared" si="215"/>
        <v>23</v>
      </c>
      <c r="Q1980" s="1">
        <f t="shared" ca="1" si="216"/>
        <v>4026</v>
      </c>
      <c r="S1980" s="1">
        <f t="shared" si="210"/>
        <v>1122</v>
      </c>
    </row>
    <row r="1981" spans="1:19" x14ac:dyDescent="0.2">
      <c r="A1981" s="57" t="s">
        <v>224</v>
      </c>
      <c r="B1981" s="57" t="s">
        <v>244</v>
      </c>
      <c r="C1981" s="57" t="s">
        <v>245</v>
      </c>
      <c r="D1981" s="58">
        <v>33.659999999999997</v>
      </c>
      <c r="E1981" s="59">
        <v>41061</v>
      </c>
      <c r="F1981" s="58">
        <v>88289</v>
      </c>
      <c r="G1981" s="58">
        <v>16536</v>
      </c>
      <c r="H1981" s="58">
        <v>14831</v>
      </c>
      <c r="I1981" s="58">
        <v>89797</v>
      </c>
      <c r="J1981" s="58">
        <v>0</v>
      </c>
      <c r="K1981" s="1">
        <f t="shared" si="211"/>
        <v>499211.45999999996</v>
      </c>
      <c r="L1981" s="1">
        <f t="shared" si="212"/>
        <v>14831</v>
      </c>
      <c r="M1981" s="1">
        <f>VLOOKUP(B1981,'[1]Срок Годности'!$A$2:$B$4,2,0)</f>
        <v>1500</v>
      </c>
      <c r="N1981" s="60">
        <f t="shared" si="213"/>
        <v>16536</v>
      </c>
      <c r="O1981" s="1" t="str">
        <f t="shared" si="214"/>
        <v>22 2012</v>
      </c>
      <c r="P1981" s="1">
        <f t="shared" si="215"/>
        <v>21</v>
      </c>
      <c r="Q1981" s="1">
        <f t="shared" ca="1" si="216"/>
        <v>4072</v>
      </c>
      <c r="S1981" s="1">
        <f t="shared" si="210"/>
        <v>89797</v>
      </c>
    </row>
    <row r="1982" spans="1:19" x14ac:dyDescent="0.2">
      <c r="A1982" s="57" t="s">
        <v>224</v>
      </c>
      <c r="B1982" s="57" t="s">
        <v>244</v>
      </c>
      <c r="C1982" s="57" t="s">
        <v>245</v>
      </c>
      <c r="D1982" s="58">
        <v>33.659999999999997</v>
      </c>
      <c r="E1982" s="59">
        <v>41062</v>
      </c>
      <c r="F1982" s="58">
        <v>89797</v>
      </c>
      <c r="G1982" s="58">
        <v>9573</v>
      </c>
      <c r="H1982" s="58">
        <v>13899</v>
      </c>
      <c r="I1982" s="58">
        <v>85387</v>
      </c>
      <c r="J1982" s="58">
        <v>0</v>
      </c>
      <c r="K1982" s="1">
        <f t="shared" si="211"/>
        <v>467840.33999999997</v>
      </c>
      <c r="L1982" s="1">
        <f t="shared" si="212"/>
        <v>13899</v>
      </c>
      <c r="M1982" s="1">
        <f>VLOOKUP(B1982,'[1]Срок Годности'!$A$2:$B$4,2,0)</f>
        <v>1500</v>
      </c>
      <c r="N1982" s="60">
        <f t="shared" si="213"/>
        <v>9573</v>
      </c>
      <c r="O1982" s="1" t="str">
        <f t="shared" si="214"/>
        <v>22 2012</v>
      </c>
      <c r="P1982" s="1">
        <f t="shared" si="215"/>
        <v>21</v>
      </c>
      <c r="Q1982" s="1">
        <f t="shared" ca="1" si="216"/>
        <v>4071</v>
      </c>
      <c r="S1982" s="1">
        <f t="shared" si="210"/>
        <v>85387</v>
      </c>
    </row>
    <row r="1983" spans="1:19" x14ac:dyDescent="0.2">
      <c r="A1983" s="57" t="s">
        <v>224</v>
      </c>
      <c r="B1983" s="57" t="s">
        <v>244</v>
      </c>
      <c r="C1983" s="57" t="s">
        <v>245</v>
      </c>
      <c r="D1983" s="58">
        <v>33.659999999999997</v>
      </c>
      <c r="E1983" s="59">
        <v>41063</v>
      </c>
      <c r="F1983" s="58">
        <v>85387</v>
      </c>
      <c r="G1983" s="58">
        <v>19916</v>
      </c>
      <c r="H1983" s="58">
        <v>14785</v>
      </c>
      <c r="I1983" s="58">
        <v>90392</v>
      </c>
      <c r="J1983" s="58">
        <v>0</v>
      </c>
      <c r="K1983" s="1">
        <f t="shared" si="211"/>
        <v>497663.1</v>
      </c>
      <c r="L1983" s="1">
        <f t="shared" si="212"/>
        <v>14785</v>
      </c>
      <c r="M1983" s="1">
        <f>VLOOKUP(B1983,'[1]Срок Годности'!$A$2:$B$4,2,0)</f>
        <v>1500</v>
      </c>
      <c r="N1983" s="60">
        <f t="shared" si="213"/>
        <v>0</v>
      </c>
      <c r="O1983" s="1" t="str">
        <f t="shared" si="214"/>
        <v>23 2012</v>
      </c>
      <c r="P1983" s="1">
        <f t="shared" si="215"/>
        <v>21</v>
      </c>
      <c r="Q1983" s="1">
        <f t="shared" ca="1" si="216"/>
        <v>4070</v>
      </c>
      <c r="S1983" s="1">
        <f t="shared" si="210"/>
        <v>90392</v>
      </c>
    </row>
    <row r="1984" spans="1:19" x14ac:dyDescent="0.2">
      <c r="A1984" s="57" t="s">
        <v>224</v>
      </c>
      <c r="B1984" s="57" t="s">
        <v>244</v>
      </c>
      <c r="C1984" s="57" t="s">
        <v>245</v>
      </c>
      <c r="D1984" s="58">
        <v>33.659999999999997</v>
      </c>
      <c r="E1984" s="59">
        <v>41064</v>
      </c>
      <c r="F1984" s="58">
        <v>90392</v>
      </c>
      <c r="G1984" s="58">
        <v>17217</v>
      </c>
      <c r="H1984" s="58">
        <v>17304</v>
      </c>
      <c r="I1984" s="58">
        <v>90122</v>
      </c>
      <c r="J1984" s="58">
        <v>0</v>
      </c>
      <c r="K1984" s="1">
        <f t="shared" si="211"/>
        <v>582452.6399999999</v>
      </c>
      <c r="L1984" s="1">
        <f t="shared" si="212"/>
        <v>17304</v>
      </c>
      <c r="M1984" s="1">
        <f>VLOOKUP(B1984,'[1]Срок Годности'!$A$2:$B$4,2,0)</f>
        <v>1500</v>
      </c>
      <c r="N1984" s="60">
        <f t="shared" si="213"/>
        <v>17217</v>
      </c>
      <c r="O1984" s="1" t="str">
        <f t="shared" si="214"/>
        <v>23 2012</v>
      </c>
      <c r="P1984" s="1">
        <f t="shared" si="215"/>
        <v>21</v>
      </c>
      <c r="Q1984" s="1">
        <f t="shared" ca="1" si="216"/>
        <v>4069</v>
      </c>
      <c r="S1984" s="1">
        <f t="shared" si="210"/>
        <v>90122</v>
      </c>
    </row>
    <row r="1985" spans="1:19" x14ac:dyDescent="0.2">
      <c r="A1985" s="57" t="s">
        <v>224</v>
      </c>
      <c r="B1985" s="57" t="s">
        <v>244</v>
      </c>
      <c r="C1985" s="57" t="s">
        <v>245</v>
      </c>
      <c r="D1985" s="58">
        <v>33.659999999999997</v>
      </c>
      <c r="E1985" s="59">
        <v>41065</v>
      </c>
      <c r="F1985" s="58">
        <v>90122</v>
      </c>
      <c r="G1985" s="58">
        <v>16113</v>
      </c>
      <c r="H1985" s="58">
        <v>17881</v>
      </c>
      <c r="I1985" s="58">
        <v>88240</v>
      </c>
      <c r="J1985" s="58">
        <v>1</v>
      </c>
      <c r="K1985" s="1">
        <f t="shared" si="211"/>
        <v>601874.46</v>
      </c>
      <c r="L1985" s="1">
        <f t="shared" si="212"/>
        <v>17881</v>
      </c>
      <c r="M1985" s="1">
        <f>VLOOKUP(B1985,'[1]Срок Годности'!$A$2:$B$4,2,0)</f>
        <v>1500</v>
      </c>
      <c r="N1985" s="60">
        <f t="shared" si="213"/>
        <v>16113</v>
      </c>
      <c r="O1985" s="1" t="str">
        <f t="shared" si="214"/>
        <v>23 2012</v>
      </c>
      <c r="P1985" s="1">
        <f t="shared" si="215"/>
        <v>21</v>
      </c>
      <c r="Q1985" s="1">
        <f t="shared" ca="1" si="216"/>
        <v>4068</v>
      </c>
      <c r="S1985" s="1">
        <f t="shared" si="210"/>
        <v>88239</v>
      </c>
    </row>
    <row r="1986" spans="1:19" x14ac:dyDescent="0.2">
      <c r="A1986" s="57" t="s">
        <v>224</v>
      </c>
      <c r="B1986" s="57" t="s">
        <v>244</v>
      </c>
      <c r="C1986" s="57" t="s">
        <v>245</v>
      </c>
      <c r="D1986" s="58">
        <v>33.659999999999997</v>
      </c>
      <c r="E1986" s="59">
        <v>41066</v>
      </c>
      <c r="F1986" s="58">
        <v>88240</v>
      </c>
      <c r="G1986" s="58">
        <v>9560</v>
      </c>
      <c r="H1986" s="58">
        <v>18953</v>
      </c>
      <c r="I1986" s="58">
        <v>78777</v>
      </c>
      <c r="J1986" s="58">
        <v>0</v>
      </c>
      <c r="K1986" s="1">
        <f t="shared" si="211"/>
        <v>637957.98</v>
      </c>
      <c r="L1986" s="1">
        <f t="shared" si="212"/>
        <v>18953</v>
      </c>
      <c r="M1986" s="1">
        <f>VLOOKUP(B1986,'[1]Срок Годности'!$A$2:$B$4,2,0)</f>
        <v>1500</v>
      </c>
      <c r="N1986" s="60">
        <f t="shared" si="213"/>
        <v>9560</v>
      </c>
      <c r="O1986" s="1" t="str">
        <f t="shared" si="214"/>
        <v>23 2012</v>
      </c>
      <c r="P1986" s="1">
        <f t="shared" si="215"/>
        <v>21</v>
      </c>
      <c r="Q1986" s="1">
        <f t="shared" ca="1" si="216"/>
        <v>4067</v>
      </c>
      <c r="S1986" s="1">
        <f t="shared" si="210"/>
        <v>78777</v>
      </c>
    </row>
    <row r="1987" spans="1:19" x14ac:dyDescent="0.2">
      <c r="A1987" s="57" t="s">
        <v>224</v>
      </c>
      <c r="B1987" s="57" t="s">
        <v>244</v>
      </c>
      <c r="C1987" s="57" t="s">
        <v>245</v>
      </c>
      <c r="D1987" s="58">
        <v>33.659999999999997</v>
      </c>
      <c r="E1987" s="59">
        <v>41067</v>
      </c>
      <c r="F1987" s="58">
        <v>78777</v>
      </c>
      <c r="G1987" s="58">
        <v>28853</v>
      </c>
      <c r="H1987" s="58">
        <v>19213</v>
      </c>
      <c r="I1987" s="58">
        <v>88273</v>
      </c>
      <c r="J1987" s="58">
        <v>0</v>
      </c>
      <c r="K1987" s="1">
        <f t="shared" si="211"/>
        <v>646709.57999999996</v>
      </c>
      <c r="L1987" s="1">
        <f t="shared" si="212"/>
        <v>19213</v>
      </c>
      <c r="M1987" s="1">
        <f>VLOOKUP(B1987,'[1]Срок Годности'!$A$2:$B$4,2,0)</f>
        <v>1500</v>
      </c>
      <c r="N1987" s="60">
        <f t="shared" si="213"/>
        <v>28853</v>
      </c>
      <c r="O1987" s="1" t="str">
        <f t="shared" si="214"/>
        <v>23 2012</v>
      </c>
      <c r="P1987" s="1">
        <f t="shared" si="215"/>
        <v>21</v>
      </c>
      <c r="Q1987" s="1">
        <f t="shared" ca="1" si="216"/>
        <v>4066</v>
      </c>
      <c r="S1987" s="1">
        <f t="shared" si="210"/>
        <v>88273</v>
      </c>
    </row>
    <row r="1988" spans="1:19" x14ac:dyDescent="0.2">
      <c r="A1988" s="57" t="s">
        <v>224</v>
      </c>
      <c r="B1988" s="57" t="s">
        <v>244</v>
      </c>
      <c r="C1988" s="57" t="s">
        <v>245</v>
      </c>
      <c r="D1988" s="58">
        <v>33.659999999999997</v>
      </c>
      <c r="E1988" s="59">
        <v>41068</v>
      </c>
      <c r="F1988" s="58">
        <v>88273</v>
      </c>
      <c r="G1988" s="58">
        <v>32683</v>
      </c>
      <c r="H1988" s="58">
        <v>20540</v>
      </c>
      <c r="I1988" s="58">
        <v>100319</v>
      </c>
      <c r="J1988" s="58">
        <v>0</v>
      </c>
      <c r="K1988" s="1">
        <f t="shared" si="211"/>
        <v>691376.39999999991</v>
      </c>
      <c r="L1988" s="1">
        <f t="shared" si="212"/>
        <v>20540</v>
      </c>
      <c r="M1988" s="1">
        <f>VLOOKUP(B1988,'[1]Срок Годности'!$A$2:$B$4,2,0)</f>
        <v>1500</v>
      </c>
      <c r="N1988" s="60">
        <f t="shared" si="213"/>
        <v>32683</v>
      </c>
      <c r="O1988" s="1" t="str">
        <f t="shared" si="214"/>
        <v>23 2012</v>
      </c>
      <c r="P1988" s="1">
        <f t="shared" si="215"/>
        <v>21</v>
      </c>
      <c r="Q1988" s="1">
        <f t="shared" ca="1" si="216"/>
        <v>4065</v>
      </c>
      <c r="S1988" s="1">
        <f t="shared" si="210"/>
        <v>100319</v>
      </c>
    </row>
    <row r="1989" spans="1:19" x14ac:dyDescent="0.2">
      <c r="A1989" s="57" t="s">
        <v>224</v>
      </c>
      <c r="B1989" s="57" t="s">
        <v>244</v>
      </c>
      <c r="C1989" s="57" t="s">
        <v>245</v>
      </c>
      <c r="D1989" s="58">
        <v>33.659999999999997</v>
      </c>
      <c r="E1989" s="59">
        <v>41069</v>
      </c>
      <c r="F1989" s="58">
        <v>100319</v>
      </c>
      <c r="G1989" s="58">
        <v>23160</v>
      </c>
      <c r="H1989" s="58">
        <v>23554</v>
      </c>
      <c r="I1989" s="58">
        <v>99649</v>
      </c>
      <c r="J1989" s="58">
        <v>0</v>
      </c>
      <c r="K1989" s="1">
        <f t="shared" si="211"/>
        <v>792827.6399999999</v>
      </c>
      <c r="L1989" s="1">
        <f t="shared" si="212"/>
        <v>23554</v>
      </c>
      <c r="M1989" s="1">
        <f>VLOOKUP(B1989,'[1]Срок Годности'!$A$2:$B$4,2,0)</f>
        <v>1500</v>
      </c>
      <c r="N1989" s="60">
        <f t="shared" si="213"/>
        <v>23160</v>
      </c>
      <c r="O1989" s="1" t="str">
        <f t="shared" si="214"/>
        <v>23 2012</v>
      </c>
      <c r="P1989" s="1">
        <f t="shared" si="215"/>
        <v>21</v>
      </c>
      <c r="Q1989" s="1">
        <f t="shared" ca="1" si="216"/>
        <v>4064</v>
      </c>
      <c r="S1989" s="1">
        <f t="shared" si="210"/>
        <v>99649</v>
      </c>
    </row>
    <row r="1990" spans="1:19" x14ac:dyDescent="0.2">
      <c r="A1990" s="57" t="s">
        <v>224</v>
      </c>
      <c r="B1990" s="57" t="s">
        <v>244</v>
      </c>
      <c r="C1990" s="57" t="s">
        <v>245</v>
      </c>
      <c r="D1990" s="58">
        <v>33.659999999999997</v>
      </c>
      <c r="E1990" s="59">
        <v>41070</v>
      </c>
      <c r="F1990" s="58">
        <v>99649</v>
      </c>
      <c r="G1990" s="58">
        <v>17963</v>
      </c>
      <c r="H1990" s="58">
        <v>22835</v>
      </c>
      <c r="I1990" s="58">
        <v>94627</v>
      </c>
      <c r="J1990" s="58">
        <v>0</v>
      </c>
      <c r="K1990" s="1">
        <f t="shared" si="211"/>
        <v>768626.1</v>
      </c>
      <c r="L1990" s="1">
        <f t="shared" si="212"/>
        <v>22835</v>
      </c>
      <c r="M1990" s="1">
        <f>VLOOKUP(B1990,'[1]Срок Годности'!$A$2:$B$4,2,0)</f>
        <v>1500</v>
      </c>
      <c r="N1990" s="60">
        <f t="shared" si="213"/>
        <v>0</v>
      </c>
      <c r="O1990" s="1" t="str">
        <f t="shared" si="214"/>
        <v>24 2012</v>
      </c>
      <c r="P1990" s="1">
        <f t="shared" si="215"/>
        <v>21</v>
      </c>
      <c r="Q1990" s="1">
        <f t="shared" ca="1" si="216"/>
        <v>4063</v>
      </c>
      <c r="S1990" s="1">
        <f t="shared" si="210"/>
        <v>94627</v>
      </c>
    </row>
    <row r="1991" spans="1:19" x14ac:dyDescent="0.2">
      <c r="A1991" s="57" t="s">
        <v>224</v>
      </c>
      <c r="B1991" s="57" t="s">
        <v>244</v>
      </c>
      <c r="C1991" s="57" t="s">
        <v>245</v>
      </c>
      <c r="D1991" s="58">
        <v>33.659999999999997</v>
      </c>
      <c r="E1991" s="59">
        <v>41071</v>
      </c>
      <c r="F1991" s="58">
        <v>94627</v>
      </c>
      <c r="G1991" s="58">
        <v>17400</v>
      </c>
      <c r="H1991" s="58">
        <v>22573</v>
      </c>
      <c r="I1991" s="58">
        <v>89262</v>
      </c>
      <c r="J1991" s="58">
        <v>0</v>
      </c>
      <c r="K1991" s="1">
        <f t="shared" si="211"/>
        <v>759807.17999999993</v>
      </c>
      <c r="L1991" s="1">
        <f t="shared" si="212"/>
        <v>22573</v>
      </c>
      <c r="M1991" s="1">
        <f>VLOOKUP(B1991,'[1]Срок Годности'!$A$2:$B$4,2,0)</f>
        <v>1500</v>
      </c>
      <c r="N1991" s="60">
        <f t="shared" si="213"/>
        <v>17400</v>
      </c>
      <c r="O1991" s="1" t="str">
        <f t="shared" si="214"/>
        <v>24 2012</v>
      </c>
      <c r="P1991" s="1">
        <f t="shared" si="215"/>
        <v>21</v>
      </c>
      <c r="Q1991" s="1">
        <f t="shared" ca="1" si="216"/>
        <v>4062</v>
      </c>
      <c r="S1991" s="1">
        <f t="shared" ref="S1991:S2054" si="217">I1991-J1991</f>
        <v>89262</v>
      </c>
    </row>
    <row r="1992" spans="1:19" x14ac:dyDescent="0.2">
      <c r="A1992" s="57" t="s">
        <v>224</v>
      </c>
      <c r="B1992" s="57" t="s">
        <v>244</v>
      </c>
      <c r="C1992" s="57" t="s">
        <v>245</v>
      </c>
      <c r="D1992" s="58">
        <v>33.659999999999997</v>
      </c>
      <c r="E1992" s="59">
        <v>41072</v>
      </c>
      <c r="F1992" s="58">
        <v>89262</v>
      </c>
      <c r="G1992" s="58">
        <v>21225</v>
      </c>
      <c r="H1992" s="58">
        <v>21452</v>
      </c>
      <c r="I1992" s="58">
        <v>88841</v>
      </c>
      <c r="J1992" s="58">
        <v>0</v>
      </c>
      <c r="K1992" s="1">
        <f t="shared" ref="K1992:K2055" si="218">H1992*D1992</f>
        <v>722074.32</v>
      </c>
      <c r="L1992" s="1">
        <f t="shared" ref="L1992:L2055" si="219">IF(H1992&gt;1000,H1992,"")</f>
        <v>21452</v>
      </c>
      <c r="M1992" s="1">
        <f>VLOOKUP(B1992,'[1]Срок Годности'!$A$2:$B$4,2,0)</f>
        <v>1500</v>
      </c>
      <c r="N1992" s="60">
        <f t="shared" ref="N1992:N2055" si="220">IF(WEEKDAY(E1992) = 1, 0, G1992)</f>
        <v>21225</v>
      </c>
      <c r="O1992" s="1" t="str">
        <f t="shared" ref="O1992:O2055" si="221">WEEKNUM(E1992) &amp; " " &amp; YEAR(E1992)</f>
        <v>24 2012</v>
      </c>
      <c r="P1992" s="1">
        <f t="shared" ref="P1992:P2055" si="222">LEN(C1992)</f>
        <v>21</v>
      </c>
      <c r="Q1992" s="1">
        <f t="shared" ref="Q1992:Q2055" ca="1" si="223">DATEDIF(E1992,NOW(),"D")</f>
        <v>4061</v>
      </c>
      <c r="S1992" s="1">
        <f t="shared" si="217"/>
        <v>88841</v>
      </c>
    </row>
    <row r="1993" spans="1:19" x14ac:dyDescent="0.2">
      <c r="A1993" s="57" t="s">
        <v>224</v>
      </c>
      <c r="B1993" s="57" t="s">
        <v>244</v>
      </c>
      <c r="C1993" s="57" t="s">
        <v>245</v>
      </c>
      <c r="D1993" s="58">
        <v>33.659999999999997</v>
      </c>
      <c r="E1993" s="59">
        <v>41073</v>
      </c>
      <c r="F1993" s="58">
        <v>88841</v>
      </c>
      <c r="G1993" s="58">
        <v>6602</v>
      </c>
      <c r="H1993" s="58">
        <v>23638</v>
      </c>
      <c r="I1993" s="58">
        <v>71720</v>
      </c>
      <c r="J1993" s="58">
        <v>0</v>
      </c>
      <c r="K1993" s="1">
        <f t="shared" si="218"/>
        <v>795655.08</v>
      </c>
      <c r="L1993" s="1">
        <f t="shared" si="219"/>
        <v>23638</v>
      </c>
      <c r="M1993" s="1">
        <f>VLOOKUP(B1993,'[1]Срок Годности'!$A$2:$B$4,2,0)</f>
        <v>1500</v>
      </c>
      <c r="N1993" s="60">
        <f t="shared" si="220"/>
        <v>6602</v>
      </c>
      <c r="O1993" s="1" t="str">
        <f t="shared" si="221"/>
        <v>24 2012</v>
      </c>
      <c r="P1993" s="1">
        <f t="shared" si="222"/>
        <v>21</v>
      </c>
      <c r="Q1993" s="1">
        <f t="shared" ca="1" si="223"/>
        <v>4060</v>
      </c>
      <c r="S1993" s="1">
        <f t="shared" si="217"/>
        <v>71720</v>
      </c>
    </row>
    <row r="1994" spans="1:19" x14ac:dyDescent="0.2">
      <c r="A1994" s="57" t="s">
        <v>224</v>
      </c>
      <c r="B1994" s="57" t="s">
        <v>244</v>
      </c>
      <c r="C1994" s="57" t="s">
        <v>245</v>
      </c>
      <c r="D1994" s="58">
        <v>33.659999999999997</v>
      </c>
      <c r="E1994" s="59">
        <v>41074</v>
      </c>
      <c r="F1994" s="58">
        <v>71720</v>
      </c>
      <c r="G1994" s="58">
        <v>151</v>
      </c>
      <c r="H1994" s="58">
        <v>19911</v>
      </c>
      <c r="I1994" s="58">
        <v>51788</v>
      </c>
      <c r="J1994" s="58">
        <v>0</v>
      </c>
      <c r="K1994" s="1">
        <f t="shared" si="218"/>
        <v>670204.25999999989</v>
      </c>
      <c r="L1994" s="1">
        <f t="shared" si="219"/>
        <v>19911</v>
      </c>
      <c r="M1994" s="1">
        <f>VLOOKUP(B1994,'[1]Срок Годности'!$A$2:$B$4,2,0)</f>
        <v>1500</v>
      </c>
      <c r="N1994" s="60">
        <f t="shared" si="220"/>
        <v>151</v>
      </c>
      <c r="O1994" s="1" t="str">
        <f t="shared" si="221"/>
        <v>24 2012</v>
      </c>
      <c r="P1994" s="1">
        <f t="shared" si="222"/>
        <v>21</v>
      </c>
      <c r="Q1994" s="1">
        <f t="shared" ca="1" si="223"/>
        <v>4059</v>
      </c>
      <c r="S1994" s="1">
        <f t="shared" si="217"/>
        <v>51788</v>
      </c>
    </row>
    <row r="1995" spans="1:19" x14ac:dyDescent="0.2">
      <c r="A1995" s="57" t="s">
        <v>224</v>
      </c>
      <c r="B1995" s="57" t="s">
        <v>244</v>
      </c>
      <c r="C1995" s="57" t="s">
        <v>245</v>
      </c>
      <c r="D1995" s="58">
        <v>33.659999999999997</v>
      </c>
      <c r="E1995" s="59">
        <v>41075</v>
      </c>
      <c r="F1995" s="58">
        <v>51788</v>
      </c>
      <c r="G1995" s="58">
        <v>-139</v>
      </c>
      <c r="H1995" s="58">
        <v>16434</v>
      </c>
      <c r="I1995" s="58">
        <v>35505</v>
      </c>
      <c r="J1995" s="58">
        <v>0</v>
      </c>
      <c r="K1995" s="1">
        <f t="shared" si="218"/>
        <v>553168.43999999994</v>
      </c>
      <c r="L1995" s="1">
        <f t="shared" si="219"/>
        <v>16434</v>
      </c>
      <c r="M1995" s="1">
        <f>VLOOKUP(B1995,'[1]Срок Годности'!$A$2:$B$4,2,0)</f>
        <v>1500</v>
      </c>
      <c r="N1995" s="60">
        <f t="shared" si="220"/>
        <v>-139</v>
      </c>
      <c r="O1995" s="1" t="str">
        <f t="shared" si="221"/>
        <v>24 2012</v>
      </c>
      <c r="P1995" s="1">
        <f t="shared" si="222"/>
        <v>21</v>
      </c>
      <c r="Q1995" s="1">
        <f t="shared" ca="1" si="223"/>
        <v>4058</v>
      </c>
      <c r="S1995" s="1">
        <f t="shared" si="217"/>
        <v>35505</v>
      </c>
    </row>
    <row r="1996" spans="1:19" x14ac:dyDescent="0.2">
      <c r="A1996" s="57" t="s">
        <v>224</v>
      </c>
      <c r="B1996" s="57" t="s">
        <v>244</v>
      </c>
      <c r="C1996" s="57" t="s">
        <v>245</v>
      </c>
      <c r="D1996" s="58">
        <v>33.659999999999997</v>
      </c>
      <c r="E1996" s="59">
        <v>41076</v>
      </c>
      <c r="F1996" s="58">
        <v>35505</v>
      </c>
      <c r="G1996" s="58">
        <v>55210</v>
      </c>
      <c r="H1996" s="58">
        <v>15005</v>
      </c>
      <c r="I1996" s="58">
        <v>75758</v>
      </c>
      <c r="J1996" s="58">
        <v>0</v>
      </c>
      <c r="K1996" s="1">
        <f t="shared" si="218"/>
        <v>505068.29999999993</v>
      </c>
      <c r="L1996" s="1">
        <f t="shared" si="219"/>
        <v>15005</v>
      </c>
      <c r="M1996" s="1">
        <f>VLOOKUP(B1996,'[1]Срок Годности'!$A$2:$B$4,2,0)</f>
        <v>1500</v>
      </c>
      <c r="N1996" s="60">
        <f t="shared" si="220"/>
        <v>55210</v>
      </c>
      <c r="O1996" s="1" t="str">
        <f t="shared" si="221"/>
        <v>24 2012</v>
      </c>
      <c r="P1996" s="1">
        <f t="shared" si="222"/>
        <v>21</v>
      </c>
      <c r="Q1996" s="1">
        <f t="shared" ca="1" si="223"/>
        <v>4057</v>
      </c>
      <c r="S1996" s="1">
        <f t="shared" si="217"/>
        <v>75758</v>
      </c>
    </row>
    <row r="1997" spans="1:19" x14ac:dyDescent="0.2">
      <c r="A1997" s="57" t="s">
        <v>224</v>
      </c>
      <c r="B1997" s="57" t="s">
        <v>244</v>
      </c>
      <c r="C1997" s="57" t="s">
        <v>245</v>
      </c>
      <c r="D1997" s="58">
        <v>33.659999999999997</v>
      </c>
      <c r="E1997" s="59">
        <v>41077</v>
      </c>
      <c r="F1997" s="58">
        <v>75758</v>
      </c>
      <c r="G1997" s="58">
        <v>21169</v>
      </c>
      <c r="H1997" s="58">
        <v>24896</v>
      </c>
      <c r="I1997" s="58">
        <v>71933</v>
      </c>
      <c r="J1997" s="58">
        <v>0</v>
      </c>
      <c r="K1997" s="1">
        <f t="shared" si="218"/>
        <v>837999.35999999987</v>
      </c>
      <c r="L1997" s="1">
        <f t="shared" si="219"/>
        <v>24896</v>
      </c>
      <c r="M1997" s="1">
        <f>VLOOKUP(B1997,'[1]Срок Годности'!$A$2:$B$4,2,0)</f>
        <v>1500</v>
      </c>
      <c r="N1997" s="60">
        <f t="shared" si="220"/>
        <v>0</v>
      </c>
      <c r="O1997" s="1" t="str">
        <f t="shared" si="221"/>
        <v>25 2012</v>
      </c>
      <c r="P1997" s="1">
        <f t="shared" si="222"/>
        <v>21</v>
      </c>
      <c r="Q1997" s="1">
        <f t="shared" ca="1" si="223"/>
        <v>4056</v>
      </c>
      <c r="S1997" s="1">
        <f t="shared" si="217"/>
        <v>71933</v>
      </c>
    </row>
    <row r="1998" spans="1:19" x14ac:dyDescent="0.2">
      <c r="A1998" s="57" t="s">
        <v>224</v>
      </c>
      <c r="B1998" s="57" t="s">
        <v>244</v>
      </c>
      <c r="C1998" s="57" t="s">
        <v>245</v>
      </c>
      <c r="D1998" s="58">
        <v>33.659999999999997</v>
      </c>
      <c r="E1998" s="59">
        <v>41078</v>
      </c>
      <c r="F1998" s="58">
        <v>71933</v>
      </c>
      <c r="G1998" s="58">
        <v>24594</v>
      </c>
      <c r="H1998" s="58">
        <v>26244</v>
      </c>
      <c r="I1998" s="58">
        <v>70331</v>
      </c>
      <c r="J1998" s="58">
        <v>0</v>
      </c>
      <c r="K1998" s="1">
        <f t="shared" si="218"/>
        <v>883373.03999999992</v>
      </c>
      <c r="L1998" s="1">
        <f t="shared" si="219"/>
        <v>26244</v>
      </c>
      <c r="M1998" s="1">
        <f>VLOOKUP(B1998,'[1]Срок Годности'!$A$2:$B$4,2,0)</f>
        <v>1500</v>
      </c>
      <c r="N1998" s="60">
        <f t="shared" si="220"/>
        <v>24594</v>
      </c>
      <c r="O1998" s="1" t="str">
        <f t="shared" si="221"/>
        <v>25 2012</v>
      </c>
      <c r="P1998" s="1">
        <f t="shared" si="222"/>
        <v>21</v>
      </c>
      <c r="Q1998" s="1">
        <f t="shared" ca="1" si="223"/>
        <v>4055</v>
      </c>
      <c r="S1998" s="1">
        <f t="shared" si="217"/>
        <v>70331</v>
      </c>
    </row>
    <row r="1999" spans="1:19" x14ac:dyDescent="0.2">
      <c r="A1999" s="57" t="s">
        <v>224</v>
      </c>
      <c r="B1999" s="57" t="s">
        <v>244</v>
      </c>
      <c r="C1999" s="57" t="s">
        <v>245</v>
      </c>
      <c r="D1999" s="58">
        <v>33.659999999999997</v>
      </c>
      <c r="E1999" s="59">
        <v>41079</v>
      </c>
      <c r="F1999" s="58">
        <v>70331</v>
      </c>
      <c r="G1999" s="58">
        <v>40418</v>
      </c>
      <c r="H1999" s="58">
        <v>22221</v>
      </c>
      <c r="I1999" s="58">
        <v>88523</v>
      </c>
      <c r="J1999" s="58">
        <v>0</v>
      </c>
      <c r="K1999" s="1">
        <f t="shared" si="218"/>
        <v>747958.85999999987</v>
      </c>
      <c r="L1999" s="1">
        <f t="shared" si="219"/>
        <v>22221</v>
      </c>
      <c r="M1999" s="1">
        <f>VLOOKUP(B1999,'[1]Срок Годности'!$A$2:$B$4,2,0)</f>
        <v>1500</v>
      </c>
      <c r="N1999" s="60">
        <f t="shared" si="220"/>
        <v>40418</v>
      </c>
      <c r="O1999" s="1" t="str">
        <f t="shared" si="221"/>
        <v>25 2012</v>
      </c>
      <c r="P1999" s="1">
        <f t="shared" si="222"/>
        <v>21</v>
      </c>
      <c r="Q1999" s="1">
        <f t="shared" ca="1" si="223"/>
        <v>4054</v>
      </c>
      <c r="S1999" s="1">
        <f t="shared" si="217"/>
        <v>88523</v>
      </c>
    </row>
    <row r="2000" spans="1:19" x14ac:dyDescent="0.2">
      <c r="A2000" s="57" t="s">
        <v>224</v>
      </c>
      <c r="B2000" s="57" t="s">
        <v>244</v>
      </c>
      <c r="C2000" s="57" t="s">
        <v>245</v>
      </c>
      <c r="D2000" s="58">
        <v>33.659999999999997</v>
      </c>
      <c r="E2000" s="59">
        <v>41080</v>
      </c>
      <c r="F2000" s="58">
        <v>88523</v>
      </c>
      <c r="G2000" s="58">
        <v>28667</v>
      </c>
      <c r="H2000" s="58">
        <v>19663</v>
      </c>
      <c r="I2000" s="58">
        <v>97369</v>
      </c>
      <c r="J2000" s="58">
        <v>0</v>
      </c>
      <c r="K2000" s="1">
        <f t="shared" si="218"/>
        <v>661856.57999999996</v>
      </c>
      <c r="L2000" s="1">
        <f t="shared" si="219"/>
        <v>19663</v>
      </c>
      <c r="M2000" s="1">
        <f>VLOOKUP(B2000,'[1]Срок Годности'!$A$2:$B$4,2,0)</f>
        <v>1500</v>
      </c>
      <c r="N2000" s="60">
        <f t="shared" si="220"/>
        <v>28667</v>
      </c>
      <c r="O2000" s="1" t="str">
        <f t="shared" si="221"/>
        <v>25 2012</v>
      </c>
      <c r="P2000" s="1">
        <f t="shared" si="222"/>
        <v>21</v>
      </c>
      <c r="Q2000" s="1">
        <f t="shared" ca="1" si="223"/>
        <v>4053</v>
      </c>
      <c r="S2000" s="1">
        <f t="shared" si="217"/>
        <v>97369</v>
      </c>
    </row>
    <row r="2001" spans="1:19" x14ac:dyDescent="0.2">
      <c r="A2001" s="57" t="s">
        <v>224</v>
      </c>
      <c r="B2001" s="57" t="s">
        <v>244</v>
      </c>
      <c r="C2001" s="57" t="s">
        <v>245</v>
      </c>
      <c r="D2001" s="58">
        <v>33.659999999999997</v>
      </c>
      <c r="E2001" s="59">
        <v>41081</v>
      </c>
      <c r="F2001" s="58">
        <v>97369</v>
      </c>
      <c r="G2001" s="58">
        <v>30500</v>
      </c>
      <c r="H2001" s="58">
        <v>19158</v>
      </c>
      <c r="I2001" s="58">
        <v>108536</v>
      </c>
      <c r="J2001" s="58">
        <v>0</v>
      </c>
      <c r="K2001" s="1">
        <f t="shared" si="218"/>
        <v>644858.27999999991</v>
      </c>
      <c r="L2001" s="1">
        <f t="shared" si="219"/>
        <v>19158</v>
      </c>
      <c r="M2001" s="1">
        <f>VLOOKUP(B2001,'[1]Срок Годности'!$A$2:$B$4,2,0)</f>
        <v>1500</v>
      </c>
      <c r="N2001" s="60">
        <f t="shared" si="220"/>
        <v>30500</v>
      </c>
      <c r="O2001" s="1" t="str">
        <f t="shared" si="221"/>
        <v>25 2012</v>
      </c>
      <c r="P2001" s="1">
        <f t="shared" si="222"/>
        <v>21</v>
      </c>
      <c r="Q2001" s="1">
        <f t="shared" ca="1" si="223"/>
        <v>4052</v>
      </c>
      <c r="S2001" s="1">
        <f t="shared" si="217"/>
        <v>108536</v>
      </c>
    </row>
    <row r="2002" spans="1:19" x14ac:dyDescent="0.2">
      <c r="A2002" s="57" t="s">
        <v>224</v>
      </c>
      <c r="B2002" s="57" t="s">
        <v>244</v>
      </c>
      <c r="C2002" s="57" t="s">
        <v>245</v>
      </c>
      <c r="D2002" s="58">
        <v>33.659999999999997</v>
      </c>
      <c r="E2002" s="59">
        <v>41082</v>
      </c>
      <c r="F2002" s="58">
        <v>108536</v>
      </c>
      <c r="G2002" s="58">
        <v>280</v>
      </c>
      <c r="H2002" s="58">
        <v>17378</v>
      </c>
      <c r="I2002" s="58">
        <v>91381</v>
      </c>
      <c r="J2002" s="58">
        <v>0</v>
      </c>
      <c r="K2002" s="1">
        <f t="shared" si="218"/>
        <v>584943.48</v>
      </c>
      <c r="L2002" s="1">
        <f t="shared" si="219"/>
        <v>17378</v>
      </c>
      <c r="M2002" s="1">
        <f>VLOOKUP(B2002,'[1]Срок Годности'!$A$2:$B$4,2,0)</f>
        <v>1500</v>
      </c>
      <c r="N2002" s="60">
        <f t="shared" si="220"/>
        <v>280</v>
      </c>
      <c r="O2002" s="1" t="str">
        <f t="shared" si="221"/>
        <v>25 2012</v>
      </c>
      <c r="P2002" s="1">
        <f t="shared" si="222"/>
        <v>21</v>
      </c>
      <c r="Q2002" s="1">
        <f t="shared" ca="1" si="223"/>
        <v>4051</v>
      </c>
      <c r="S2002" s="1">
        <f t="shared" si="217"/>
        <v>91381</v>
      </c>
    </row>
    <row r="2003" spans="1:19" x14ac:dyDescent="0.2">
      <c r="A2003" s="57" t="s">
        <v>224</v>
      </c>
      <c r="B2003" s="57" t="s">
        <v>244</v>
      </c>
      <c r="C2003" s="57" t="s">
        <v>245</v>
      </c>
      <c r="D2003" s="58">
        <v>33.659999999999997</v>
      </c>
      <c r="E2003" s="59">
        <v>41083</v>
      </c>
      <c r="F2003" s="58">
        <v>91381</v>
      </c>
      <c r="G2003" s="58">
        <v>201</v>
      </c>
      <c r="H2003" s="58">
        <v>18407</v>
      </c>
      <c r="I2003" s="58">
        <v>73156</v>
      </c>
      <c r="J2003" s="58">
        <v>0</v>
      </c>
      <c r="K2003" s="1">
        <f t="shared" si="218"/>
        <v>619579.62</v>
      </c>
      <c r="L2003" s="1">
        <f t="shared" si="219"/>
        <v>18407</v>
      </c>
      <c r="M2003" s="1">
        <f>VLOOKUP(B2003,'[1]Срок Годности'!$A$2:$B$4,2,0)</f>
        <v>1500</v>
      </c>
      <c r="N2003" s="60">
        <f t="shared" si="220"/>
        <v>201</v>
      </c>
      <c r="O2003" s="1" t="str">
        <f t="shared" si="221"/>
        <v>25 2012</v>
      </c>
      <c r="P2003" s="1">
        <f t="shared" si="222"/>
        <v>21</v>
      </c>
      <c r="Q2003" s="1">
        <f t="shared" ca="1" si="223"/>
        <v>4050</v>
      </c>
      <c r="S2003" s="1">
        <f t="shared" si="217"/>
        <v>73156</v>
      </c>
    </row>
    <row r="2004" spans="1:19" x14ac:dyDescent="0.2">
      <c r="A2004" s="57" t="s">
        <v>224</v>
      </c>
      <c r="B2004" s="57" t="s">
        <v>244</v>
      </c>
      <c r="C2004" s="57" t="s">
        <v>245</v>
      </c>
      <c r="D2004" s="58">
        <v>33.659999999999997</v>
      </c>
      <c r="E2004" s="59">
        <v>41084</v>
      </c>
      <c r="F2004" s="58">
        <v>73156</v>
      </c>
      <c r="G2004" s="58">
        <v>13941</v>
      </c>
      <c r="H2004" s="58">
        <v>18326</v>
      </c>
      <c r="I2004" s="58">
        <v>68663</v>
      </c>
      <c r="J2004" s="58">
        <v>0</v>
      </c>
      <c r="K2004" s="1">
        <f t="shared" si="218"/>
        <v>616853.15999999992</v>
      </c>
      <c r="L2004" s="1">
        <f t="shared" si="219"/>
        <v>18326</v>
      </c>
      <c r="M2004" s="1">
        <f>VLOOKUP(B2004,'[1]Срок Годности'!$A$2:$B$4,2,0)</f>
        <v>1500</v>
      </c>
      <c r="N2004" s="60">
        <f t="shared" si="220"/>
        <v>0</v>
      </c>
      <c r="O2004" s="1" t="str">
        <f t="shared" si="221"/>
        <v>26 2012</v>
      </c>
      <c r="P2004" s="1">
        <f t="shared" si="222"/>
        <v>21</v>
      </c>
      <c r="Q2004" s="1">
        <f t="shared" ca="1" si="223"/>
        <v>4049</v>
      </c>
      <c r="S2004" s="1">
        <f t="shared" si="217"/>
        <v>68663</v>
      </c>
    </row>
    <row r="2005" spans="1:19" x14ac:dyDescent="0.2">
      <c r="A2005" s="57" t="s">
        <v>224</v>
      </c>
      <c r="B2005" s="57" t="s">
        <v>244</v>
      </c>
      <c r="C2005" s="57" t="s">
        <v>245</v>
      </c>
      <c r="D2005" s="58">
        <v>33.659999999999997</v>
      </c>
      <c r="E2005" s="59">
        <v>41085</v>
      </c>
      <c r="F2005" s="58">
        <v>68663</v>
      </c>
      <c r="G2005" s="58">
        <v>-2225</v>
      </c>
      <c r="H2005" s="58">
        <v>20804</v>
      </c>
      <c r="I2005" s="58">
        <v>45525</v>
      </c>
      <c r="J2005" s="58">
        <v>0</v>
      </c>
      <c r="K2005" s="1">
        <f t="shared" si="218"/>
        <v>700262.6399999999</v>
      </c>
      <c r="L2005" s="1">
        <f t="shared" si="219"/>
        <v>20804</v>
      </c>
      <c r="M2005" s="1">
        <f>VLOOKUP(B2005,'[1]Срок Годности'!$A$2:$B$4,2,0)</f>
        <v>1500</v>
      </c>
      <c r="N2005" s="60">
        <f t="shared" si="220"/>
        <v>-2225</v>
      </c>
      <c r="O2005" s="1" t="str">
        <f t="shared" si="221"/>
        <v>26 2012</v>
      </c>
      <c r="P2005" s="1">
        <f t="shared" si="222"/>
        <v>21</v>
      </c>
      <c r="Q2005" s="1">
        <f t="shared" ca="1" si="223"/>
        <v>4048</v>
      </c>
      <c r="S2005" s="1">
        <f t="shared" si="217"/>
        <v>45525</v>
      </c>
    </row>
    <row r="2006" spans="1:19" x14ac:dyDescent="0.2">
      <c r="A2006" s="57" t="s">
        <v>224</v>
      </c>
      <c r="B2006" s="57" t="s">
        <v>244</v>
      </c>
      <c r="C2006" s="57" t="s">
        <v>245</v>
      </c>
      <c r="D2006" s="58">
        <v>33.659999999999997</v>
      </c>
      <c r="E2006" s="59">
        <v>41086</v>
      </c>
      <c r="F2006" s="58">
        <v>45525</v>
      </c>
      <c r="G2006" s="58">
        <v>-311</v>
      </c>
      <c r="H2006" s="58">
        <v>15206</v>
      </c>
      <c r="I2006" s="58">
        <v>29901</v>
      </c>
      <c r="J2006" s="58">
        <v>0</v>
      </c>
      <c r="K2006" s="1">
        <f t="shared" si="218"/>
        <v>511833.95999999996</v>
      </c>
      <c r="L2006" s="1">
        <f t="shared" si="219"/>
        <v>15206</v>
      </c>
      <c r="M2006" s="1">
        <f>VLOOKUP(B2006,'[1]Срок Годности'!$A$2:$B$4,2,0)</f>
        <v>1500</v>
      </c>
      <c r="N2006" s="60">
        <f t="shared" si="220"/>
        <v>-311</v>
      </c>
      <c r="O2006" s="1" t="str">
        <f t="shared" si="221"/>
        <v>26 2012</v>
      </c>
      <c r="P2006" s="1">
        <f t="shared" si="222"/>
        <v>21</v>
      </c>
      <c r="Q2006" s="1">
        <f t="shared" ca="1" si="223"/>
        <v>4047</v>
      </c>
      <c r="S2006" s="1">
        <f t="shared" si="217"/>
        <v>29901</v>
      </c>
    </row>
    <row r="2007" spans="1:19" x14ac:dyDescent="0.2">
      <c r="A2007" s="57" t="s">
        <v>224</v>
      </c>
      <c r="B2007" s="57" t="s">
        <v>244</v>
      </c>
      <c r="C2007" s="57" t="s">
        <v>245</v>
      </c>
      <c r="D2007" s="58">
        <v>33.659999999999997</v>
      </c>
      <c r="E2007" s="59">
        <v>41087</v>
      </c>
      <c r="F2007" s="58">
        <v>29901</v>
      </c>
      <c r="G2007" s="58">
        <v>29823</v>
      </c>
      <c r="H2007" s="58">
        <v>13180</v>
      </c>
      <c r="I2007" s="58">
        <v>46082</v>
      </c>
      <c r="J2007" s="58">
        <v>0</v>
      </c>
      <c r="K2007" s="1">
        <f t="shared" si="218"/>
        <v>443638.79999999993</v>
      </c>
      <c r="L2007" s="1">
        <f t="shared" si="219"/>
        <v>13180</v>
      </c>
      <c r="M2007" s="1">
        <f>VLOOKUP(B2007,'[1]Срок Годности'!$A$2:$B$4,2,0)</f>
        <v>1500</v>
      </c>
      <c r="N2007" s="60">
        <f t="shared" si="220"/>
        <v>29823</v>
      </c>
      <c r="O2007" s="1" t="str">
        <f t="shared" si="221"/>
        <v>26 2012</v>
      </c>
      <c r="P2007" s="1">
        <f t="shared" si="222"/>
        <v>21</v>
      </c>
      <c r="Q2007" s="1">
        <f t="shared" ca="1" si="223"/>
        <v>4046</v>
      </c>
      <c r="S2007" s="1">
        <f t="shared" si="217"/>
        <v>46082</v>
      </c>
    </row>
    <row r="2008" spans="1:19" x14ac:dyDescent="0.2">
      <c r="A2008" s="57" t="s">
        <v>224</v>
      </c>
      <c r="B2008" s="57" t="s">
        <v>244</v>
      </c>
      <c r="C2008" s="57" t="s">
        <v>245</v>
      </c>
      <c r="D2008" s="58">
        <v>33.659999999999997</v>
      </c>
      <c r="E2008" s="59">
        <v>41088</v>
      </c>
      <c r="F2008" s="58">
        <v>46082</v>
      </c>
      <c r="G2008" s="58">
        <v>15976</v>
      </c>
      <c r="H2008" s="58">
        <v>15896</v>
      </c>
      <c r="I2008" s="58">
        <v>46064</v>
      </c>
      <c r="J2008" s="58">
        <v>0</v>
      </c>
      <c r="K2008" s="1">
        <f t="shared" si="218"/>
        <v>535059.36</v>
      </c>
      <c r="L2008" s="1">
        <f t="shared" si="219"/>
        <v>15896</v>
      </c>
      <c r="M2008" s="1">
        <f>VLOOKUP(B2008,'[1]Срок Годности'!$A$2:$B$4,2,0)</f>
        <v>1500</v>
      </c>
      <c r="N2008" s="60">
        <f t="shared" si="220"/>
        <v>15976</v>
      </c>
      <c r="O2008" s="1" t="str">
        <f t="shared" si="221"/>
        <v>26 2012</v>
      </c>
      <c r="P2008" s="1">
        <f t="shared" si="222"/>
        <v>21</v>
      </c>
      <c r="Q2008" s="1">
        <f t="shared" ca="1" si="223"/>
        <v>4045</v>
      </c>
      <c r="S2008" s="1">
        <f t="shared" si="217"/>
        <v>46064</v>
      </c>
    </row>
    <row r="2009" spans="1:19" x14ac:dyDescent="0.2">
      <c r="A2009" s="57" t="s">
        <v>224</v>
      </c>
      <c r="B2009" s="57" t="s">
        <v>244</v>
      </c>
      <c r="C2009" s="57" t="s">
        <v>245</v>
      </c>
      <c r="D2009" s="58">
        <v>33.659999999999997</v>
      </c>
      <c r="E2009" s="59">
        <v>41089</v>
      </c>
      <c r="F2009" s="58">
        <v>46064</v>
      </c>
      <c r="G2009" s="58">
        <v>63865</v>
      </c>
      <c r="H2009" s="58">
        <v>19511</v>
      </c>
      <c r="I2009" s="58">
        <v>90566</v>
      </c>
      <c r="J2009" s="58">
        <v>0</v>
      </c>
      <c r="K2009" s="1">
        <f t="shared" si="218"/>
        <v>656740.25999999989</v>
      </c>
      <c r="L2009" s="1">
        <f t="shared" si="219"/>
        <v>19511</v>
      </c>
      <c r="M2009" s="1">
        <f>VLOOKUP(B2009,'[1]Срок Годности'!$A$2:$B$4,2,0)</f>
        <v>1500</v>
      </c>
      <c r="N2009" s="60">
        <f t="shared" si="220"/>
        <v>63865</v>
      </c>
      <c r="O2009" s="1" t="str">
        <f t="shared" si="221"/>
        <v>26 2012</v>
      </c>
      <c r="P2009" s="1">
        <f t="shared" si="222"/>
        <v>21</v>
      </c>
      <c r="Q2009" s="1">
        <f t="shared" ca="1" si="223"/>
        <v>4044</v>
      </c>
      <c r="S2009" s="1">
        <f t="shared" si="217"/>
        <v>90566</v>
      </c>
    </row>
    <row r="2010" spans="1:19" x14ac:dyDescent="0.2">
      <c r="A2010" s="57" t="s">
        <v>224</v>
      </c>
      <c r="B2010" s="57" t="s">
        <v>244</v>
      </c>
      <c r="C2010" s="57" t="s">
        <v>245</v>
      </c>
      <c r="D2010" s="58">
        <v>33.659999999999997</v>
      </c>
      <c r="E2010" s="59">
        <v>41090</v>
      </c>
      <c r="F2010" s="58">
        <v>90566</v>
      </c>
      <c r="G2010" s="58">
        <v>38618</v>
      </c>
      <c r="H2010" s="58">
        <v>20497</v>
      </c>
      <c r="I2010" s="58">
        <v>108557</v>
      </c>
      <c r="J2010" s="58">
        <v>0</v>
      </c>
      <c r="K2010" s="1">
        <f t="shared" si="218"/>
        <v>689929.0199999999</v>
      </c>
      <c r="L2010" s="1">
        <f t="shared" si="219"/>
        <v>20497</v>
      </c>
      <c r="M2010" s="1">
        <f>VLOOKUP(B2010,'[1]Срок Годности'!$A$2:$B$4,2,0)</f>
        <v>1500</v>
      </c>
      <c r="N2010" s="60">
        <f t="shared" si="220"/>
        <v>38618</v>
      </c>
      <c r="O2010" s="1" t="str">
        <f t="shared" si="221"/>
        <v>26 2012</v>
      </c>
      <c r="P2010" s="1">
        <f t="shared" si="222"/>
        <v>21</v>
      </c>
      <c r="Q2010" s="1">
        <f t="shared" ca="1" si="223"/>
        <v>4043</v>
      </c>
      <c r="S2010" s="1">
        <f t="shared" si="217"/>
        <v>108557</v>
      </c>
    </row>
    <row r="2011" spans="1:19" x14ac:dyDescent="0.2">
      <c r="A2011" s="57" t="s">
        <v>224</v>
      </c>
      <c r="B2011" s="57" t="s">
        <v>244</v>
      </c>
      <c r="C2011" s="57" t="s">
        <v>245</v>
      </c>
      <c r="D2011" s="58">
        <v>33.659999999999997</v>
      </c>
      <c r="E2011" s="59">
        <v>41091</v>
      </c>
      <c r="F2011" s="58">
        <v>108557</v>
      </c>
      <c r="G2011" s="58">
        <v>17268</v>
      </c>
      <c r="H2011" s="58">
        <v>24509</v>
      </c>
      <c r="I2011" s="58">
        <v>101128</v>
      </c>
      <c r="J2011" s="58">
        <v>0</v>
      </c>
      <c r="K2011" s="1">
        <f t="shared" si="218"/>
        <v>824972.94</v>
      </c>
      <c r="L2011" s="1">
        <f t="shared" si="219"/>
        <v>24509</v>
      </c>
      <c r="M2011" s="1">
        <f>VLOOKUP(B2011,'[1]Срок Годности'!$A$2:$B$4,2,0)</f>
        <v>1500</v>
      </c>
      <c r="N2011" s="60">
        <f t="shared" si="220"/>
        <v>0</v>
      </c>
      <c r="O2011" s="1" t="str">
        <f t="shared" si="221"/>
        <v>27 2012</v>
      </c>
      <c r="P2011" s="1">
        <f t="shared" si="222"/>
        <v>21</v>
      </c>
      <c r="Q2011" s="1">
        <f t="shared" ca="1" si="223"/>
        <v>4042</v>
      </c>
      <c r="S2011" s="1">
        <f t="shared" si="217"/>
        <v>101128</v>
      </c>
    </row>
    <row r="2012" spans="1:19" x14ac:dyDescent="0.2">
      <c r="A2012" s="57" t="s">
        <v>224</v>
      </c>
      <c r="B2012" s="57" t="s">
        <v>244</v>
      </c>
      <c r="C2012" s="57" t="s">
        <v>245</v>
      </c>
      <c r="D2012" s="58">
        <v>33.659999999999997</v>
      </c>
      <c r="E2012" s="59">
        <v>41092</v>
      </c>
      <c r="F2012" s="58">
        <v>101128</v>
      </c>
      <c r="G2012" s="58">
        <v>28850</v>
      </c>
      <c r="H2012" s="58">
        <v>26501</v>
      </c>
      <c r="I2012" s="58">
        <v>103180</v>
      </c>
      <c r="J2012" s="58">
        <v>0</v>
      </c>
      <c r="K2012" s="1">
        <f t="shared" si="218"/>
        <v>892023.65999999992</v>
      </c>
      <c r="L2012" s="1">
        <f t="shared" si="219"/>
        <v>26501</v>
      </c>
      <c r="M2012" s="1">
        <f>VLOOKUP(B2012,'[1]Срок Годности'!$A$2:$B$4,2,0)</f>
        <v>1500</v>
      </c>
      <c r="N2012" s="60">
        <f t="shared" si="220"/>
        <v>28850</v>
      </c>
      <c r="O2012" s="1" t="str">
        <f t="shared" si="221"/>
        <v>27 2012</v>
      </c>
      <c r="P2012" s="1">
        <f t="shared" si="222"/>
        <v>21</v>
      </c>
      <c r="Q2012" s="1">
        <f t="shared" ca="1" si="223"/>
        <v>4041</v>
      </c>
      <c r="S2012" s="1">
        <f t="shared" si="217"/>
        <v>103180</v>
      </c>
    </row>
    <row r="2013" spans="1:19" x14ac:dyDescent="0.2">
      <c r="A2013" s="57" t="s">
        <v>224</v>
      </c>
      <c r="B2013" s="57" t="s">
        <v>244</v>
      </c>
      <c r="C2013" s="57" t="s">
        <v>245</v>
      </c>
      <c r="D2013" s="58">
        <v>33.659999999999997</v>
      </c>
      <c r="E2013" s="59">
        <v>41093</v>
      </c>
      <c r="F2013" s="58">
        <v>103180</v>
      </c>
      <c r="G2013" s="58">
        <v>35045</v>
      </c>
      <c r="H2013" s="58">
        <v>24381</v>
      </c>
      <c r="I2013" s="58">
        <v>113554</v>
      </c>
      <c r="J2013" s="58">
        <v>0</v>
      </c>
      <c r="K2013" s="1">
        <f t="shared" si="218"/>
        <v>820664.46</v>
      </c>
      <c r="L2013" s="1">
        <f t="shared" si="219"/>
        <v>24381</v>
      </c>
      <c r="M2013" s="1">
        <f>VLOOKUP(B2013,'[1]Срок Годности'!$A$2:$B$4,2,0)</f>
        <v>1500</v>
      </c>
      <c r="N2013" s="60">
        <f t="shared" si="220"/>
        <v>35045</v>
      </c>
      <c r="O2013" s="1" t="str">
        <f t="shared" si="221"/>
        <v>27 2012</v>
      </c>
      <c r="P2013" s="1">
        <f t="shared" si="222"/>
        <v>21</v>
      </c>
      <c r="Q2013" s="1">
        <f t="shared" ca="1" si="223"/>
        <v>4040</v>
      </c>
      <c r="S2013" s="1">
        <f t="shared" si="217"/>
        <v>113554</v>
      </c>
    </row>
    <row r="2014" spans="1:19" x14ac:dyDescent="0.2">
      <c r="A2014" s="57" t="s">
        <v>224</v>
      </c>
      <c r="B2014" s="57" t="s">
        <v>244</v>
      </c>
      <c r="C2014" s="57" t="s">
        <v>245</v>
      </c>
      <c r="D2014" s="58">
        <v>33.659999999999997</v>
      </c>
      <c r="E2014" s="59">
        <v>41094</v>
      </c>
      <c r="F2014" s="58">
        <v>113554</v>
      </c>
      <c r="G2014" s="58">
        <v>3247</v>
      </c>
      <c r="H2014" s="58">
        <v>22377</v>
      </c>
      <c r="I2014" s="58">
        <v>94249</v>
      </c>
      <c r="J2014" s="58">
        <v>0</v>
      </c>
      <c r="K2014" s="1">
        <f t="shared" si="218"/>
        <v>753209.82</v>
      </c>
      <c r="L2014" s="1">
        <f t="shared" si="219"/>
        <v>22377</v>
      </c>
      <c r="M2014" s="1">
        <f>VLOOKUP(B2014,'[1]Срок Годности'!$A$2:$B$4,2,0)</f>
        <v>1500</v>
      </c>
      <c r="N2014" s="60">
        <f t="shared" si="220"/>
        <v>3247</v>
      </c>
      <c r="O2014" s="1" t="str">
        <f t="shared" si="221"/>
        <v>27 2012</v>
      </c>
      <c r="P2014" s="1">
        <f t="shared" si="222"/>
        <v>21</v>
      </c>
      <c r="Q2014" s="1">
        <f t="shared" ca="1" si="223"/>
        <v>4039</v>
      </c>
      <c r="S2014" s="1">
        <f t="shared" si="217"/>
        <v>94249</v>
      </c>
    </row>
    <row r="2015" spans="1:19" x14ac:dyDescent="0.2">
      <c r="A2015" s="57" t="s">
        <v>224</v>
      </c>
      <c r="B2015" s="57" t="s">
        <v>244</v>
      </c>
      <c r="C2015" s="57" t="s">
        <v>245</v>
      </c>
      <c r="D2015" s="58">
        <v>33.659999999999997</v>
      </c>
      <c r="E2015" s="59">
        <v>41095</v>
      </c>
      <c r="F2015" s="58">
        <v>94249</v>
      </c>
      <c r="G2015" s="58">
        <v>39203</v>
      </c>
      <c r="H2015" s="58">
        <v>22954</v>
      </c>
      <c r="I2015" s="58">
        <v>110080</v>
      </c>
      <c r="J2015" s="58">
        <v>0</v>
      </c>
      <c r="K2015" s="1">
        <f t="shared" si="218"/>
        <v>772631.6399999999</v>
      </c>
      <c r="L2015" s="1">
        <f t="shared" si="219"/>
        <v>22954</v>
      </c>
      <c r="M2015" s="1">
        <f>VLOOKUP(B2015,'[1]Срок Годности'!$A$2:$B$4,2,0)</f>
        <v>1500</v>
      </c>
      <c r="N2015" s="60">
        <f t="shared" si="220"/>
        <v>39203</v>
      </c>
      <c r="O2015" s="1" t="str">
        <f t="shared" si="221"/>
        <v>27 2012</v>
      </c>
      <c r="P2015" s="1">
        <f t="shared" si="222"/>
        <v>21</v>
      </c>
      <c r="Q2015" s="1">
        <f t="shared" ca="1" si="223"/>
        <v>4038</v>
      </c>
      <c r="S2015" s="1">
        <f t="shared" si="217"/>
        <v>110080</v>
      </c>
    </row>
    <row r="2016" spans="1:19" x14ac:dyDescent="0.2">
      <c r="A2016" s="57" t="s">
        <v>224</v>
      </c>
      <c r="B2016" s="57" t="s">
        <v>244</v>
      </c>
      <c r="C2016" s="57" t="s">
        <v>245</v>
      </c>
      <c r="D2016" s="58">
        <v>33.659999999999997</v>
      </c>
      <c r="E2016" s="59">
        <v>41096</v>
      </c>
      <c r="F2016" s="58">
        <v>110080</v>
      </c>
      <c r="G2016" s="58">
        <v>45663</v>
      </c>
      <c r="H2016" s="58">
        <v>23365</v>
      </c>
      <c r="I2016" s="58">
        <v>131984</v>
      </c>
      <c r="J2016" s="58">
        <v>0</v>
      </c>
      <c r="K2016" s="1">
        <f t="shared" si="218"/>
        <v>786465.89999999991</v>
      </c>
      <c r="L2016" s="1">
        <f t="shared" si="219"/>
        <v>23365</v>
      </c>
      <c r="M2016" s="1">
        <f>VLOOKUP(B2016,'[1]Срок Годности'!$A$2:$B$4,2,0)</f>
        <v>1500</v>
      </c>
      <c r="N2016" s="60">
        <f t="shared" si="220"/>
        <v>45663</v>
      </c>
      <c r="O2016" s="1" t="str">
        <f t="shared" si="221"/>
        <v>27 2012</v>
      </c>
      <c r="P2016" s="1">
        <f t="shared" si="222"/>
        <v>21</v>
      </c>
      <c r="Q2016" s="1">
        <f t="shared" ca="1" si="223"/>
        <v>4037</v>
      </c>
      <c r="S2016" s="1">
        <f t="shared" si="217"/>
        <v>131984</v>
      </c>
    </row>
    <row r="2017" spans="1:19" x14ac:dyDescent="0.2">
      <c r="A2017" s="57" t="s">
        <v>224</v>
      </c>
      <c r="B2017" s="57" t="s">
        <v>244</v>
      </c>
      <c r="C2017" s="57" t="s">
        <v>245</v>
      </c>
      <c r="D2017" s="58">
        <v>33.659999999999997</v>
      </c>
      <c r="E2017" s="59">
        <v>41097</v>
      </c>
      <c r="F2017" s="58">
        <v>131984</v>
      </c>
      <c r="G2017" s="58">
        <v>32103</v>
      </c>
      <c r="H2017" s="58">
        <v>26441</v>
      </c>
      <c r="I2017" s="58">
        <v>137236</v>
      </c>
      <c r="J2017" s="58">
        <v>0</v>
      </c>
      <c r="K2017" s="1">
        <f t="shared" si="218"/>
        <v>890004.05999999994</v>
      </c>
      <c r="L2017" s="1">
        <f t="shared" si="219"/>
        <v>26441</v>
      </c>
      <c r="M2017" s="1">
        <f>VLOOKUP(B2017,'[1]Срок Годности'!$A$2:$B$4,2,0)</f>
        <v>1500</v>
      </c>
      <c r="N2017" s="60">
        <f t="shared" si="220"/>
        <v>32103</v>
      </c>
      <c r="O2017" s="1" t="str">
        <f t="shared" si="221"/>
        <v>27 2012</v>
      </c>
      <c r="P2017" s="1">
        <f t="shared" si="222"/>
        <v>21</v>
      </c>
      <c r="Q2017" s="1">
        <f t="shared" ca="1" si="223"/>
        <v>4036</v>
      </c>
      <c r="S2017" s="1">
        <f t="shared" si="217"/>
        <v>137236</v>
      </c>
    </row>
    <row r="2018" spans="1:19" x14ac:dyDescent="0.2">
      <c r="A2018" s="57" t="s">
        <v>224</v>
      </c>
      <c r="B2018" s="57" t="s">
        <v>244</v>
      </c>
      <c r="C2018" s="57" t="s">
        <v>245</v>
      </c>
      <c r="D2018" s="58">
        <v>33.659999999999997</v>
      </c>
      <c r="E2018" s="59">
        <v>41098</v>
      </c>
      <c r="F2018" s="58">
        <v>137236</v>
      </c>
      <c r="G2018" s="58">
        <v>27730</v>
      </c>
      <c r="H2018" s="58">
        <v>27266</v>
      </c>
      <c r="I2018" s="58">
        <v>137381</v>
      </c>
      <c r="J2018" s="58">
        <v>0</v>
      </c>
      <c r="K2018" s="1">
        <f t="shared" si="218"/>
        <v>917773.55999999994</v>
      </c>
      <c r="L2018" s="1">
        <f t="shared" si="219"/>
        <v>27266</v>
      </c>
      <c r="M2018" s="1">
        <f>VLOOKUP(B2018,'[1]Срок Годности'!$A$2:$B$4,2,0)</f>
        <v>1500</v>
      </c>
      <c r="N2018" s="60">
        <f t="shared" si="220"/>
        <v>0</v>
      </c>
      <c r="O2018" s="1" t="str">
        <f t="shared" si="221"/>
        <v>28 2012</v>
      </c>
      <c r="P2018" s="1">
        <f t="shared" si="222"/>
        <v>21</v>
      </c>
      <c r="Q2018" s="1">
        <f t="shared" ca="1" si="223"/>
        <v>4035</v>
      </c>
      <c r="S2018" s="1">
        <f t="shared" si="217"/>
        <v>137381</v>
      </c>
    </row>
    <row r="2019" spans="1:19" x14ac:dyDescent="0.2">
      <c r="A2019" s="57" t="s">
        <v>224</v>
      </c>
      <c r="B2019" s="57" t="s">
        <v>244</v>
      </c>
      <c r="C2019" s="57" t="s">
        <v>245</v>
      </c>
      <c r="D2019" s="58">
        <v>33.659999999999997</v>
      </c>
      <c r="E2019" s="59">
        <v>41099</v>
      </c>
      <c r="F2019" s="58">
        <v>137381</v>
      </c>
      <c r="G2019" s="58">
        <v>33840</v>
      </c>
      <c r="H2019" s="58">
        <v>27814</v>
      </c>
      <c r="I2019" s="58">
        <v>142990</v>
      </c>
      <c r="J2019" s="58">
        <v>0</v>
      </c>
      <c r="K2019" s="1">
        <f t="shared" si="218"/>
        <v>936219.23999999987</v>
      </c>
      <c r="L2019" s="1">
        <f t="shared" si="219"/>
        <v>27814</v>
      </c>
      <c r="M2019" s="1">
        <f>VLOOKUP(B2019,'[1]Срок Годности'!$A$2:$B$4,2,0)</f>
        <v>1500</v>
      </c>
      <c r="N2019" s="60">
        <f t="shared" si="220"/>
        <v>33840</v>
      </c>
      <c r="O2019" s="1" t="str">
        <f t="shared" si="221"/>
        <v>28 2012</v>
      </c>
      <c r="P2019" s="1">
        <f t="shared" si="222"/>
        <v>21</v>
      </c>
      <c r="Q2019" s="1">
        <f t="shared" ca="1" si="223"/>
        <v>4034</v>
      </c>
      <c r="S2019" s="1">
        <f t="shared" si="217"/>
        <v>142990</v>
      </c>
    </row>
    <row r="2020" spans="1:19" x14ac:dyDescent="0.2">
      <c r="A2020" s="57" t="s">
        <v>224</v>
      </c>
      <c r="B2020" s="57" t="s">
        <v>244</v>
      </c>
      <c r="C2020" s="57" t="s">
        <v>245</v>
      </c>
      <c r="D2020" s="58">
        <v>33.659999999999997</v>
      </c>
      <c r="E2020" s="59">
        <v>41100</v>
      </c>
      <c r="F2020" s="58">
        <v>142990</v>
      </c>
      <c r="G2020" s="58">
        <v>18467</v>
      </c>
      <c r="H2020" s="58">
        <v>23140</v>
      </c>
      <c r="I2020" s="58">
        <v>137899</v>
      </c>
      <c r="J2020" s="58">
        <v>0</v>
      </c>
      <c r="K2020" s="1">
        <f t="shared" si="218"/>
        <v>778892.39999999991</v>
      </c>
      <c r="L2020" s="1">
        <f t="shared" si="219"/>
        <v>23140</v>
      </c>
      <c r="M2020" s="1">
        <f>VLOOKUP(B2020,'[1]Срок Годности'!$A$2:$B$4,2,0)</f>
        <v>1500</v>
      </c>
      <c r="N2020" s="60">
        <f t="shared" si="220"/>
        <v>18467</v>
      </c>
      <c r="O2020" s="1" t="str">
        <f t="shared" si="221"/>
        <v>28 2012</v>
      </c>
      <c r="P2020" s="1">
        <f t="shared" si="222"/>
        <v>21</v>
      </c>
      <c r="Q2020" s="1">
        <f t="shared" ca="1" si="223"/>
        <v>4033</v>
      </c>
      <c r="S2020" s="1">
        <f t="shared" si="217"/>
        <v>137899</v>
      </c>
    </row>
    <row r="2021" spans="1:19" x14ac:dyDescent="0.2">
      <c r="A2021" s="57" t="s">
        <v>224</v>
      </c>
      <c r="B2021" s="57" t="s">
        <v>244</v>
      </c>
      <c r="C2021" s="57" t="s">
        <v>245</v>
      </c>
      <c r="D2021" s="58">
        <v>33.659999999999997</v>
      </c>
      <c r="E2021" s="59">
        <v>41101</v>
      </c>
      <c r="F2021" s="58">
        <v>137899</v>
      </c>
      <c r="G2021" s="58">
        <v>6594</v>
      </c>
      <c r="H2021" s="58">
        <v>21809</v>
      </c>
      <c r="I2021" s="58">
        <v>122373</v>
      </c>
      <c r="J2021" s="58">
        <v>0</v>
      </c>
      <c r="K2021" s="1">
        <f t="shared" si="218"/>
        <v>734090.94</v>
      </c>
      <c r="L2021" s="1">
        <f t="shared" si="219"/>
        <v>21809</v>
      </c>
      <c r="M2021" s="1">
        <f>VLOOKUP(B2021,'[1]Срок Годности'!$A$2:$B$4,2,0)</f>
        <v>1500</v>
      </c>
      <c r="N2021" s="60">
        <f t="shared" si="220"/>
        <v>6594</v>
      </c>
      <c r="O2021" s="1" t="str">
        <f t="shared" si="221"/>
        <v>28 2012</v>
      </c>
      <c r="P2021" s="1">
        <f t="shared" si="222"/>
        <v>21</v>
      </c>
      <c r="Q2021" s="1">
        <f t="shared" ca="1" si="223"/>
        <v>4032</v>
      </c>
      <c r="S2021" s="1">
        <f t="shared" si="217"/>
        <v>122373</v>
      </c>
    </row>
    <row r="2022" spans="1:19" x14ac:dyDescent="0.2">
      <c r="A2022" s="57" t="s">
        <v>224</v>
      </c>
      <c r="B2022" s="57" t="s">
        <v>244</v>
      </c>
      <c r="C2022" s="57" t="s">
        <v>245</v>
      </c>
      <c r="D2022" s="58">
        <v>33.659999999999997</v>
      </c>
      <c r="E2022" s="59">
        <v>41102</v>
      </c>
      <c r="F2022" s="58">
        <v>122373</v>
      </c>
      <c r="G2022" s="58">
        <v>34810</v>
      </c>
      <c r="H2022" s="58">
        <v>20885</v>
      </c>
      <c r="I2022" s="58">
        <v>136029</v>
      </c>
      <c r="J2022" s="58">
        <v>0</v>
      </c>
      <c r="K2022" s="1">
        <f t="shared" si="218"/>
        <v>702989.1</v>
      </c>
      <c r="L2022" s="1">
        <f t="shared" si="219"/>
        <v>20885</v>
      </c>
      <c r="M2022" s="1">
        <f>VLOOKUP(B2022,'[1]Срок Годности'!$A$2:$B$4,2,0)</f>
        <v>1500</v>
      </c>
      <c r="N2022" s="60">
        <f t="shared" si="220"/>
        <v>34810</v>
      </c>
      <c r="O2022" s="1" t="str">
        <f t="shared" si="221"/>
        <v>28 2012</v>
      </c>
      <c r="P2022" s="1">
        <f t="shared" si="222"/>
        <v>21</v>
      </c>
      <c r="Q2022" s="1">
        <f t="shared" ca="1" si="223"/>
        <v>4031</v>
      </c>
      <c r="S2022" s="1">
        <f t="shared" si="217"/>
        <v>136029</v>
      </c>
    </row>
    <row r="2023" spans="1:19" x14ac:dyDescent="0.2">
      <c r="A2023" s="57" t="s">
        <v>224</v>
      </c>
      <c r="B2023" s="57" t="s">
        <v>244</v>
      </c>
      <c r="C2023" s="57" t="s">
        <v>245</v>
      </c>
      <c r="D2023" s="58">
        <v>33.659999999999997</v>
      </c>
      <c r="E2023" s="59">
        <v>41103</v>
      </c>
      <c r="F2023" s="58">
        <v>136029</v>
      </c>
      <c r="G2023" s="58">
        <v>40920</v>
      </c>
      <c r="H2023" s="58">
        <v>23280</v>
      </c>
      <c r="I2023" s="58">
        <v>153383</v>
      </c>
      <c r="J2023" s="58">
        <v>0</v>
      </c>
      <c r="K2023" s="1">
        <f t="shared" si="218"/>
        <v>783604.79999999993</v>
      </c>
      <c r="L2023" s="1">
        <f t="shared" si="219"/>
        <v>23280</v>
      </c>
      <c r="M2023" s="1">
        <f>VLOOKUP(B2023,'[1]Срок Годности'!$A$2:$B$4,2,0)</f>
        <v>1500</v>
      </c>
      <c r="N2023" s="60">
        <f t="shared" si="220"/>
        <v>40920</v>
      </c>
      <c r="O2023" s="1" t="str">
        <f t="shared" si="221"/>
        <v>28 2012</v>
      </c>
      <c r="P2023" s="1">
        <f t="shared" si="222"/>
        <v>21</v>
      </c>
      <c r="Q2023" s="1">
        <f t="shared" ca="1" si="223"/>
        <v>4030</v>
      </c>
      <c r="S2023" s="1">
        <f t="shared" si="217"/>
        <v>153383</v>
      </c>
    </row>
    <row r="2024" spans="1:19" x14ac:dyDescent="0.2">
      <c r="A2024" s="57" t="s">
        <v>224</v>
      </c>
      <c r="B2024" s="57" t="s">
        <v>244</v>
      </c>
      <c r="C2024" s="57" t="s">
        <v>245</v>
      </c>
      <c r="D2024" s="58">
        <v>33.659999999999997</v>
      </c>
      <c r="E2024" s="59">
        <v>41104</v>
      </c>
      <c r="F2024" s="58">
        <v>153383</v>
      </c>
      <c r="G2024" s="58">
        <v>24806</v>
      </c>
      <c r="H2024" s="58">
        <v>17699</v>
      </c>
      <c r="I2024" s="58">
        <v>160272</v>
      </c>
      <c r="J2024" s="58">
        <v>0</v>
      </c>
      <c r="K2024" s="1">
        <f t="shared" si="218"/>
        <v>595748.34</v>
      </c>
      <c r="L2024" s="1">
        <f t="shared" si="219"/>
        <v>17699</v>
      </c>
      <c r="M2024" s="1">
        <f>VLOOKUP(B2024,'[1]Срок Годности'!$A$2:$B$4,2,0)</f>
        <v>1500</v>
      </c>
      <c r="N2024" s="60">
        <f t="shared" si="220"/>
        <v>24806</v>
      </c>
      <c r="O2024" s="1" t="str">
        <f t="shared" si="221"/>
        <v>28 2012</v>
      </c>
      <c r="P2024" s="1">
        <f t="shared" si="222"/>
        <v>21</v>
      </c>
      <c r="Q2024" s="1">
        <f t="shared" ca="1" si="223"/>
        <v>4029</v>
      </c>
      <c r="S2024" s="1">
        <f t="shared" si="217"/>
        <v>160272</v>
      </c>
    </row>
    <row r="2025" spans="1:19" x14ac:dyDescent="0.2">
      <c r="A2025" s="57" t="s">
        <v>224</v>
      </c>
      <c r="B2025" s="57" t="s">
        <v>244</v>
      </c>
      <c r="C2025" s="57" t="s">
        <v>245</v>
      </c>
      <c r="D2025" s="58">
        <v>33.659999999999997</v>
      </c>
      <c r="E2025" s="59">
        <v>41105</v>
      </c>
      <c r="F2025" s="58">
        <v>160272</v>
      </c>
      <c r="G2025" s="58">
        <v>23248</v>
      </c>
      <c r="H2025" s="58">
        <v>17302</v>
      </c>
      <c r="I2025" s="58">
        <v>166062</v>
      </c>
      <c r="J2025" s="58">
        <v>1</v>
      </c>
      <c r="K2025" s="1">
        <f t="shared" si="218"/>
        <v>582385.31999999995</v>
      </c>
      <c r="L2025" s="1">
        <f t="shared" si="219"/>
        <v>17302</v>
      </c>
      <c r="M2025" s="1">
        <f>VLOOKUP(B2025,'[1]Срок Годности'!$A$2:$B$4,2,0)</f>
        <v>1500</v>
      </c>
      <c r="N2025" s="60">
        <f t="shared" si="220"/>
        <v>0</v>
      </c>
      <c r="O2025" s="1" t="str">
        <f t="shared" si="221"/>
        <v>29 2012</v>
      </c>
      <c r="P2025" s="1">
        <f t="shared" si="222"/>
        <v>21</v>
      </c>
      <c r="Q2025" s="1">
        <f t="shared" ca="1" si="223"/>
        <v>4028</v>
      </c>
      <c r="S2025" s="1">
        <f t="shared" si="217"/>
        <v>166061</v>
      </c>
    </row>
    <row r="2026" spans="1:19" x14ac:dyDescent="0.2">
      <c r="A2026" s="57" t="s">
        <v>224</v>
      </c>
      <c r="B2026" s="57" t="s">
        <v>244</v>
      </c>
      <c r="C2026" s="57" t="s">
        <v>245</v>
      </c>
      <c r="D2026" s="58">
        <v>33.659999999999997</v>
      </c>
      <c r="E2026" s="59">
        <v>41106</v>
      </c>
      <c r="F2026" s="58">
        <v>166062</v>
      </c>
      <c r="G2026" s="58">
        <v>2842</v>
      </c>
      <c r="H2026" s="58">
        <v>16262</v>
      </c>
      <c r="I2026" s="58">
        <v>152599</v>
      </c>
      <c r="J2026" s="58">
        <v>0</v>
      </c>
      <c r="K2026" s="1">
        <f t="shared" si="218"/>
        <v>547378.91999999993</v>
      </c>
      <c r="L2026" s="1">
        <f t="shared" si="219"/>
        <v>16262</v>
      </c>
      <c r="M2026" s="1">
        <f>VLOOKUP(B2026,'[1]Срок Годности'!$A$2:$B$4,2,0)</f>
        <v>1500</v>
      </c>
      <c r="N2026" s="60">
        <f t="shared" si="220"/>
        <v>2842</v>
      </c>
      <c r="O2026" s="1" t="str">
        <f t="shared" si="221"/>
        <v>29 2012</v>
      </c>
      <c r="P2026" s="1">
        <f t="shared" si="222"/>
        <v>21</v>
      </c>
      <c r="Q2026" s="1">
        <f t="shared" ca="1" si="223"/>
        <v>4027</v>
      </c>
      <c r="S2026" s="1">
        <f t="shared" si="217"/>
        <v>152599</v>
      </c>
    </row>
    <row r="2027" spans="1:19" x14ac:dyDescent="0.2">
      <c r="A2027" s="57" t="s">
        <v>224</v>
      </c>
      <c r="B2027" s="57" t="s">
        <v>244</v>
      </c>
      <c r="C2027" s="57" t="s">
        <v>245</v>
      </c>
      <c r="D2027" s="58">
        <v>33.659999999999997</v>
      </c>
      <c r="E2027" s="59">
        <v>41107</v>
      </c>
      <c r="F2027" s="58">
        <v>152599</v>
      </c>
      <c r="G2027" s="58">
        <v>11307</v>
      </c>
      <c r="H2027" s="58">
        <v>13989</v>
      </c>
      <c r="I2027" s="58">
        <v>149716</v>
      </c>
      <c r="J2027" s="58">
        <v>0</v>
      </c>
      <c r="K2027" s="1">
        <f t="shared" si="218"/>
        <v>470869.73999999993</v>
      </c>
      <c r="L2027" s="1">
        <f t="shared" si="219"/>
        <v>13989</v>
      </c>
      <c r="M2027" s="1">
        <f>VLOOKUP(B2027,'[1]Срок Годности'!$A$2:$B$4,2,0)</f>
        <v>1500</v>
      </c>
      <c r="N2027" s="60">
        <f t="shared" si="220"/>
        <v>11307</v>
      </c>
      <c r="O2027" s="1" t="str">
        <f t="shared" si="221"/>
        <v>29 2012</v>
      </c>
      <c r="P2027" s="1">
        <f t="shared" si="222"/>
        <v>21</v>
      </c>
      <c r="Q2027" s="1">
        <f t="shared" ca="1" si="223"/>
        <v>4026</v>
      </c>
      <c r="S2027" s="1">
        <f t="shared" si="217"/>
        <v>149716</v>
      </c>
    </row>
    <row r="2028" spans="1:19" x14ac:dyDescent="0.2">
      <c r="A2028" s="57" t="s">
        <v>224</v>
      </c>
      <c r="B2028" s="57" t="s">
        <v>237</v>
      </c>
      <c r="C2028" s="57" t="s">
        <v>238</v>
      </c>
      <c r="D2028" s="58">
        <v>165.05</v>
      </c>
      <c r="E2028" s="59">
        <v>41061</v>
      </c>
      <c r="F2028" s="58">
        <v>12383</v>
      </c>
      <c r="G2028" s="58">
        <v>1130</v>
      </c>
      <c r="H2028" s="58">
        <v>2253</v>
      </c>
      <c r="I2028" s="58">
        <v>11211</v>
      </c>
      <c r="J2028" s="58">
        <v>0</v>
      </c>
      <c r="K2028" s="1">
        <f t="shared" si="218"/>
        <v>371857.65</v>
      </c>
      <c r="L2028" s="1">
        <f t="shared" si="219"/>
        <v>2253</v>
      </c>
      <c r="M2028" s="1">
        <f>VLOOKUP(B2028,'[1]Срок Годности'!$A$2:$B$4,2,0)</f>
        <v>1000</v>
      </c>
      <c r="N2028" s="60">
        <f t="shared" si="220"/>
        <v>1130</v>
      </c>
      <c r="O2028" s="1" t="str">
        <f t="shared" si="221"/>
        <v>22 2012</v>
      </c>
      <c r="P2028" s="1">
        <f t="shared" si="222"/>
        <v>22</v>
      </c>
      <c r="Q2028" s="1">
        <f t="shared" ca="1" si="223"/>
        <v>4072</v>
      </c>
      <c r="S2028" s="1">
        <f t="shared" si="217"/>
        <v>11211</v>
      </c>
    </row>
    <row r="2029" spans="1:19" x14ac:dyDescent="0.2">
      <c r="A2029" s="57" t="s">
        <v>224</v>
      </c>
      <c r="B2029" s="57" t="s">
        <v>237</v>
      </c>
      <c r="C2029" s="57" t="s">
        <v>238</v>
      </c>
      <c r="D2029" s="58">
        <v>165.05</v>
      </c>
      <c r="E2029" s="59">
        <v>41062</v>
      </c>
      <c r="F2029" s="58">
        <v>11211</v>
      </c>
      <c r="G2029" s="58">
        <v>2093</v>
      </c>
      <c r="H2029" s="58">
        <v>2484</v>
      </c>
      <c r="I2029" s="58">
        <v>10790</v>
      </c>
      <c r="J2029" s="58">
        <v>0</v>
      </c>
      <c r="K2029" s="1">
        <f t="shared" si="218"/>
        <v>409984.2</v>
      </c>
      <c r="L2029" s="1">
        <f t="shared" si="219"/>
        <v>2484</v>
      </c>
      <c r="M2029" s="1">
        <f>VLOOKUP(B2029,'[1]Срок Годности'!$A$2:$B$4,2,0)</f>
        <v>1000</v>
      </c>
      <c r="N2029" s="60">
        <f t="shared" si="220"/>
        <v>2093</v>
      </c>
      <c r="O2029" s="1" t="str">
        <f t="shared" si="221"/>
        <v>22 2012</v>
      </c>
      <c r="P2029" s="1">
        <f t="shared" si="222"/>
        <v>22</v>
      </c>
      <c r="Q2029" s="1">
        <f t="shared" ca="1" si="223"/>
        <v>4071</v>
      </c>
      <c r="S2029" s="1">
        <f t="shared" si="217"/>
        <v>10790</v>
      </c>
    </row>
    <row r="2030" spans="1:19" x14ac:dyDescent="0.2">
      <c r="A2030" s="57" t="s">
        <v>224</v>
      </c>
      <c r="B2030" s="57" t="s">
        <v>237</v>
      </c>
      <c r="C2030" s="57" t="s">
        <v>238</v>
      </c>
      <c r="D2030" s="58">
        <v>165.05</v>
      </c>
      <c r="E2030" s="59">
        <v>41063</v>
      </c>
      <c r="F2030" s="58">
        <v>10790</v>
      </c>
      <c r="G2030" s="58">
        <v>2199</v>
      </c>
      <c r="H2030" s="58">
        <v>2601</v>
      </c>
      <c r="I2030" s="58">
        <v>10345</v>
      </c>
      <c r="J2030" s="58">
        <v>0</v>
      </c>
      <c r="K2030" s="1">
        <f t="shared" si="218"/>
        <v>429295.05000000005</v>
      </c>
      <c r="L2030" s="1">
        <f t="shared" si="219"/>
        <v>2601</v>
      </c>
      <c r="M2030" s="1">
        <f>VLOOKUP(B2030,'[1]Срок Годности'!$A$2:$B$4,2,0)</f>
        <v>1000</v>
      </c>
      <c r="N2030" s="60">
        <f t="shared" si="220"/>
        <v>0</v>
      </c>
      <c r="O2030" s="1" t="str">
        <f t="shared" si="221"/>
        <v>23 2012</v>
      </c>
      <c r="P2030" s="1">
        <f t="shared" si="222"/>
        <v>22</v>
      </c>
      <c r="Q2030" s="1">
        <f t="shared" ca="1" si="223"/>
        <v>4070</v>
      </c>
      <c r="S2030" s="1">
        <f t="shared" si="217"/>
        <v>10345</v>
      </c>
    </row>
    <row r="2031" spans="1:19" x14ac:dyDescent="0.2">
      <c r="A2031" s="57" t="s">
        <v>224</v>
      </c>
      <c r="B2031" s="57" t="s">
        <v>237</v>
      </c>
      <c r="C2031" s="57" t="s">
        <v>238</v>
      </c>
      <c r="D2031" s="58">
        <v>165.05</v>
      </c>
      <c r="E2031" s="59">
        <v>41064</v>
      </c>
      <c r="F2031" s="58">
        <v>10345</v>
      </c>
      <c r="G2031" s="58">
        <v>2778</v>
      </c>
      <c r="H2031" s="58">
        <v>2806</v>
      </c>
      <c r="I2031" s="58">
        <v>10271</v>
      </c>
      <c r="J2031" s="58">
        <v>0</v>
      </c>
      <c r="K2031" s="1">
        <f t="shared" si="218"/>
        <v>463130.30000000005</v>
      </c>
      <c r="L2031" s="1">
        <f t="shared" si="219"/>
        <v>2806</v>
      </c>
      <c r="M2031" s="1">
        <f>VLOOKUP(B2031,'[1]Срок Годности'!$A$2:$B$4,2,0)</f>
        <v>1000</v>
      </c>
      <c r="N2031" s="60">
        <f t="shared" si="220"/>
        <v>2778</v>
      </c>
      <c r="O2031" s="1" t="str">
        <f t="shared" si="221"/>
        <v>23 2012</v>
      </c>
      <c r="P2031" s="1">
        <f t="shared" si="222"/>
        <v>22</v>
      </c>
      <c r="Q2031" s="1">
        <f t="shared" ca="1" si="223"/>
        <v>4069</v>
      </c>
      <c r="S2031" s="1">
        <f t="shared" si="217"/>
        <v>10271</v>
      </c>
    </row>
    <row r="2032" spans="1:19" x14ac:dyDescent="0.2">
      <c r="A2032" s="57" t="s">
        <v>224</v>
      </c>
      <c r="B2032" s="57" t="s">
        <v>237</v>
      </c>
      <c r="C2032" s="57" t="s">
        <v>238</v>
      </c>
      <c r="D2032" s="58">
        <v>165.05</v>
      </c>
      <c r="E2032" s="59">
        <v>41065</v>
      </c>
      <c r="F2032" s="58">
        <v>10271</v>
      </c>
      <c r="G2032" s="58">
        <v>3170</v>
      </c>
      <c r="H2032" s="58">
        <v>3072</v>
      </c>
      <c r="I2032" s="58">
        <v>10318</v>
      </c>
      <c r="J2032" s="58">
        <v>0</v>
      </c>
      <c r="K2032" s="1">
        <f t="shared" si="218"/>
        <v>507033.60000000003</v>
      </c>
      <c r="L2032" s="1">
        <f t="shared" si="219"/>
        <v>3072</v>
      </c>
      <c r="M2032" s="1">
        <f>VLOOKUP(B2032,'[1]Срок Годности'!$A$2:$B$4,2,0)</f>
        <v>1000</v>
      </c>
      <c r="N2032" s="60">
        <f t="shared" si="220"/>
        <v>3170</v>
      </c>
      <c r="O2032" s="1" t="str">
        <f t="shared" si="221"/>
        <v>23 2012</v>
      </c>
      <c r="P2032" s="1">
        <f t="shared" si="222"/>
        <v>22</v>
      </c>
      <c r="Q2032" s="1">
        <f t="shared" ca="1" si="223"/>
        <v>4068</v>
      </c>
      <c r="S2032" s="1">
        <f t="shared" si="217"/>
        <v>10318</v>
      </c>
    </row>
    <row r="2033" spans="1:19" x14ac:dyDescent="0.2">
      <c r="A2033" s="57" t="s">
        <v>224</v>
      </c>
      <c r="B2033" s="57" t="s">
        <v>237</v>
      </c>
      <c r="C2033" s="57" t="s">
        <v>238</v>
      </c>
      <c r="D2033" s="58">
        <v>165.05</v>
      </c>
      <c r="E2033" s="59">
        <v>41066</v>
      </c>
      <c r="F2033" s="58">
        <v>10318</v>
      </c>
      <c r="G2033" s="58">
        <v>4426</v>
      </c>
      <c r="H2033" s="58">
        <v>3447</v>
      </c>
      <c r="I2033" s="58">
        <v>11230</v>
      </c>
      <c r="J2033" s="58">
        <v>0</v>
      </c>
      <c r="K2033" s="1">
        <f t="shared" si="218"/>
        <v>568927.35000000009</v>
      </c>
      <c r="L2033" s="1">
        <f t="shared" si="219"/>
        <v>3447</v>
      </c>
      <c r="M2033" s="1">
        <f>VLOOKUP(B2033,'[1]Срок Годности'!$A$2:$B$4,2,0)</f>
        <v>1000</v>
      </c>
      <c r="N2033" s="60">
        <f t="shared" si="220"/>
        <v>4426</v>
      </c>
      <c r="O2033" s="1" t="str">
        <f t="shared" si="221"/>
        <v>23 2012</v>
      </c>
      <c r="P2033" s="1">
        <f t="shared" si="222"/>
        <v>22</v>
      </c>
      <c r="Q2033" s="1">
        <f t="shared" ca="1" si="223"/>
        <v>4067</v>
      </c>
      <c r="S2033" s="1">
        <f t="shared" si="217"/>
        <v>11230</v>
      </c>
    </row>
    <row r="2034" spans="1:19" x14ac:dyDescent="0.2">
      <c r="A2034" s="57" t="s">
        <v>224</v>
      </c>
      <c r="B2034" s="57" t="s">
        <v>237</v>
      </c>
      <c r="C2034" s="57" t="s">
        <v>238</v>
      </c>
      <c r="D2034" s="58">
        <v>165.05</v>
      </c>
      <c r="E2034" s="59">
        <v>41067</v>
      </c>
      <c r="F2034" s="58">
        <v>11230</v>
      </c>
      <c r="G2034" s="58">
        <v>3691</v>
      </c>
      <c r="H2034" s="58">
        <v>3569</v>
      </c>
      <c r="I2034" s="58">
        <v>11284</v>
      </c>
      <c r="J2034" s="58">
        <v>0</v>
      </c>
      <c r="K2034" s="1">
        <f t="shared" si="218"/>
        <v>589063.45000000007</v>
      </c>
      <c r="L2034" s="1">
        <f t="shared" si="219"/>
        <v>3569</v>
      </c>
      <c r="M2034" s="1">
        <f>VLOOKUP(B2034,'[1]Срок Годности'!$A$2:$B$4,2,0)</f>
        <v>1000</v>
      </c>
      <c r="N2034" s="60">
        <f t="shared" si="220"/>
        <v>3691</v>
      </c>
      <c r="O2034" s="1" t="str">
        <f t="shared" si="221"/>
        <v>23 2012</v>
      </c>
      <c r="P2034" s="1">
        <f t="shared" si="222"/>
        <v>22</v>
      </c>
      <c r="Q2034" s="1">
        <f t="shared" ca="1" si="223"/>
        <v>4066</v>
      </c>
      <c r="S2034" s="1">
        <f t="shared" si="217"/>
        <v>11284</v>
      </c>
    </row>
    <row r="2035" spans="1:19" x14ac:dyDescent="0.2">
      <c r="A2035" s="57" t="s">
        <v>224</v>
      </c>
      <c r="B2035" s="57" t="s">
        <v>237</v>
      </c>
      <c r="C2035" s="57" t="s">
        <v>238</v>
      </c>
      <c r="D2035" s="58">
        <v>165.05</v>
      </c>
      <c r="E2035" s="59">
        <v>41068</v>
      </c>
      <c r="F2035" s="58">
        <v>11284</v>
      </c>
      <c r="G2035" s="58">
        <v>4995</v>
      </c>
      <c r="H2035" s="58">
        <v>3662</v>
      </c>
      <c r="I2035" s="58">
        <v>12532</v>
      </c>
      <c r="J2035" s="58">
        <v>0</v>
      </c>
      <c r="K2035" s="1">
        <f t="shared" si="218"/>
        <v>604413.10000000009</v>
      </c>
      <c r="L2035" s="1">
        <f t="shared" si="219"/>
        <v>3662</v>
      </c>
      <c r="M2035" s="1">
        <f>VLOOKUP(B2035,'[1]Срок Годности'!$A$2:$B$4,2,0)</f>
        <v>1000</v>
      </c>
      <c r="N2035" s="60">
        <f t="shared" si="220"/>
        <v>4995</v>
      </c>
      <c r="O2035" s="1" t="str">
        <f t="shared" si="221"/>
        <v>23 2012</v>
      </c>
      <c r="P2035" s="1">
        <f t="shared" si="222"/>
        <v>22</v>
      </c>
      <c r="Q2035" s="1">
        <f t="shared" ca="1" si="223"/>
        <v>4065</v>
      </c>
      <c r="S2035" s="1">
        <f t="shared" si="217"/>
        <v>12532</v>
      </c>
    </row>
    <row r="2036" spans="1:19" x14ac:dyDescent="0.2">
      <c r="A2036" s="57" t="s">
        <v>224</v>
      </c>
      <c r="B2036" s="57" t="s">
        <v>237</v>
      </c>
      <c r="C2036" s="57" t="s">
        <v>238</v>
      </c>
      <c r="D2036" s="58">
        <v>165.05</v>
      </c>
      <c r="E2036" s="59">
        <v>41069</v>
      </c>
      <c r="F2036" s="58">
        <v>12532</v>
      </c>
      <c r="G2036" s="58">
        <v>4236</v>
      </c>
      <c r="H2036" s="58">
        <v>4089</v>
      </c>
      <c r="I2036" s="58">
        <v>12579</v>
      </c>
      <c r="J2036" s="58">
        <v>0</v>
      </c>
      <c r="K2036" s="1">
        <f t="shared" si="218"/>
        <v>674889.45000000007</v>
      </c>
      <c r="L2036" s="1">
        <f t="shared" si="219"/>
        <v>4089</v>
      </c>
      <c r="M2036" s="1">
        <f>VLOOKUP(B2036,'[1]Срок Годности'!$A$2:$B$4,2,0)</f>
        <v>1000</v>
      </c>
      <c r="N2036" s="60">
        <f t="shared" si="220"/>
        <v>4236</v>
      </c>
      <c r="O2036" s="1" t="str">
        <f t="shared" si="221"/>
        <v>23 2012</v>
      </c>
      <c r="P2036" s="1">
        <f t="shared" si="222"/>
        <v>22</v>
      </c>
      <c r="Q2036" s="1">
        <f t="shared" ca="1" si="223"/>
        <v>4064</v>
      </c>
      <c r="S2036" s="1">
        <f t="shared" si="217"/>
        <v>12579</v>
      </c>
    </row>
    <row r="2037" spans="1:19" x14ac:dyDescent="0.2">
      <c r="A2037" s="57" t="s">
        <v>224</v>
      </c>
      <c r="B2037" s="57" t="s">
        <v>237</v>
      </c>
      <c r="C2037" s="57" t="s">
        <v>238</v>
      </c>
      <c r="D2037" s="58">
        <v>165.05</v>
      </c>
      <c r="E2037" s="59">
        <v>41070</v>
      </c>
      <c r="F2037" s="58">
        <v>12579</v>
      </c>
      <c r="G2037" s="58">
        <v>4071</v>
      </c>
      <c r="H2037" s="58">
        <v>4041</v>
      </c>
      <c r="I2037" s="58">
        <v>12529</v>
      </c>
      <c r="J2037" s="58">
        <v>0</v>
      </c>
      <c r="K2037" s="1">
        <f t="shared" si="218"/>
        <v>666967.05000000005</v>
      </c>
      <c r="L2037" s="1">
        <f t="shared" si="219"/>
        <v>4041</v>
      </c>
      <c r="M2037" s="1">
        <f>VLOOKUP(B2037,'[1]Срок Годности'!$A$2:$B$4,2,0)</f>
        <v>1000</v>
      </c>
      <c r="N2037" s="60">
        <f t="shared" si="220"/>
        <v>0</v>
      </c>
      <c r="O2037" s="1" t="str">
        <f t="shared" si="221"/>
        <v>24 2012</v>
      </c>
      <c r="P2037" s="1">
        <f t="shared" si="222"/>
        <v>22</v>
      </c>
      <c r="Q2037" s="1">
        <f t="shared" ca="1" si="223"/>
        <v>4063</v>
      </c>
      <c r="S2037" s="1">
        <f t="shared" si="217"/>
        <v>12529</v>
      </c>
    </row>
    <row r="2038" spans="1:19" x14ac:dyDescent="0.2">
      <c r="A2038" s="57" t="s">
        <v>224</v>
      </c>
      <c r="B2038" s="57" t="s">
        <v>237</v>
      </c>
      <c r="C2038" s="57" t="s">
        <v>238</v>
      </c>
      <c r="D2038" s="58">
        <v>165.05</v>
      </c>
      <c r="E2038" s="59">
        <v>41071</v>
      </c>
      <c r="F2038" s="58">
        <v>12529</v>
      </c>
      <c r="G2038" s="58">
        <v>2772</v>
      </c>
      <c r="H2038" s="58">
        <v>3855</v>
      </c>
      <c r="I2038" s="58">
        <v>11316</v>
      </c>
      <c r="J2038" s="58">
        <v>0</v>
      </c>
      <c r="K2038" s="1">
        <f t="shared" si="218"/>
        <v>636267.75</v>
      </c>
      <c r="L2038" s="1">
        <f t="shared" si="219"/>
        <v>3855</v>
      </c>
      <c r="M2038" s="1">
        <f>VLOOKUP(B2038,'[1]Срок Годности'!$A$2:$B$4,2,0)</f>
        <v>1000</v>
      </c>
      <c r="N2038" s="60">
        <f t="shared" si="220"/>
        <v>2772</v>
      </c>
      <c r="O2038" s="1" t="str">
        <f t="shared" si="221"/>
        <v>24 2012</v>
      </c>
      <c r="P2038" s="1">
        <f t="shared" si="222"/>
        <v>22</v>
      </c>
      <c r="Q2038" s="1">
        <f t="shared" ca="1" si="223"/>
        <v>4062</v>
      </c>
      <c r="S2038" s="1">
        <f t="shared" si="217"/>
        <v>11316</v>
      </c>
    </row>
    <row r="2039" spans="1:19" x14ac:dyDescent="0.2">
      <c r="A2039" s="57" t="s">
        <v>224</v>
      </c>
      <c r="B2039" s="57" t="s">
        <v>237</v>
      </c>
      <c r="C2039" s="57" t="s">
        <v>238</v>
      </c>
      <c r="D2039" s="58">
        <v>165.05</v>
      </c>
      <c r="E2039" s="59">
        <v>41072</v>
      </c>
      <c r="F2039" s="58">
        <v>11316</v>
      </c>
      <c r="G2039" s="58">
        <v>1834</v>
      </c>
      <c r="H2039" s="58">
        <v>3481</v>
      </c>
      <c r="I2039" s="58">
        <v>9523</v>
      </c>
      <c r="J2039" s="58">
        <v>0</v>
      </c>
      <c r="K2039" s="1">
        <f t="shared" si="218"/>
        <v>574539.05000000005</v>
      </c>
      <c r="L2039" s="1">
        <f t="shared" si="219"/>
        <v>3481</v>
      </c>
      <c r="M2039" s="1">
        <f>VLOOKUP(B2039,'[1]Срок Годности'!$A$2:$B$4,2,0)</f>
        <v>1000</v>
      </c>
      <c r="N2039" s="60">
        <f t="shared" si="220"/>
        <v>1834</v>
      </c>
      <c r="O2039" s="1" t="str">
        <f t="shared" si="221"/>
        <v>24 2012</v>
      </c>
      <c r="P2039" s="1">
        <f t="shared" si="222"/>
        <v>22</v>
      </c>
      <c r="Q2039" s="1">
        <f t="shared" ca="1" si="223"/>
        <v>4061</v>
      </c>
      <c r="S2039" s="1">
        <f t="shared" si="217"/>
        <v>9523</v>
      </c>
    </row>
    <row r="2040" spans="1:19" x14ac:dyDescent="0.2">
      <c r="A2040" s="57" t="s">
        <v>224</v>
      </c>
      <c r="B2040" s="57" t="s">
        <v>237</v>
      </c>
      <c r="C2040" s="57" t="s">
        <v>238</v>
      </c>
      <c r="D2040" s="58">
        <v>165.05</v>
      </c>
      <c r="E2040" s="59">
        <v>41073</v>
      </c>
      <c r="F2040" s="58">
        <v>9523</v>
      </c>
      <c r="G2040" s="58">
        <v>4465</v>
      </c>
      <c r="H2040" s="58">
        <v>3357</v>
      </c>
      <c r="I2040" s="58">
        <v>10568</v>
      </c>
      <c r="J2040" s="58">
        <v>0</v>
      </c>
      <c r="K2040" s="1">
        <f t="shared" si="218"/>
        <v>554072.85000000009</v>
      </c>
      <c r="L2040" s="1">
        <f t="shared" si="219"/>
        <v>3357</v>
      </c>
      <c r="M2040" s="1">
        <f>VLOOKUP(B2040,'[1]Срок Годности'!$A$2:$B$4,2,0)</f>
        <v>1000</v>
      </c>
      <c r="N2040" s="60">
        <f t="shared" si="220"/>
        <v>4465</v>
      </c>
      <c r="O2040" s="1" t="str">
        <f t="shared" si="221"/>
        <v>24 2012</v>
      </c>
      <c r="P2040" s="1">
        <f t="shared" si="222"/>
        <v>22</v>
      </c>
      <c r="Q2040" s="1">
        <f t="shared" ca="1" si="223"/>
        <v>4060</v>
      </c>
      <c r="S2040" s="1">
        <f t="shared" si="217"/>
        <v>10568</v>
      </c>
    </row>
    <row r="2041" spans="1:19" x14ac:dyDescent="0.2">
      <c r="A2041" s="57" t="s">
        <v>224</v>
      </c>
      <c r="B2041" s="57" t="s">
        <v>237</v>
      </c>
      <c r="C2041" s="57" t="s">
        <v>238</v>
      </c>
      <c r="D2041" s="58">
        <v>165.05</v>
      </c>
      <c r="E2041" s="59">
        <v>41074</v>
      </c>
      <c r="F2041" s="58">
        <v>10568</v>
      </c>
      <c r="G2041" s="58">
        <v>5271</v>
      </c>
      <c r="H2041" s="58">
        <v>3920</v>
      </c>
      <c r="I2041" s="58">
        <v>11873</v>
      </c>
      <c r="J2041" s="58">
        <v>0</v>
      </c>
      <c r="K2041" s="1">
        <f t="shared" si="218"/>
        <v>646996</v>
      </c>
      <c r="L2041" s="1">
        <f t="shared" si="219"/>
        <v>3920</v>
      </c>
      <c r="M2041" s="1">
        <f>VLOOKUP(B2041,'[1]Срок Годности'!$A$2:$B$4,2,0)</f>
        <v>1000</v>
      </c>
      <c r="N2041" s="60">
        <f t="shared" si="220"/>
        <v>5271</v>
      </c>
      <c r="O2041" s="1" t="str">
        <f t="shared" si="221"/>
        <v>24 2012</v>
      </c>
      <c r="P2041" s="1">
        <f t="shared" si="222"/>
        <v>22</v>
      </c>
      <c r="Q2041" s="1">
        <f t="shared" ca="1" si="223"/>
        <v>4059</v>
      </c>
      <c r="S2041" s="1">
        <f t="shared" si="217"/>
        <v>11873</v>
      </c>
    </row>
    <row r="2042" spans="1:19" x14ac:dyDescent="0.2">
      <c r="A2042" s="57" t="s">
        <v>224</v>
      </c>
      <c r="B2042" s="57" t="s">
        <v>237</v>
      </c>
      <c r="C2042" s="57" t="s">
        <v>238</v>
      </c>
      <c r="D2042" s="58">
        <v>165.05</v>
      </c>
      <c r="E2042" s="59">
        <v>41075</v>
      </c>
      <c r="F2042" s="58">
        <v>11873</v>
      </c>
      <c r="G2042" s="58">
        <v>2725</v>
      </c>
      <c r="H2042" s="58">
        <v>4549</v>
      </c>
      <c r="I2042" s="58">
        <v>10004</v>
      </c>
      <c r="J2042" s="58">
        <v>0</v>
      </c>
      <c r="K2042" s="1">
        <f t="shared" si="218"/>
        <v>750812.45000000007</v>
      </c>
      <c r="L2042" s="1">
        <f t="shared" si="219"/>
        <v>4549</v>
      </c>
      <c r="M2042" s="1">
        <f>VLOOKUP(B2042,'[1]Срок Годности'!$A$2:$B$4,2,0)</f>
        <v>1000</v>
      </c>
      <c r="N2042" s="60">
        <f t="shared" si="220"/>
        <v>2725</v>
      </c>
      <c r="O2042" s="1" t="str">
        <f t="shared" si="221"/>
        <v>24 2012</v>
      </c>
      <c r="P2042" s="1">
        <f t="shared" si="222"/>
        <v>22</v>
      </c>
      <c r="Q2042" s="1">
        <f t="shared" ca="1" si="223"/>
        <v>4058</v>
      </c>
      <c r="S2042" s="1">
        <f t="shared" si="217"/>
        <v>10004</v>
      </c>
    </row>
    <row r="2043" spans="1:19" x14ac:dyDescent="0.2">
      <c r="A2043" s="57" t="s">
        <v>224</v>
      </c>
      <c r="B2043" s="57" t="s">
        <v>237</v>
      </c>
      <c r="C2043" s="57" t="s">
        <v>238</v>
      </c>
      <c r="D2043" s="58">
        <v>165.05</v>
      </c>
      <c r="E2043" s="59">
        <v>41076</v>
      </c>
      <c r="F2043" s="58">
        <v>10004</v>
      </c>
      <c r="G2043" s="58">
        <v>0</v>
      </c>
      <c r="H2043" s="58">
        <v>3774</v>
      </c>
      <c r="I2043" s="58">
        <v>6253</v>
      </c>
      <c r="J2043" s="58">
        <v>0</v>
      </c>
      <c r="K2043" s="1">
        <f t="shared" si="218"/>
        <v>622898.70000000007</v>
      </c>
      <c r="L2043" s="1">
        <f t="shared" si="219"/>
        <v>3774</v>
      </c>
      <c r="M2043" s="1">
        <f>VLOOKUP(B2043,'[1]Срок Годности'!$A$2:$B$4,2,0)</f>
        <v>1000</v>
      </c>
      <c r="N2043" s="60">
        <f t="shared" si="220"/>
        <v>0</v>
      </c>
      <c r="O2043" s="1" t="str">
        <f t="shared" si="221"/>
        <v>24 2012</v>
      </c>
      <c r="P2043" s="1">
        <f t="shared" si="222"/>
        <v>22</v>
      </c>
      <c r="Q2043" s="1">
        <f t="shared" ca="1" si="223"/>
        <v>4057</v>
      </c>
      <c r="S2043" s="1">
        <f t="shared" si="217"/>
        <v>6253</v>
      </c>
    </row>
    <row r="2044" spans="1:19" x14ac:dyDescent="0.2">
      <c r="A2044" s="57" t="s">
        <v>224</v>
      </c>
      <c r="B2044" s="57" t="s">
        <v>237</v>
      </c>
      <c r="C2044" s="57" t="s">
        <v>238</v>
      </c>
      <c r="D2044" s="58">
        <v>165.05</v>
      </c>
      <c r="E2044" s="59">
        <v>41077</v>
      </c>
      <c r="F2044" s="58">
        <v>6253</v>
      </c>
      <c r="G2044" s="58">
        <v>0</v>
      </c>
      <c r="H2044" s="58">
        <v>2453</v>
      </c>
      <c r="I2044" s="58">
        <v>3796</v>
      </c>
      <c r="J2044" s="58">
        <v>0</v>
      </c>
      <c r="K2044" s="1">
        <f t="shared" si="218"/>
        <v>404867.65</v>
      </c>
      <c r="L2044" s="1">
        <f t="shared" si="219"/>
        <v>2453</v>
      </c>
      <c r="M2044" s="1">
        <f>VLOOKUP(B2044,'[1]Срок Годности'!$A$2:$B$4,2,0)</f>
        <v>1000</v>
      </c>
      <c r="N2044" s="60">
        <f t="shared" si="220"/>
        <v>0</v>
      </c>
      <c r="O2044" s="1" t="str">
        <f t="shared" si="221"/>
        <v>25 2012</v>
      </c>
      <c r="P2044" s="1">
        <f t="shared" si="222"/>
        <v>22</v>
      </c>
      <c r="Q2044" s="1">
        <f t="shared" ca="1" si="223"/>
        <v>4056</v>
      </c>
      <c r="S2044" s="1">
        <f t="shared" si="217"/>
        <v>3796</v>
      </c>
    </row>
    <row r="2045" spans="1:19" x14ac:dyDescent="0.2">
      <c r="A2045" s="57" t="s">
        <v>224</v>
      </c>
      <c r="B2045" s="57" t="s">
        <v>237</v>
      </c>
      <c r="C2045" s="57" t="s">
        <v>238</v>
      </c>
      <c r="D2045" s="58">
        <v>165.05</v>
      </c>
      <c r="E2045" s="59">
        <v>41078</v>
      </c>
      <c r="F2045" s="58">
        <v>3796</v>
      </c>
      <c r="G2045" s="58">
        <v>9611</v>
      </c>
      <c r="H2045" s="58">
        <v>2649</v>
      </c>
      <c r="I2045" s="58">
        <v>10737</v>
      </c>
      <c r="J2045" s="58">
        <v>0</v>
      </c>
      <c r="K2045" s="1">
        <f t="shared" si="218"/>
        <v>437217.45</v>
      </c>
      <c r="L2045" s="1">
        <f t="shared" si="219"/>
        <v>2649</v>
      </c>
      <c r="M2045" s="1">
        <f>VLOOKUP(B2045,'[1]Срок Годности'!$A$2:$B$4,2,0)</f>
        <v>1000</v>
      </c>
      <c r="N2045" s="60">
        <f t="shared" si="220"/>
        <v>9611</v>
      </c>
      <c r="O2045" s="1" t="str">
        <f t="shared" si="221"/>
        <v>25 2012</v>
      </c>
      <c r="P2045" s="1">
        <f t="shared" si="222"/>
        <v>22</v>
      </c>
      <c r="Q2045" s="1">
        <f t="shared" ca="1" si="223"/>
        <v>4055</v>
      </c>
      <c r="S2045" s="1">
        <f t="shared" si="217"/>
        <v>10737</v>
      </c>
    </row>
    <row r="2046" spans="1:19" x14ac:dyDescent="0.2">
      <c r="A2046" s="57" t="s">
        <v>224</v>
      </c>
      <c r="B2046" s="57" t="s">
        <v>237</v>
      </c>
      <c r="C2046" s="57" t="s">
        <v>238</v>
      </c>
      <c r="D2046" s="58">
        <v>165.05</v>
      </c>
      <c r="E2046" s="59">
        <v>41079</v>
      </c>
      <c r="F2046" s="58">
        <v>10737</v>
      </c>
      <c r="G2046" s="58">
        <v>6302</v>
      </c>
      <c r="H2046" s="58">
        <v>3866</v>
      </c>
      <c r="I2046" s="58">
        <v>13117</v>
      </c>
      <c r="J2046" s="58">
        <v>0</v>
      </c>
      <c r="K2046" s="1">
        <f t="shared" si="218"/>
        <v>638083.30000000005</v>
      </c>
      <c r="L2046" s="1">
        <f t="shared" si="219"/>
        <v>3866</v>
      </c>
      <c r="M2046" s="1">
        <f>VLOOKUP(B2046,'[1]Срок Годности'!$A$2:$B$4,2,0)</f>
        <v>1000</v>
      </c>
      <c r="N2046" s="60">
        <f t="shared" si="220"/>
        <v>6302</v>
      </c>
      <c r="O2046" s="1" t="str">
        <f t="shared" si="221"/>
        <v>25 2012</v>
      </c>
      <c r="P2046" s="1">
        <f t="shared" si="222"/>
        <v>22</v>
      </c>
      <c r="Q2046" s="1">
        <f t="shared" ca="1" si="223"/>
        <v>4054</v>
      </c>
      <c r="S2046" s="1">
        <f t="shared" si="217"/>
        <v>13117</v>
      </c>
    </row>
    <row r="2047" spans="1:19" x14ac:dyDescent="0.2">
      <c r="A2047" s="57" t="s">
        <v>224</v>
      </c>
      <c r="B2047" s="57" t="s">
        <v>237</v>
      </c>
      <c r="C2047" s="57" t="s">
        <v>238</v>
      </c>
      <c r="D2047" s="58">
        <v>165.05</v>
      </c>
      <c r="E2047" s="59">
        <v>41080</v>
      </c>
      <c r="F2047" s="58">
        <v>13117</v>
      </c>
      <c r="G2047" s="58">
        <v>3836</v>
      </c>
      <c r="H2047" s="58">
        <v>3760</v>
      </c>
      <c r="I2047" s="58">
        <v>13141</v>
      </c>
      <c r="J2047" s="58">
        <v>0</v>
      </c>
      <c r="K2047" s="1">
        <f t="shared" si="218"/>
        <v>620588</v>
      </c>
      <c r="L2047" s="1">
        <f t="shared" si="219"/>
        <v>3760</v>
      </c>
      <c r="M2047" s="1">
        <f>VLOOKUP(B2047,'[1]Срок Годности'!$A$2:$B$4,2,0)</f>
        <v>1000</v>
      </c>
      <c r="N2047" s="60">
        <f t="shared" si="220"/>
        <v>3836</v>
      </c>
      <c r="O2047" s="1" t="str">
        <f t="shared" si="221"/>
        <v>25 2012</v>
      </c>
      <c r="P2047" s="1">
        <f t="shared" si="222"/>
        <v>22</v>
      </c>
      <c r="Q2047" s="1">
        <f t="shared" ca="1" si="223"/>
        <v>4053</v>
      </c>
      <c r="S2047" s="1">
        <f t="shared" si="217"/>
        <v>13141</v>
      </c>
    </row>
    <row r="2048" spans="1:19" x14ac:dyDescent="0.2">
      <c r="A2048" s="57" t="s">
        <v>224</v>
      </c>
      <c r="B2048" s="57" t="s">
        <v>237</v>
      </c>
      <c r="C2048" s="57" t="s">
        <v>238</v>
      </c>
      <c r="D2048" s="58">
        <v>165.05</v>
      </c>
      <c r="E2048" s="59">
        <v>41081</v>
      </c>
      <c r="F2048" s="58">
        <v>13141</v>
      </c>
      <c r="G2048" s="58">
        <v>4831</v>
      </c>
      <c r="H2048" s="58">
        <v>3549</v>
      </c>
      <c r="I2048" s="58">
        <v>14377</v>
      </c>
      <c r="J2048" s="58">
        <v>0</v>
      </c>
      <c r="K2048" s="1">
        <f t="shared" si="218"/>
        <v>585762.45000000007</v>
      </c>
      <c r="L2048" s="1">
        <f t="shared" si="219"/>
        <v>3549</v>
      </c>
      <c r="M2048" s="1">
        <f>VLOOKUP(B2048,'[1]Срок Годности'!$A$2:$B$4,2,0)</f>
        <v>1000</v>
      </c>
      <c r="N2048" s="60">
        <f t="shared" si="220"/>
        <v>4831</v>
      </c>
      <c r="O2048" s="1" t="str">
        <f t="shared" si="221"/>
        <v>25 2012</v>
      </c>
      <c r="P2048" s="1">
        <f t="shared" si="222"/>
        <v>22</v>
      </c>
      <c r="Q2048" s="1">
        <f t="shared" ca="1" si="223"/>
        <v>4052</v>
      </c>
      <c r="S2048" s="1">
        <f t="shared" si="217"/>
        <v>14377</v>
      </c>
    </row>
    <row r="2049" spans="1:19" x14ac:dyDescent="0.2">
      <c r="A2049" s="57" t="s">
        <v>224</v>
      </c>
      <c r="B2049" s="57" t="s">
        <v>237</v>
      </c>
      <c r="C2049" s="57" t="s">
        <v>238</v>
      </c>
      <c r="D2049" s="58">
        <v>165.05</v>
      </c>
      <c r="E2049" s="59">
        <v>41082</v>
      </c>
      <c r="F2049" s="58">
        <v>14377</v>
      </c>
      <c r="G2049" s="58">
        <v>3587</v>
      </c>
      <c r="H2049" s="58">
        <v>3240</v>
      </c>
      <c r="I2049" s="58">
        <v>14686</v>
      </c>
      <c r="J2049" s="58">
        <v>0</v>
      </c>
      <c r="K2049" s="1">
        <f t="shared" si="218"/>
        <v>534762</v>
      </c>
      <c r="L2049" s="1">
        <f t="shared" si="219"/>
        <v>3240</v>
      </c>
      <c r="M2049" s="1">
        <f>VLOOKUP(B2049,'[1]Срок Годности'!$A$2:$B$4,2,0)</f>
        <v>1000</v>
      </c>
      <c r="N2049" s="60">
        <f t="shared" si="220"/>
        <v>3587</v>
      </c>
      <c r="O2049" s="1" t="str">
        <f t="shared" si="221"/>
        <v>25 2012</v>
      </c>
      <c r="P2049" s="1">
        <f t="shared" si="222"/>
        <v>22</v>
      </c>
      <c r="Q2049" s="1">
        <f t="shared" ca="1" si="223"/>
        <v>4051</v>
      </c>
      <c r="S2049" s="1">
        <f t="shared" si="217"/>
        <v>14686</v>
      </c>
    </row>
    <row r="2050" spans="1:19" x14ac:dyDescent="0.2">
      <c r="A2050" s="57" t="s">
        <v>224</v>
      </c>
      <c r="B2050" s="57" t="s">
        <v>237</v>
      </c>
      <c r="C2050" s="57" t="s">
        <v>238</v>
      </c>
      <c r="D2050" s="58">
        <v>165.05</v>
      </c>
      <c r="E2050" s="59">
        <v>41083</v>
      </c>
      <c r="F2050" s="58">
        <v>14686</v>
      </c>
      <c r="G2050" s="58">
        <v>2918</v>
      </c>
      <c r="H2050" s="58">
        <v>3818</v>
      </c>
      <c r="I2050" s="58">
        <v>13744</v>
      </c>
      <c r="J2050" s="58">
        <v>0</v>
      </c>
      <c r="K2050" s="1">
        <f t="shared" si="218"/>
        <v>630160.9</v>
      </c>
      <c r="L2050" s="1">
        <f t="shared" si="219"/>
        <v>3818</v>
      </c>
      <c r="M2050" s="1">
        <f>VLOOKUP(B2050,'[1]Срок Годности'!$A$2:$B$4,2,0)</f>
        <v>1000</v>
      </c>
      <c r="N2050" s="60">
        <f t="shared" si="220"/>
        <v>2918</v>
      </c>
      <c r="O2050" s="1" t="str">
        <f t="shared" si="221"/>
        <v>25 2012</v>
      </c>
      <c r="P2050" s="1">
        <f t="shared" si="222"/>
        <v>22</v>
      </c>
      <c r="Q2050" s="1">
        <f t="shared" ca="1" si="223"/>
        <v>4050</v>
      </c>
      <c r="S2050" s="1">
        <f t="shared" si="217"/>
        <v>13744</v>
      </c>
    </row>
    <row r="2051" spans="1:19" x14ac:dyDescent="0.2">
      <c r="A2051" s="57" t="s">
        <v>224</v>
      </c>
      <c r="B2051" s="57" t="s">
        <v>237</v>
      </c>
      <c r="C2051" s="57" t="s">
        <v>238</v>
      </c>
      <c r="D2051" s="58">
        <v>165.05</v>
      </c>
      <c r="E2051" s="59">
        <v>41084</v>
      </c>
      <c r="F2051" s="58">
        <v>13744</v>
      </c>
      <c r="G2051" s="58">
        <v>3789</v>
      </c>
      <c r="H2051" s="58">
        <v>4172</v>
      </c>
      <c r="I2051" s="58">
        <v>13343</v>
      </c>
      <c r="J2051" s="58">
        <v>0</v>
      </c>
      <c r="K2051" s="1">
        <f t="shared" si="218"/>
        <v>688588.60000000009</v>
      </c>
      <c r="L2051" s="1">
        <f t="shared" si="219"/>
        <v>4172</v>
      </c>
      <c r="M2051" s="1">
        <f>VLOOKUP(B2051,'[1]Срок Годности'!$A$2:$B$4,2,0)</f>
        <v>1000</v>
      </c>
      <c r="N2051" s="60">
        <f t="shared" si="220"/>
        <v>0</v>
      </c>
      <c r="O2051" s="1" t="str">
        <f t="shared" si="221"/>
        <v>26 2012</v>
      </c>
      <c r="P2051" s="1">
        <f t="shared" si="222"/>
        <v>22</v>
      </c>
      <c r="Q2051" s="1">
        <f t="shared" ca="1" si="223"/>
        <v>4049</v>
      </c>
      <c r="S2051" s="1">
        <f t="shared" si="217"/>
        <v>13343</v>
      </c>
    </row>
    <row r="2052" spans="1:19" x14ac:dyDescent="0.2">
      <c r="A2052" s="57" t="s">
        <v>224</v>
      </c>
      <c r="B2052" s="57" t="s">
        <v>237</v>
      </c>
      <c r="C2052" s="57" t="s">
        <v>238</v>
      </c>
      <c r="D2052" s="58">
        <v>165.05</v>
      </c>
      <c r="E2052" s="59">
        <v>41085</v>
      </c>
      <c r="F2052" s="58">
        <v>13343</v>
      </c>
      <c r="G2052" s="58">
        <v>5841</v>
      </c>
      <c r="H2052" s="58">
        <v>4061</v>
      </c>
      <c r="I2052" s="58">
        <v>15076</v>
      </c>
      <c r="J2052" s="58">
        <v>0</v>
      </c>
      <c r="K2052" s="1">
        <f t="shared" si="218"/>
        <v>670268.05000000005</v>
      </c>
      <c r="L2052" s="1">
        <f t="shared" si="219"/>
        <v>4061</v>
      </c>
      <c r="M2052" s="1">
        <f>VLOOKUP(B2052,'[1]Срок Годности'!$A$2:$B$4,2,0)</f>
        <v>1000</v>
      </c>
      <c r="N2052" s="60">
        <f t="shared" si="220"/>
        <v>5841</v>
      </c>
      <c r="O2052" s="1" t="str">
        <f t="shared" si="221"/>
        <v>26 2012</v>
      </c>
      <c r="P2052" s="1">
        <f t="shared" si="222"/>
        <v>22</v>
      </c>
      <c r="Q2052" s="1">
        <f t="shared" ca="1" si="223"/>
        <v>4048</v>
      </c>
      <c r="S2052" s="1">
        <f t="shared" si="217"/>
        <v>15076</v>
      </c>
    </row>
    <row r="2053" spans="1:19" x14ac:dyDescent="0.2">
      <c r="A2053" s="57" t="s">
        <v>224</v>
      </c>
      <c r="B2053" s="57" t="s">
        <v>237</v>
      </c>
      <c r="C2053" s="57" t="s">
        <v>238</v>
      </c>
      <c r="D2053" s="58">
        <v>165.05</v>
      </c>
      <c r="E2053" s="59">
        <v>41086</v>
      </c>
      <c r="F2053" s="58">
        <v>15076</v>
      </c>
      <c r="G2053" s="58">
        <v>6587</v>
      </c>
      <c r="H2053" s="58">
        <v>3935</v>
      </c>
      <c r="I2053" s="58">
        <v>17695</v>
      </c>
      <c r="J2053" s="58">
        <v>0</v>
      </c>
      <c r="K2053" s="1">
        <f t="shared" si="218"/>
        <v>649471.75</v>
      </c>
      <c r="L2053" s="1">
        <f t="shared" si="219"/>
        <v>3935</v>
      </c>
      <c r="M2053" s="1">
        <f>VLOOKUP(B2053,'[1]Срок Годности'!$A$2:$B$4,2,0)</f>
        <v>1000</v>
      </c>
      <c r="N2053" s="60">
        <f t="shared" si="220"/>
        <v>6587</v>
      </c>
      <c r="O2053" s="1" t="str">
        <f t="shared" si="221"/>
        <v>26 2012</v>
      </c>
      <c r="P2053" s="1">
        <f t="shared" si="222"/>
        <v>22</v>
      </c>
      <c r="Q2053" s="1">
        <f t="shared" ca="1" si="223"/>
        <v>4047</v>
      </c>
      <c r="S2053" s="1">
        <f t="shared" si="217"/>
        <v>17695</v>
      </c>
    </row>
    <row r="2054" spans="1:19" x14ac:dyDescent="0.2">
      <c r="A2054" s="57" t="s">
        <v>224</v>
      </c>
      <c r="B2054" s="57" t="s">
        <v>237</v>
      </c>
      <c r="C2054" s="57" t="s">
        <v>238</v>
      </c>
      <c r="D2054" s="58">
        <v>165.05</v>
      </c>
      <c r="E2054" s="59">
        <v>41087</v>
      </c>
      <c r="F2054" s="58">
        <v>17695</v>
      </c>
      <c r="G2054" s="58">
        <v>4504</v>
      </c>
      <c r="H2054" s="58">
        <v>4241</v>
      </c>
      <c r="I2054" s="58">
        <v>17910</v>
      </c>
      <c r="J2054" s="58">
        <v>0</v>
      </c>
      <c r="K2054" s="1">
        <f t="shared" si="218"/>
        <v>699977.05</v>
      </c>
      <c r="L2054" s="1">
        <f t="shared" si="219"/>
        <v>4241</v>
      </c>
      <c r="M2054" s="1">
        <f>VLOOKUP(B2054,'[1]Срок Годности'!$A$2:$B$4,2,0)</f>
        <v>1000</v>
      </c>
      <c r="N2054" s="60">
        <f t="shared" si="220"/>
        <v>4504</v>
      </c>
      <c r="O2054" s="1" t="str">
        <f t="shared" si="221"/>
        <v>26 2012</v>
      </c>
      <c r="P2054" s="1">
        <f t="shared" si="222"/>
        <v>22</v>
      </c>
      <c r="Q2054" s="1">
        <f t="shared" ca="1" si="223"/>
        <v>4046</v>
      </c>
      <c r="S2054" s="1">
        <f t="shared" si="217"/>
        <v>17910</v>
      </c>
    </row>
    <row r="2055" spans="1:19" x14ac:dyDescent="0.2">
      <c r="A2055" s="57" t="s">
        <v>224</v>
      </c>
      <c r="B2055" s="57" t="s">
        <v>237</v>
      </c>
      <c r="C2055" s="57" t="s">
        <v>238</v>
      </c>
      <c r="D2055" s="58">
        <v>165.05</v>
      </c>
      <c r="E2055" s="59">
        <v>41088</v>
      </c>
      <c r="F2055" s="58">
        <v>17910</v>
      </c>
      <c r="G2055" s="58">
        <v>4525</v>
      </c>
      <c r="H2055" s="58">
        <v>3895</v>
      </c>
      <c r="I2055" s="58">
        <v>18492</v>
      </c>
      <c r="J2055" s="58">
        <v>0</v>
      </c>
      <c r="K2055" s="1">
        <f t="shared" si="218"/>
        <v>642869.75</v>
      </c>
      <c r="L2055" s="1">
        <f t="shared" si="219"/>
        <v>3895</v>
      </c>
      <c r="M2055" s="1">
        <f>VLOOKUP(B2055,'[1]Срок Годности'!$A$2:$B$4,2,0)</f>
        <v>1000</v>
      </c>
      <c r="N2055" s="60">
        <f t="shared" si="220"/>
        <v>4525</v>
      </c>
      <c r="O2055" s="1" t="str">
        <f t="shared" si="221"/>
        <v>26 2012</v>
      </c>
      <c r="P2055" s="1">
        <f t="shared" si="222"/>
        <v>22</v>
      </c>
      <c r="Q2055" s="1">
        <f t="shared" ca="1" si="223"/>
        <v>4045</v>
      </c>
      <c r="S2055" s="1">
        <f t="shared" ref="S2055:S2118" si="224">I2055-J2055</f>
        <v>18492</v>
      </c>
    </row>
    <row r="2056" spans="1:19" x14ac:dyDescent="0.2">
      <c r="A2056" s="57" t="s">
        <v>224</v>
      </c>
      <c r="B2056" s="57" t="s">
        <v>237</v>
      </c>
      <c r="C2056" s="57" t="s">
        <v>238</v>
      </c>
      <c r="D2056" s="58">
        <v>165.05</v>
      </c>
      <c r="E2056" s="59">
        <v>41089</v>
      </c>
      <c r="F2056" s="58">
        <v>18492</v>
      </c>
      <c r="G2056" s="58">
        <v>3717</v>
      </c>
      <c r="H2056" s="58">
        <v>4079</v>
      </c>
      <c r="I2056" s="58">
        <v>18075</v>
      </c>
      <c r="J2056" s="58">
        <v>0</v>
      </c>
      <c r="K2056" s="1">
        <f t="shared" ref="K2056:K2119" si="225">H2056*D2056</f>
        <v>673238.95000000007</v>
      </c>
      <c r="L2056" s="1">
        <f t="shared" ref="L2056:L2119" si="226">IF(H2056&gt;1000,H2056,"")</f>
        <v>4079</v>
      </c>
      <c r="M2056" s="1">
        <f>VLOOKUP(B2056,'[1]Срок Годности'!$A$2:$B$4,2,0)</f>
        <v>1000</v>
      </c>
      <c r="N2056" s="60">
        <f t="shared" ref="N2056:N2119" si="227">IF(WEEKDAY(E2056) = 1, 0, G2056)</f>
        <v>3717</v>
      </c>
      <c r="O2056" s="1" t="str">
        <f t="shared" ref="O2056:O2119" si="228">WEEKNUM(E2056) &amp; " " &amp; YEAR(E2056)</f>
        <v>26 2012</v>
      </c>
      <c r="P2056" s="1">
        <f t="shared" ref="P2056:P2119" si="229">LEN(C2056)</f>
        <v>22</v>
      </c>
      <c r="Q2056" s="1">
        <f t="shared" ref="Q2056:Q2119" ca="1" si="230">DATEDIF(E2056,NOW(),"D")</f>
        <v>4044</v>
      </c>
      <c r="S2056" s="1">
        <f t="shared" si="224"/>
        <v>18075</v>
      </c>
    </row>
    <row r="2057" spans="1:19" x14ac:dyDescent="0.2">
      <c r="A2057" s="57" t="s">
        <v>224</v>
      </c>
      <c r="B2057" s="57" t="s">
        <v>237</v>
      </c>
      <c r="C2057" s="57" t="s">
        <v>238</v>
      </c>
      <c r="D2057" s="58">
        <v>165.05</v>
      </c>
      <c r="E2057" s="59">
        <v>41090</v>
      </c>
      <c r="F2057" s="58">
        <v>18075</v>
      </c>
      <c r="G2057" s="58">
        <v>4624</v>
      </c>
      <c r="H2057" s="58">
        <v>4830</v>
      </c>
      <c r="I2057" s="58">
        <v>17808</v>
      </c>
      <c r="J2057" s="58">
        <v>0</v>
      </c>
      <c r="K2057" s="1">
        <f t="shared" si="225"/>
        <v>797191.5</v>
      </c>
      <c r="L2057" s="1">
        <f t="shared" si="226"/>
        <v>4830</v>
      </c>
      <c r="M2057" s="1">
        <f>VLOOKUP(B2057,'[1]Срок Годности'!$A$2:$B$4,2,0)</f>
        <v>1000</v>
      </c>
      <c r="N2057" s="60">
        <f t="shared" si="227"/>
        <v>4624</v>
      </c>
      <c r="O2057" s="1" t="str">
        <f t="shared" si="228"/>
        <v>26 2012</v>
      </c>
      <c r="P2057" s="1">
        <f t="shared" si="229"/>
        <v>22</v>
      </c>
      <c r="Q2057" s="1">
        <f t="shared" ca="1" si="230"/>
        <v>4043</v>
      </c>
      <c r="S2057" s="1">
        <f t="shared" si="224"/>
        <v>17808</v>
      </c>
    </row>
    <row r="2058" spans="1:19" x14ac:dyDescent="0.2">
      <c r="A2058" s="57" t="s">
        <v>224</v>
      </c>
      <c r="B2058" s="57" t="s">
        <v>237</v>
      </c>
      <c r="C2058" s="57" t="s">
        <v>238</v>
      </c>
      <c r="D2058" s="58">
        <v>165.05</v>
      </c>
      <c r="E2058" s="59">
        <v>41091</v>
      </c>
      <c r="F2058" s="58">
        <v>17808</v>
      </c>
      <c r="G2058" s="58">
        <v>3814</v>
      </c>
      <c r="H2058" s="58">
        <v>4889</v>
      </c>
      <c r="I2058" s="58">
        <v>16698</v>
      </c>
      <c r="J2058" s="58">
        <v>0</v>
      </c>
      <c r="K2058" s="1">
        <f t="shared" si="225"/>
        <v>806929.45000000007</v>
      </c>
      <c r="L2058" s="1">
        <f t="shared" si="226"/>
        <v>4889</v>
      </c>
      <c r="M2058" s="1">
        <f>VLOOKUP(B2058,'[1]Срок Годности'!$A$2:$B$4,2,0)</f>
        <v>1000</v>
      </c>
      <c r="N2058" s="60">
        <f t="shared" si="227"/>
        <v>0</v>
      </c>
      <c r="O2058" s="1" t="str">
        <f t="shared" si="228"/>
        <v>27 2012</v>
      </c>
      <c r="P2058" s="1">
        <f t="shared" si="229"/>
        <v>22</v>
      </c>
      <c r="Q2058" s="1">
        <f t="shared" ca="1" si="230"/>
        <v>4042</v>
      </c>
      <c r="S2058" s="1">
        <f t="shared" si="224"/>
        <v>16698</v>
      </c>
    </row>
    <row r="2059" spans="1:19" x14ac:dyDescent="0.2">
      <c r="A2059" s="57" t="s">
        <v>224</v>
      </c>
      <c r="B2059" s="57" t="s">
        <v>237</v>
      </c>
      <c r="C2059" s="57" t="s">
        <v>238</v>
      </c>
      <c r="D2059" s="58">
        <v>165.05</v>
      </c>
      <c r="E2059" s="59">
        <v>41092</v>
      </c>
      <c r="F2059" s="58">
        <v>16698</v>
      </c>
      <c r="G2059" s="58">
        <v>1392</v>
      </c>
      <c r="H2059" s="58">
        <v>4367</v>
      </c>
      <c r="I2059" s="58">
        <v>13674</v>
      </c>
      <c r="J2059" s="58">
        <v>0</v>
      </c>
      <c r="K2059" s="1">
        <f t="shared" si="225"/>
        <v>720773.35000000009</v>
      </c>
      <c r="L2059" s="1">
        <f t="shared" si="226"/>
        <v>4367</v>
      </c>
      <c r="M2059" s="1">
        <f>VLOOKUP(B2059,'[1]Срок Годности'!$A$2:$B$4,2,0)</f>
        <v>1000</v>
      </c>
      <c r="N2059" s="60">
        <f t="shared" si="227"/>
        <v>1392</v>
      </c>
      <c r="O2059" s="1" t="str">
        <f t="shared" si="228"/>
        <v>27 2012</v>
      </c>
      <c r="P2059" s="1">
        <f t="shared" si="229"/>
        <v>22</v>
      </c>
      <c r="Q2059" s="1">
        <f t="shared" ca="1" si="230"/>
        <v>4041</v>
      </c>
      <c r="S2059" s="1">
        <f t="shared" si="224"/>
        <v>13674</v>
      </c>
    </row>
    <row r="2060" spans="1:19" x14ac:dyDescent="0.2">
      <c r="A2060" s="57" t="s">
        <v>224</v>
      </c>
      <c r="B2060" s="57" t="s">
        <v>237</v>
      </c>
      <c r="C2060" s="57" t="s">
        <v>238</v>
      </c>
      <c r="D2060" s="58">
        <v>165.05</v>
      </c>
      <c r="E2060" s="59">
        <v>41093</v>
      </c>
      <c r="F2060" s="58">
        <v>13674</v>
      </c>
      <c r="G2060" s="58">
        <v>4942</v>
      </c>
      <c r="H2060" s="58">
        <v>3963</v>
      </c>
      <c r="I2060" s="58">
        <v>14592</v>
      </c>
      <c r="J2060" s="58">
        <v>0</v>
      </c>
      <c r="K2060" s="1">
        <f t="shared" si="225"/>
        <v>654093.15</v>
      </c>
      <c r="L2060" s="1">
        <f t="shared" si="226"/>
        <v>3963</v>
      </c>
      <c r="M2060" s="1">
        <f>VLOOKUP(B2060,'[1]Срок Годности'!$A$2:$B$4,2,0)</f>
        <v>1000</v>
      </c>
      <c r="N2060" s="60">
        <f t="shared" si="227"/>
        <v>4942</v>
      </c>
      <c r="O2060" s="1" t="str">
        <f t="shared" si="228"/>
        <v>27 2012</v>
      </c>
      <c r="P2060" s="1">
        <f t="shared" si="229"/>
        <v>22</v>
      </c>
      <c r="Q2060" s="1">
        <f t="shared" ca="1" si="230"/>
        <v>4040</v>
      </c>
      <c r="S2060" s="1">
        <f t="shared" si="224"/>
        <v>14592</v>
      </c>
    </row>
    <row r="2061" spans="1:19" x14ac:dyDescent="0.2">
      <c r="A2061" s="57" t="s">
        <v>224</v>
      </c>
      <c r="B2061" s="57" t="s">
        <v>237</v>
      </c>
      <c r="C2061" s="57" t="s">
        <v>238</v>
      </c>
      <c r="D2061" s="58">
        <v>165.05</v>
      </c>
      <c r="E2061" s="59">
        <v>41094</v>
      </c>
      <c r="F2061" s="58">
        <v>14592</v>
      </c>
      <c r="G2061" s="58">
        <v>8006</v>
      </c>
      <c r="H2061" s="58">
        <v>4123</v>
      </c>
      <c r="I2061" s="58">
        <v>18412</v>
      </c>
      <c r="J2061" s="58">
        <v>0</v>
      </c>
      <c r="K2061" s="1">
        <f t="shared" si="225"/>
        <v>680501.15</v>
      </c>
      <c r="L2061" s="1">
        <f t="shared" si="226"/>
        <v>4123</v>
      </c>
      <c r="M2061" s="1">
        <f>VLOOKUP(B2061,'[1]Срок Годности'!$A$2:$B$4,2,0)</f>
        <v>1000</v>
      </c>
      <c r="N2061" s="60">
        <f t="shared" si="227"/>
        <v>8006</v>
      </c>
      <c r="O2061" s="1" t="str">
        <f t="shared" si="228"/>
        <v>27 2012</v>
      </c>
      <c r="P2061" s="1">
        <f t="shared" si="229"/>
        <v>22</v>
      </c>
      <c r="Q2061" s="1">
        <f t="shared" ca="1" si="230"/>
        <v>4039</v>
      </c>
      <c r="S2061" s="1">
        <f t="shared" si="224"/>
        <v>18412</v>
      </c>
    </row>
    <row r="2062" spans="1:19" x14ac:dyDescent="0.2">
      <c r="A2062" s="57" t="s">
        <v>224</v>
      </c>
      <c r="B2062" s="57" t="s">
        <v>237</v>
      </c>
      <c r="C2062" s="57" t="s">
        <v>238</v>
      </c>
      <c r="D2062" s="58">
        <v>165.05</v>
      </c>
      <c r="E2062" s="59">
        <v>41095</v>
      </c>
      <c r="F2062" s="58">
        <v>18412</v>
      </c>
      <c r="G2062" s="58">
        <v>103</v>
      </c>
      <c r="H2062" s="58">
        <v>4726</v>
      </c>
      <c r="I2062" s="58">
        <v>13733</v>
      </c>
      <c r="J2062" s="58">
        <v>0</v>
      </c>
      <c r="K2062" s="1">
        <f t="shared" si="225"/>
        <v>780026.3</v>
      </c>
      <c r="L2062" s="1">
        <f t="shared" si="226"/>
        <v>4726</v>
      </c>
      <c r="M2062" s="1">
        <f>VLOOKUP(B2062,'[1]Срок Годности'!$A$2:$B$4,2,0)</f>
        <v>1000</v>
      </c>
      <c r="N2062" s="60">
        <f t="shared" si="227"/>
        <v>103</v>
      </c>
      <c r="O2062" s="1" t="str">
        <f t="shared" si="228"/>
        <v>27 2012</v>
      </c>
      <c r="P2062" s="1">
        <f t="shared" si="229"/>
        <v>22</v>
      </c>
      <c r="Q2062" s="1">
        <f t="shared" ca="1" si="230"/>
        <v>4038</v>
      </c>
      <c r="S2062" s="1">
        <f t="shared" si="224"/>
        <v>13733</v>
      </c>
    </row>
    <row r="2063" spans="1:19" x14ac:dyDescent="0.2">
      <c r="A2063" s="57" t="s">
        <v>224</v>
      </c>
      <c r="B2063" s="57" t="s">
        <v>237</v>
      </c>
      <c r="C2063" s="57" t="s">
        <v>238</v>
      </c>
      <c r="D2063" s="58">
        <v>165.05</v>
      </c>
      <c r="E2063" s="59">
        <v>41096</v>
      </c>
      <c r="F2063" s="58">
        <v>13733</v>
      </c>
      <c r="G2063" s="58">
        <v>0</v>
      </c>
      <c r="H2063" s="58">
        <v>4218</v>
      </c>
      <c r="I2063" s="58">
        <v>9499</v>
      </c>
      <c r="J2063" s="58">
        <v>0</v>
      </c>
      <c r="K2063" s="1">
        <f t="shared" si="225"/>
        <v>696180.9</v>
      </c>
      <c r="L2063" s="1">
        <f t="shared" si="226"/>
        <v>4218</v>
      </c>
      <c r="M2063" s="1">
        <f>VLOOKUP(B2063,'[1]Срок Годности'!$A$2:$B$4,2,0)</f>
        <v>1000</v>
      </c>
      <c r="N2063" s="60">
        <f t="shared" si="227"/>
        <v>0</v>
      </c>
      <c r="O2063" s="1" t="str">
        <f t="shared" si="228"/>
        <v>27 2012</v>
      </c>
      <c r="P2063" s="1">
        <f t="shared" si="229"/>
        <v>22</v>
      </c>
      <c r="Q2063" s="1">
        <f t="shared" ca="1" si="230"/>
        <v>4037</v>
      </c>
      <c r="S2063" s="1">
        <f t="shared" si="224"/>
        <v>9499</v>
      </c>
    </row>
    <row r="2064" spans="1:19" x14ac:dyDescent="0.2">
      <c r="A2064" s="57" t="s">
        <v>224</v>
      </c>
      <c r="B2064" s="57" t="s">
        <v>237</v>
      </c>
      <c r="C2064" s="57" t="s">
        <v>238</v>
      </c>
      <c r="D2064" s="58">
        <v>165.05</v>
      </c>
      <c r="E2064" s="59">
        <v>41097</v>
      </c>
      <c r="F2064" s="58">
        <v>9499</v>
      </c>
      <c r="G2064" s="58">
        <v>31</v>
      </c>
      <c r="H2064" s="58">
        <v>3412</v>
      </c>
      <c r="I2064" s="58">
        <v>6090</v>
      </c>
      <c r="J2064" s="58">
        <v>0</v>
      </c>
      <c r="K2064" s="1">
        <f t="shared" si="225"/>
        <v>563150.60000000009</v>
      </c>
      <c r="L2064" s="1">
        <f t="shared" si="226"/>
        <v>3412</v>
      </c>
      <c r="M2064" s="1">
        <f>VLOOKUP(B2064,'[1]Срок Годности'!$A$2:$B$4,2,0)</f>
        <v>1000</v>
      </c>
      <c r="N2064" s="60">
        <f t="shared" si="227"/>
        <v>31</v>
      </c>
      <c r="O2064" s="1" t="str">
        <f t="shared" si="228"/>
        <v>27 2012</v>
      </c>
      <c r="P2064" s="1">
        <f t="shared" si="229"/>
        <v>22</v>
      </c>
      <c r="Q2064" s="1">
        <f t="shared" ca="1" si="230"/>
        <v>4036</v>
      </c>
      <c r="S2064" s="1">
        <f t="shared" si="224"/>
        <v>6090</v>
      </c>
    </row>
    <row r="2065" spans="1:19" x14ac:dyDescent="0.2">
      <c r="A2065" s="57" t="s">
        <v>224</v>
      </c>
      <c r="B2065" s="57" t="s">
        <v>237</v>
      </c>
      <c r="C2065" s="57" t="s">
        <v>238</v>
      </c>
      <c r="D2065" s="58">
        <v>165.05</v>
      </c>
      <c r="E2065" s="59">
        <v>41098</v>
      </c>
      <c r="F2065" s="58">
        <v>6090</v>
      </c>
      <c r="G2065" s="58">
        <v>4322</v>
      </c>
      <c r="H2065" s="58">
        <v>2360</v>
      </c>
      <c r="I2065" s="58">
        <v>7976</v>
      </c>
      <c r="J2065" s="58">
        <v>0</v>
      </c>
      <c r="K2065" s="1">
        <f t="shared" si="225"/>
        <v>389518</v>
      </c>
      <c r="L2065" s="1">
        <f t="shared" si="226"/>
        <v>2360</v>
      </c>
      <c r="M2065" s="1">
        <f>VLOOKUP(B2065,'[1]Срок Годности'!$A$2:$B$4,2,0)</f>
        <v>1000</v>
      </c>
      <c r="N2065" s="60">
        <f t="shared" si="227"/>
        <v>0</v>
      </c>
      <c r="O2065" s="1" t="str">
        <f t="shared" si="228"/>
        <v>28 2012</v>
      </c>
      <c r="P2065" s="1">
        <f t="shared" si="229"/>
        <v>22</v>
      </c>
      <c r="Q2065" s="1">
        <f t="shared" ca="1" si="230"/>
        <v>4035</v>
      </c>
      <c r="S2065" s="1">
        <f t="shared" si="224"/>
        <v>7976</v>
      </c>
    </row>
    <row r="2066" spans="1:19" x14ac:dyDescent="0.2">
      <c r="A2066" s="57" t="s">
        <v>224</v>
      </c>
      <c r="B2066" s="57" t="s">
        <v>237</v>
      </c>
      <c r="C2066" s="57" t="s">
        <v>238</v>
      </c>
      <c r="D2066" s="58">
        <v>165.05</v>
      </c>
      <c r="E2066" s="59">
        <v>41099</v>
      </c>
      <c r="F2066" s="58">
        <v>7976</v>
      </c>
      <c r="G2066" s="58">
        <v>10624</v>
      </c>
      <c r="H2066" s="58">
        <v>3347</v>
      </c>
      <c r="I2066" s="58">
        <v>15152</v>
      </c>
      <c r="J2066" s="58">
        <v>0</v>
      </c>
      <c r="K2066" s="1">
        <f t="shared" si="225"/>
        <v>552422.35000000009</v>
      </c>
      <c r="L2066" s="1">
        <f t="shared" si="226"/>
        <v>3347</v>
      </c>
      <c r="M2066" s="1">
        <f>VLOOKUP(B2066,'[1]Срок Годности'!$A$2:$B$4,2,0)</f>
        <v>1000</v>
      </c>
      <c r="N2066" s="60">
        <f t="shared" si="227"/>
        <v>10624</v>
      </c>
      <c r="O2066" s="1" t="str">
        <f t="shared" si="228"/>
        <v>28 2012</v>
      </c>
      <c r="P2066" s="1">
        <f t="shared" si="229"/>
        <v>22</v>
      </c>
      <c r="Q2066" s="1">
        <f t="shared" ca="1" si="230"/>
        <v>4034</v>
      </c>
      <c r="S2066" s="1">
        <f t="shared" si="224"/>
        <v>15152</v>
      </c>
    </row>
    <row r="2067" spans="1:19" x14ac:dyDescent="0.2">
      <c r="A2067" s="57" t="s">
        <v>224</v>
      </c>
      <c r="B2067" s="57" t="s">
        <v>237</v>
      </c>
      <c r="C2067" s="57" t="s">
        <v>238</v>
      </c>
      <c r="D2067" s="58">
        <v>165.05</v>
      </c>
      <c r="E2067" s="59">
        <v>41100</v>
      </c>
      <c r="F2067" s="58">
        <v>15152</v>
      </c>
      <c r="G2067" s="58">
        <v>1771</v>
      </c>
      <c r="H2067" s="58">
        <v>3244</v>
      </c>
      <c r="I2067" s="58">
        <v>13529</v>
      </c>
      <c r="J2067" s="58">
        <v>0</v>
      </c>
      <c r="K2067" s="1">
        <f t="shared" si="225"/>
        <v>535422.20000000007</v>
      </c>
      <c r="L2067" s="1">
        <f t="shared" si="226"/>
        <v>3244</v>
      </c>
      <c r="M2067" s="1">
        <f>VLOOKUP(B2067,'[1]Срок Годности'!$A$2:$B$4,2,0)</f>
        <v>1000</v>
      </c>
      <c r="N2067" s="60">
        <f t="shared" si="227"/>
        <v>1771</v>
      </c>
      <c r="O2067" s="1" t="str">
        <f t="shared" si="228"/>
        <v>28 2012</v>
      </c>
      <c r="P2067" s="1">
        <f t="shared" si="229"/>
        <v>22</v>
      </c>
      <c r="Q2067" s="1">
        <f t="shared" ca="1" si="230"/>
        <v>4033</v>
      </c>
      <c r="S2067" s="1">
        <f t="shared" si="224"/>
        <v>13529</v>
      </c>
    </row>
    <row r="2068" spans="1:19" x14ac:dyDescent="0.2">
      <c r="A2068" s="57" t="s">
        <v>224</v>
      </c>
      <c r="B2068" s="57" t="s">
        <v>237</v>
      </c>
      <c r="C2068" s="57" t="s">
        <v>238</v>
      </c>
      <c r="D2068" s="58">
        <v>165.05</v>
      </c>
      <c r="E2068" s="59">
        <v>41101</v>
      </c>
      <c r="F2068" s="58">
        <v>13529</v>
      </c>
      <c r="G2068" s="58">
        <v>4229</v>
      </c>
      <c r="H2068" s="58">
        <v>3017</v>
      </c>
      <c r="I2068" s="58">
        <v>14648</v>
      </c>
      <c r="J2068" s="58">
        <v>0</v>
      </c>
      <c r="K2068" s="1">
        <f t="shared" si="225"/>
        <v>497955.85000000003</v>
      </c>
      <c r="L2068" s="1">
        <f t="shared" si="226"/>
        <v>3017</v>
      </c>
      <c r="M2068" s="1">
        <f>VLOOKUP(B2068,'[1]Срок Годности'!$A$2:$B$4,2,0)</f>
        <v>1000</v>
      </c>
      <c r="N2068" s="60">
        <f t="shared" si="227"/>
        <v>4229</v>
      </c>
      <c r="O2068" s="1" t="str">
        <f t="shared" si="228"/>
        <v>28 2012</v>
      </c>
      <c r="P2068" s="1">
        <f t="shared" si="229"/>
        <v>22</v>
      </c>
      <c r="Q2068" s="1">
        <f t="shared" ca="1" si="230"/>
        <v>4032</v>
      </c>
      <c r="S2068" s="1">
        <f t="shared" si="224"/>
        <v>14648</v>
      </c>
    </row>
    <row r="2069" spans="1:19" x14ac:dyDescent="0.2">
      <c r="A2069" s="57" t="s">
        <v>224</v>
      </c>
      <c r="B2069" s="57" t="s">
        <v>237</v>
      </c>
      <c r="C2069" s="57" t="s">
        <v>238</v>
      </c>
      <c r="D2069" s="58">
        <v>165.05</v>
      </c>
      <c r="E2069" s="59">
        <v>41102</v>
      </c>
      <c r="F2069" s="58">
        <v>14648</v>
      </c>
      <c r="G2069" s="58">
        <v>8469</v>
      </c>
      <c r="H2069" s="58">
        <v>3078</v>
      </c>
      <c r="I2069" s="58">
        <v>19953</v>
      </c>
      <c r="J2069" s="58">
        <v>0</v>
      </c>
      <c r="K2069" s="1">
        <f t="shared" si="225"/>
        <v>508023.9</v>
      </c>
      <c r="L2069" s="1">
        <f t="shared" si="226"/>
        <v>3078</v>
      </c>
      <c r="M2069" s="1">
        <f>VLOOKUP(B2069,'[1]Срок Годности'!$A$2:$B$4,2,0)</f>
        <v>1000</v>
      </c>
      <c r="N2069" s="60">
        <f t="shared" si="227"/>
        <v>8469</v>
      </c>
      <c r="O2069" s="1" t="str">
        <f t="shared" si="228"/>
        <v>28 2012</v>
      </c>
      <c r="P2069" s="1">
        <f t="shared" si="229"/>
        <v>22</v>
      </c>
      <c r="Q2069" s="1">
        <f t="shared" ca="1" si="230"/>
        <v>4031</v>
      </c>
      <c r="S2069" s="1">
        <f t="shared" si="224"/>
        <v>19953</v>
      </c>
    </row>
    <row r="2070" spans="1:19" x14ac:dyDescent="0.2">
      <c r="A2070" s="57" t="s">
        <v>224</v>
      </c>
      <c r="B2070" s="57" t="s">
        <v>237</v>
      </c>
      <c r="C2070" s="57" t="s">
        <v>238</v>
      </c>
      <c r="D2070" s="58">
        <v>165.05</v>
      </c>
      <c r="E2070" s="59">
        <v>41103</v>
      </c>
      <c r="F2070" s="58">
        <v>19953</v>
      </c>
      <c r="G2070" s="58">
        <v>2619</v>
      </c>
      <c r="H2070" s="58">
        <v>3375</v>
      </c>
      <c r="I2070" s="58">
        <v>19124</v>
      </c>
      <c r="J2070" s="58">
        <v>0</v>
      </c>
      <c r="K2070" s="1">
        <f t="shared" si="225"/>
        <v>557043.75</v>
      </c>
      <c r="L2070" s="1">
        <f t="shared" si="226"/>
        <v>3375</v>
      </c>
      <c r="M2070" s="1">
        <f>VLOOKUP(B2070,'[1]Срок Годности'!$A$2:$B$4,2,0)</f>
        <v>1000</v>
      </c>
      <c r="N2070" s="60">
        <f t="shared" si="227"/>
        <v>2619</v>
      </c>
      <c r="O2070" s="1" t="str">
        <f t="shared" si="228"/>
        <v>28 2012</v>
      </c>
      <c r="P2070" s="1">
        <f t="shared" si="229"/>
        <v>22</v>
      </c>
      <c r="Q2070" s="1">
        <f t="shared" ca="1" si="230"/>
        <v>4030</v>
      </c>
      <c r="S2070" s="1">
        <f t="shared" si="224"/>
        <v>19124</v>
      </c>
    </row>
    <row r="2071" spans="1:19" x14ac:dyDescent="0.2">
      <c r="A2071" s="57" t="s">
        <v>224</v>
      </c>
      <c r="B2071" s="57" t="s">
        <v>237</v>
      </c>
      <c r="C2071" s="57" t="s">
        <v>238</v>
      </c>
      <c r="D2071" s="58">
        <v>165.05</v>
      </c>
      <c r="E2071" s="59">
        <v>41104</v>
      </c>
      <c r="F2071" s="58">
        <v>19124</v>
      </c>
      <c r="G2071" s="58">
        <v>2032</v>
      </c>
      <c r="H2071" s="58">
        <v>3510</v>
      </c>
      <c r="I2071" s="58">
        <v>17596</v>
      </c>
      <c r="J2071" s="58">
        <v>0</v>
      </c>
      <c r="K2071" s="1">
        <f t="shared" si="225"/>
        <v>579325.5</v>
      </c>
      <c r="L2071" s="1">
        <f t="shared" si="226"/>
        <v>3510</v>
      </c>
      <c r="M2071" s="1">
        <f>VLOOKUP(B2071,'[1]Срок Годности'!$A$2:$B$4,2,0)</f>
        <v>1000</v>
      </c>
      <c r="N2071" s="60">
        <f t="shared" si="227"/>
        <v>2032</v>
      </c>
      <c r="O2071" s="1" t="str">
        <f t="shared" si="228"/>
        <v>28 2012</v>
      </c>
      <c r="P2071" s="1">
        <f t="shared" si="229"/>
        <v>22</v>
      </c>
      <c r="Q2071" s="1">
        <f t="shared" ca="1" si="230"/>
        <v>4029</v>
      </c>
      <c r="S2071" s="1">
        <f t="shared" si="224"/>
        <v>17596</v>
      </c>
    </row>
    <row r="2072" spans="1:19" x14ac:dyDescent="0.2">
      <c r="A2072" s="57" t="s">
        <v>224</v>
      </c>
      <c r="B2072" s="57" t="s">
        <v>237</v>
      </c>
      <c r="C2072" s="57" t="s">
        <v>238</v>
      </c>
      <c r="D2072" s="58">
        <v>165.05</v>
      </c>
      <c r="E2072" s="59">
        <v>41105</v>
      </c>
      <c r="F2072" s="58">
        <v>17596</v>
      </c>
      <c r="G2072" s="58">
        <v>2414</v>
      </c>
      <c r="H2072" s="58">
        <v>3178</v>
      </c>
      <c r="I2072" s="58">
        <v>16810</v>
      </c>
      <c r="J2072" s="58">
        <v>0</v>
      </c>
      <c r="K2072" s="1">
        <f t="shared" si="225"/>
        <v>524528.9</v>
      </c>
      <c r="L2072" s="1">
        <f t="shared" si="226"/>
        <v>3178</v>
      </c>
      <c r="M2072" s="1">
        <f>VLOOKUP(B2072,'[1]Срок Годности'!$A$2:$B$4,2,0)</f>
        <v>1000</v>
      </c>
      <c r="N2072" s="60">
        <f t="shared" si="227"/>
        <v>0</v>
      </c>
      <c r="O2072" s="1" t="str">
        <f t="shared" si="228"/>
        <v>29 2012</v>
      </c>
      <c r="P2072" s="1">
        <f t="shared" si="229"/>
        <v>22</v>
      </c>
      <c r="Q2072" s="1">
        <f t="shared" ca="1" si="230"/>
        <v>4028</v>
      </c>
      <c r="S2072" s="1">
        <f t="shared" si="224"/>
        <v>16810</v>
      </c>
    </row>
    <row r="2073" spans="1:19" x14ac:dyDescent="0.2">
      <c r="A2073" s="57" t="s">
        <v>224</v>
      </c>
      <c r="B2073" s="57" t="s">
        <v>237</v>
      </c>
      <c r="C2073" s="57" t="s">
        <v>238</v>
      </c>
      <c r="D2073" s="58">
        <v>165.05</v>
      </c>
      <c r="E2073" s="59">
        <v>41106</v>
      </c>
      <c r="F2073" s="58">
        <v>16810</v>
      </c>
      <c r="G2073" s="58">
        <v>2606</v>
      </c>
      <c r="H2073" s="58">
        <v>3381</v>
      </c>
      <c r="I2073" s="58">
        <v>15982</v>
      </c>
      <c r="J2073" s="58">
        <v>0</v>
      </c>
      <c r="K2073" s="1">
        <f t="shared" si="225"/>
        <v>558034.05000000005</v>
      </c>
      <c r="L2073" s="1">
        <f t="shared" si="226"/>
        <v>3381</v>
      </c>
      <c r="M2073" s="1">
        <f>VLOOKUP(B2073,'[1]Срок Годности'!$A$2:$B$4,2,0)</f>
        <v>1000</v>
      </c>
      <c r="N2073" s="60">
        <f t="shared" si="227"/>
        <v>2606</v>
      </c>
      <c r="O2073" s="1" t="str">
        <f t="shared" si="228"/>
        <v>29 2012</v>
      </c>
      <c r="P2073" s="1">
        <f t="shared" si="229"/>
        <v>22</v>
      </c>
      <c r="Q2073" s="1">
        <f t="shared" ca="1" si="230"/>
        <v>4027</v>
      </c>
      <c r="S2073" s="1">
        <f t="shared" si="224"/>
        <v>15982</v>
      </c>
    </row>
    <row r="2074" spans="1:19" x14ac:dyDescent="0.2">
      <c r="A2074" s="57" t="s">
        <v>224</v>
      </c>
      <c r="B2074" s="57" t="s">
        <v>237</v>
      </c>
      <c r="C2074" s="57" t="s">
        <v>238</v>
      </c>
      <c r="D2074" s="58">
        <v>165.05</v>
      </c>
      <c r="E2074" s="59">
        <v>41107</v>
      </c>
      <c r="F2074" s="58">
        <v>15982</v>
      </c>
      <c r="G2074" s="58">
        <v>3027</v>
      </c>
      <c r="H2074" s="58">
        <v>3019</v>
      </c>
      <c r="I2074" s="58">
        <v>15907</v>
      </c>
      <c r="J2074" s="58">
        <v>0</v>
      </c>
      <c r="K2074" s="1">
        <f t="shared" si="225"/>
        <v>498285.95</v>
      </c>
      <c r="L2074" s="1">
        <f t="shared" si="226"/>
        <v>3019</v>
      </c>
      <c r="M2074" s="1">
        <f>VLOOKUP(B2074,'[1]Срок Годности'!$A$2:$B$4,2,0)</f>
        <v>1000</v>
      </c>
      <c r="N2074" s="60">
        <f t="shared" si="227"/>
        <v>3027</v>
      </c>
      <c r="O2074" s="1" t="str">
        <f t="shared" si="228"/>
        <v>29 2012</v>
      </c>
      <c r="P2074" s="1">
        <f t="shared" si="229"/>
        <v>22</v>
      </c>
      <c r="Q2074" s="1">
        <f t="shared" ca="1" si="230"/>
        <v>4026</v>
      </c>
      <c r="S2074" s="1">
        <f t="shared" si="224"/>
        <v>15907</v>
      </c>
    </row>
    <row r="2075" spans="1:19" x14ac:dyDescent="0.2">
      <c r="A2075" s="57" t="s">
        <v>233</v>
      </c>
      <c r="B2075" s="57" t="s">
        <v>225</v>
      </c>
      <c r="C2075" s="57" t="s">
        <v>226</v>
      </c>
      <c r="D2075" s="58">
        <v>317.08</v>
      </c>
      <c r="E2075" s="59">
        <v>41061</v>
      </c>
      <c r="F2075" s="58">
        <v>3</v>
      </c>
      <c r="G2075" s="58">
        <v>0</v>
      </c>
      <c r="H2075" s="58">
        <v>0</v>
      </c>
      <c r="I2075" s="58">
        <v>3</v>
      </c>
      <c r="J2075" s="58">
        <v>0</v>
      </c>
      <c r="K2075" s="1">
        <f t="shared" si="225"/>
        <v>0</v>
      </c>
      <c r="L2075" s="1" t="str">
        <f t="shared" si="226"/>
        <v/>
      </c>
      <c r="M2075" s="1">
        <f>VLOOKUP(B2075,'[1]Срок Годности'!$A$2:$B$4,2,0)</f>
        <v>500</v>
      </c>
      <c r="N2075" s="60">
        <f t="shared" si="227"/>
        <v>0</v>
      </c>
      <c r="O2075" s="1" t="str">
        <f t="shared" si="228"/>
        <v>22 2012</v>
      </c>
      <c r="P2075" s="1">
        <f t="shared" si="229"/>
        <v>23</v>
      </c>
      <c r="Q2075" s="1">
        <f t="shared" ca="1" si="230"/>
        <v>4072</v>
      </c>
      <c r="S2075" s="1">
        <f t="shared" si="224"/>
        <v>3</v>
      </c>
    </row>
    <row r="2076" spans="1:19" x14ac:dyDescent="0.2">
      <c r="A2076" s="57" t="s">
        <v>233</v>
      </c>
      <c r="B2076" s="57" t="s">
        <v>225</v>
      </c>
      <c r="C2076" s="57" t="s">
        <v>226</v>
      </c>
      <c r="D2076" s="58">
        <v>317.08</v>
      </c>
      <c r="E2076" s="59">
        <v>41062</v>
      </c>
      <c r="F2076" s="58">
        <v>3</v>
      </c>
      <c r="G2076" s="58">
        <v>0</v>
      </c>
      <c r="H2076" s="58">
        <v>0</v>
      </c>
      <c r="I2076" s="58">
        <v>3</v>
      </c>
      <c r="J2076" s="58">
        <v>0</v>
      </c>
      <c r="K2076" s="1">
        <f t="shared" si="225"/>
        <v>0</v>
      </c>
      <c r="L2076" s="1" t="str">
        <f t="shared" si="226"/>
        <v/>
      </c>
      <c r="M2076" s="1">
        <f>VLOOKUP(B2076,'[1]Срок Годности'!$A$2:$B$4,2,0)</f>
        <v>500</v>
      </c>
      <c r="N2076" s="60">
        <f t="shared" si="227"/>
        <v>0</v>
      </c>
      <c r="O2076" s="1" t="str">
        <f t="shared" si="228"/>
        <v>22 2012</v>
      </c>
      <c r="P2076" s="1">
        <f t="shared" si="229"/>
        <v>23</v>
      </c>
      <c r="Q2076" s="1">
        <f t="shared" ca="1" si="230"/>
        <v>4071</v>
      </c>
      <c r="S2076" s="1">
        <f t="shared" si="224"/>
        <v>3</v>
      </c>
    </row>
    <row r="2077" spans="1:19" x14ac:dyDescent="0.2">
      <c r="A2077" s="57" t="s">
        <v>233</v>
      </c>
      <c r="B2077" s="57" t="s">
        <v>225</v>
      </c>
      <c r="C2077" s="57" t="s">
        <v>226</v>
      </c>
      <c r="D2077" s="58">
        <v>317.08</v>
      </c>
      <c r="E2077" s="59">
        <v>41063</v>
      </c>
      <c r="F2077" s="58">
        <v>3</v>
      </c>
      <c r="G2077" s="58">
        <v>0</v>
      </c>
      <c r="H2077" s="58">
        <v>0</v>
      </c>
      <c r="I2077" s="58">
        <v>3</v>
      </c>
      <c r="J2077" s="58">
        <v>0</v>
      </c>
      <c r="K2077" s="1">
        <f t="shared" si="225"/>
        <v>0</v>
      </c>
      <c r="L2077" s="1" t="str">
        <f t="shared" si="226"/>
        <v/>
      </c>
      <c r="M2077" s="1">
        <f>VLOOKUP(B2077,'[1]Срок Годности'!$A$2:$B$4,2,0)</f>
        <v>500</v>
      </c>
      <c r="N2077" s="60">
        <f t="shared" si="227"/>
        <v>0</v>
      </c>
      <c r="O2077" s="1" t="str">
        <f t="shared" si="228"/>
        <v>23 2012</v>
      </c>
      <c r="P2077" s="1">
        <f t="shared" si="229"/>
        <v>23</v>
      </c>
      <c r="Q2077" s="1">
        <f t="shared" ca="1" si="230"/>
        <v>4070</v>
      </c>
      <c r="S2077" s="1">
        <f t="shared" si="224"/>
        <v>3</v>
      </c>
    </row>
    <row r="2078" spans="1:19" x14ac:dyDescent="0.2">
      <c r="A2078" s="57" t="s">
        <v>233</v>
      </c>
      <c r="B2078" s="57" t="s">
        <v>225</v>
      </c>
      <c r="C2078" s="57" t="s">
        <v>226</v>
      </c>
      <c r="D2078" s="58">
        <v>317.08</v>
      </c>
      <c r="E2078" s="59">
        <v>41064</v>
      </c>
      <c r="F2078" s="58">
        <v>3</v>
      </c>
      <c r="G2078" s="58">
        <v>0</v>
      </c>
      <c r="H2078" s="58">
        <v>0</v>
      </c>
      <c r="I2078" s="58">
        <v>2</v>
      </c>
      <c r="J2078" s="58">
        <v>0</v>
      </c>
      <c r="K2078" s="1">
        <f t="shared" si="225"/>
        <v>0</v>
      </c>
      <c r="L2078" s="1" t="str">
        <f t="shared" si="226"/>
        <v/>
      </c>
      <c r="M2078" s="1">
        <f>VLOOKUP(B2078,'[1]Срок Годности'!$A$2:$B$4,2,0)</f>
        <v>500</v>
      </c>
      <c r="N2078" s="60">
        <f t="shared" si="227"/>
        <v>0</v>
      </c>
      <c r="O2078" s="1" t="str">
        <f t="shared" si="228"/>
        <v>23 2012</v>
      </c>
      <c r="P2078" s="1">
        <f t="shared" si="229"/>
        <v>23</v>
      </c>
      <c r="Q2078" s="1">
        <f t="shared" ca="1" si="230"/>
        <v>4069</v>
      </c>
      <c r="S2078" s="1">
        <f t="shared" si="224"/>
        <v>2</v>
      </c>
    </row>
    <row r="2079" spans="1:19" x14ac:dyDescent="0.2">
      <c r="A2079" s="57" t="s">
        <v>233</v>
      </c>
      <c r="B2079" s="57" t="s">
        <v>225</v>
      </c>
      <c r="C2079" s="57" t="s">
        <v>226</v>
      </c>
      <c r="D2079" s="58">
        <v>317.08</v>
      </c>
      <c r="E2079" s="59">
        <v>41065</v>
      </c>
      <c r="F2079" s="58">
        <v>2</v>
      </c>
      <c r="G2079" s="58">
        <v>0</v>
      </c>
      <c r="H2079" s="58">
        <v>0</v>
      </c>
      <c r="I2079" s="58">
        <v>2</v>
      </c>
      <c r="J2079" s="58">
        <v>0</v>
      </c>
      <c r="K2079" s="1">
        <f t="shared" si="225"/>
        <v>0</v>
      </c>
      <c r="L2079" s="1" t="str">
        <f t="shared" si="226"/>
        <v/>
      </c>
      <c r="M2079" s="1">
        <f>VLOOKUP(B2079,'[1]Срок Годности'!$A$2:$B$4,2,0)</f>
        <v>500</v>
      </c>
      <c r="N2079" s="60">
        <f t="shared" si="227"/>
        <v>0</v>
      </c>
      <c r="O2079" s="1" t="str">
        <f t="shared" si="228"/>
        <v>23 2012</v>
      </c>
      <c r="P2079" s="1">
        <f t="shared" si="229"/>
        <v>23</v>
      </c>
      <c r="Q2079" s="1">
        <f t="shared" ca="1" si="230"/>
        <v>4068</v>
      </c>
      <c r="S2079" s="1">
        <f t="shared" si="224"/>
        <v>2</v>
      </c>
    </row>
    <row r="2080" spans="1:19" x14ac:dyDescent="0.2">
      <c r="A2080" s="57" t="s">
        <v>233</v>
      </c>
      <c r="B2080" s="57" t="s">
        <v>225</v>
      </c>
      <c r="C2080" s="57" t="s">
        <v>226</v>
      </c>
      <c r="D2080" s="58">
        <v>317.08</v>
      </c>
      <c r="E2080" s="59">
        <v>41066</v>
      </c>
      <c r="F2080" s="58">
        <v>2</v>
      </c>
      <c r="G2080" s="58">
        <v>0</v>
      </c>
      <c r="H2080" s="58">
        <v>0</v>
      </c>
      <c r="I2080" s="58">
        <v>2</v>
      </c>
      <c r="J2080" s="58">
        <v>0</v>
      </c>
      <c r="K2080" s="1">
        <f t="shared" si="225"/>
        <v>0</v>
      </c>
      <c r="L2080" s="1" t="str">
        <f t="shared" si="226"/>
        <v/>
      </c>
      <c r="M2080" s="1">
        <f>VLOOKUP(B2080,'[1]Срок Годности'!$A$2:$B$4,2,0)</f>
        <v>500</v>
      </c>
      <c r="N2080" s="60">
        <f t="shared" si="227"/>
        <v>0</v>
      </c>
      <c r="O2080" s="1" t="str">
        <f t="shared" si="228"/>
        <v>23 2012</v>
      </c>
      <c r="P2080" s="1">
        <f t="shared" si="229"/>
        <v>23</v>
      </c>
      <c r="Q2080" s="1">
        <f t="shared" ca="1" si="230"/>
        <v>4067</v>
      </c>
      <c r="S2080" s="1">
        <f t="shared" si="224"/>
        <v>2</v>
      </c>
    </row>
    <row r="2081" spans="1:19" x14ac:dyDescent="0.2">
      <c r="A2081" s="57" t="s">
        <v>233</v>
      </c>
      <c r="B2081" s="57" t="s">
        <v>225</v>
      </c>
      <c r="C2081" s="57" t="s">
        <v>226</v>
      </c>
      <c r="D2081" s="58">
        <v>317.08</v>
      </c>
      <c r="E2081" s="59">
        <v>41067</v>
      </c>
      <c r="F2081" s="58">
        <v>2</v>
      </c>
      <c r="G2081" s="58">
        <v>3087</v>
      </c>
      <c r="H2081" s="58">
        <v>45</v>
      </c>
      <c r="I2081" s="58">
        <v>3040</v>
      </c>
      <c r="J2081" s="58">
        <v>0</v>
      </c>
      <c r="K2081" s="1">
        <f t="shared" si="225"/>
        <v>14268.599999999999</v>
      </c>
      <c r="L2081" s="1" t="str">
        <f t="shared" si="226"/>
        <v/>
      </c>
      <c r="M2081" s="1">
        <f>VLOOKUP(B2081,'[1]Срок Годности'!$A$2:$B$4,2,0)</f>
        <v>500</v>
      </c>
      <c r="N2081" s="60">
        <f t="shared" si="227"/>
        <v>3087</v>
      </c>
      <c r="O2081" s="1" t="str">
        <f t="shared" si="228"/>
        <v>23 2012</v>
      </c>
      <c r="P2081" s="1">
        <f t="shared" si="229"/>
        <v>23</v>
      </c>
      <c r="Q2081" s="1">
        <f t="shared" ca="1" si="230"/>
        <v>4066</v>
      </c>
      <c r="S2081" s="1">
        <f t="shared" si="224"/>
        <v>3040</v>
      </c>
    </row>
    <row r="2082" spans="1:19" x14ac:dyDescent="0.2">
      <c r="A2082" s="57" t="s">
        <v>233</v>
      </c>
      <c r="B2082" s="57" t="s">
        <v>225</v>
      </c>
      <c r="C2082" s="57" t="s">
        <v>226</v>
      </c>
      <c r="D2082" s="58">
        <v>317.08</v>
      </c>
      <c r="E2082" s="59">
        <v>41068</v>
      </c>
      <c r="F2082" s="58">
        <v>3040</v>
      </c>
      <c r="G2082" s="58">
        <v>1879</v>
      </c>
      <c r="H2082" s="58">
        <v>419</v>
      </c>
      <c r="I2082" s="58">
        <v>4491</v>
      </c>
      <c r="J2082" s="58">
        <v>0</v>
      </c>
      <c r="K2082" s="1">
        <f t="shared" si="225"/>
        <v>132856.51999999999</v>
      </c>
      <c r="L2082" s="1" t="str">
        <f t="shared" si="226"/>
        <v/>
      </c>
      <c r="M2082" s="1">
        <f>VLOOKUP(B2082,'[1]Срок Годности'!$A$2:$B$4,2,0)</f>
        <v>500</v>
      </c>
      <c r="N2082" s="60">
        <f t="shared" si="227"/>
        <v>1879</v>
      </c>
      <c r="O2082" s="1" t="str">
        <f t="shared" si="228"/>
        <v>23 2012</v>
      </c>
      <c r="P2082" s="1">
        <f t="shared" si="229"/>
        <v>23</v>
      </c>
      <c r="Q2082" s="1">
        <f t="shared" ca="1" si="230"/>
        <v>4065</v>
      </c>
      <c r="S2082" s="1">
        <f t="shared" si="224"/>
        <v>4491</v>
      </c>
    </row>
    <row r="2083" spans="1:19" x14ac:dyDescent="0.2">
      <c r="A2083" s="57" t="s">
        <v>233</v>
      </c>
      <c r="B2083" s="57" t="s">
        <v>225</v>
      </c>
      <c r="C2083" s="57" t="s">
        <v>226</v>
      </c>
      <c r="D2083" s="58">
        <v>317.08</v>
      </c>
      <c r="E2083" s="59">
        <v>41069</v>
      </c>
      <c r="F2083" s="58">
        <v>4491</v>
      </c>
      <c r="G2083" s="58">
        <v>86</v>
      </c>
      <c r="H2083" s="58">
        <v>779</v>
      </c>
      <c r="I2083" s="58">
        <v>3796</v>
      </c>
      <c r="J2083" s="58">
        <v>0</v>
      </c>
      <c r="K2083" s="1">
        <f t="shared" si="225"/>
        <v>247005.31999999998</v>
      </c>
      <c r="L2083" s="1" t="str">
        <f t="shared" si="226"/>
        <v/>
      </c>
      <c r="M2083" s="1">
        <f>VLOOKUP(B2083,'[1]Срок Годности'!$A$2:$B$4,2,0)</f>
        <v>500</v>
      </c>
      <c r="N2083" s="60">
        <f t="shared" si="227"/>
        <v>86</v>
      </c>
      <c r="O2083" s="1" t="str">
        <f t="shared" si="228"/>
        <v>23 2012</v>
      </c>
      <c r="P2083" s="1">
        <f t="shared" si="229"/>
        <v>23</v>
      </c>
      <c r="Q2083" s="1">
        <f t="shared" ca="1" si="230"/>
        <v>4064</v>
      </c>
      <c r="S2083" s="1">
        <f t="shared" si="224"/>
        <v>3796</v>
      </c>
    </row>
    <row r="2084" spans="1:19" x14ac:dyDescent="0.2">
      <c r="A2084" s="57" t="s">
        <v>233</v>
      </c>
      <c r="B2084" s="57" t="s">
        <v>225</v>
      </c>
      <c r="C2084" s="57" t="s">
        <v>226</v>
      </c>
      <c r="D2084" s="58">
        <v>317.08</v>
      </c>
      <c r="E2084" s="59">
        <v>41070</v>
      </c>
      <c r="F2084" s="58">
        <v>3796</v>
      </c>
      <c r="G2084" s="58">
        <v>237</v>
      </c>
      <c r="H2084" s="58">
        <v>464</v>
      </c>
      <c r="I2084" s="58">
        <v>3564</v>
      </c>
      <c r="J2084" s="58">
        <v>0</v>
      </c>
      <c r="K2084" s="1">
        <f t="shared" si="225"/>
        <v>147125.12</v>
      </c>
      <c r="L2084" s="1" t="str">
        <f t="shared" si="226"/>
        <v/>
      </c>
      <c r="M2084" s="1">
        <f>VLOOKUP(B2084,'[1]Срок Годности'!$A$2:$B$4,2,0)</f>
        <v>500</v>
      </c>
      <c r="N2084" s="60">
        <f t="shared" si="227"/>
        <v>0</v>
      </c>
      <c r="O2084" s="1" t="str">
        <f t="shared" si="228"/>
        <v>24 2012</v>
      </c>
      <c r="P2084" s="1">
        <f t="shared" si="229"/>
        <v>23</v>
      </c>
      <c r="Q2084" s="1">
        <f t="shared" ca="1" si="230"/>
        <v>4063</v>
      </c>
      <c r="S2084" s="1">
        <f t="shared" si="224"/>
        <v>3564</v>
      </c>
    </row>
    <row r="2085" spans="1:19" x14ac:dyDescent="0.2">
      <c r="A2085" s="57" t="s">
        <v>233</v>
      </c>
      <c r="B2085" s="57" t="s">
        <v>225</v>
      </c>
      <c r="C2085" s="57" t="s">
        <v>226</v>
      </c>
      <c r="D2085" s="58">
        <v>317.08</v>
      </c>
      <c r="E2085" s="59">
        <v>41071</v>
      </c>
      <c r="F2085" s="58">
        <v>3564</v>
      </c>
      <c r="G2085" s="58">
        <v>732</v>
      </c>
      <c r="H2085" s="58">
        <v>385</v>
      </c>
      <c r="I2085" s="58">
        <v>3897</v>
      </c>
      <c r="J2085" s="58">
        <v>0</v>
      </c>
      <c r="K2085" s="1">
        <f t="shared" si="225"/>
        <v>122075.79999999999</v>
      </c>
      <c r="L2085" s="1" t="str">
        <f t="shared" si="226"/>
        <v/>
      </c>
      <c r="M2085" s="1">
        <f>VLOOKUP(B2085,'[1]Срок Годности'!$A$2:$B$4,2,0)</f>
        <v>500</v>
      </c>
      <c r="N2085" s="60">
        <f t="shared" si="227"/>
        <v>732</v>
      </c>
      <c r="O2085" s="1" t="str">
        <f t="shared" si="228"/>
        <v>24 2012</v>
      </c>
      <c r="P2085" s="1">
        <f t="shared" si="229"/>
        <v>23</v>
      </c>
      <c r="Q2085" s="1">
        <f t="shared" ca="1" si="230"/>
        <v>4062</v>
      </c>
      <c r="S2085" s="1">
        <f t="shared" si="224"/>
        <v>3897</v>
      </c>
    </row>
    <row r="2086" spans="1:19" x14ac:dyDescent="0.2">
      <c r="A2086" s="57" t="s">
        <v>233</v>
      </c>
      <c r="B2086" s="57" t="s">
        <v>225</v>
      </c>
      <c r="C2086" s="57" t="s">
        <v>226</v>
      </c>
      <c r="D2086" s="58">
        <v>317.08</v>
      </c>
      <c r="E2086" s="59">
        <v>41072</v>
      </c>
      <c r="F2086" s="58">
        <v>3897</v>
      </c>
      <c r="G2086" s="58">
        <v>488</v>
      </c>
      <c r="H2086" s="58">
        <v>380</v>
      </c>
      <c r="I2086" s="58">
        <v>3999</v>
      </c>
      <c r="J2086" s="58">
        <v>0</v>
      </c>
      <c r="K2086" s="1">
        <f t="shared" si="225"/>
        <v>120490.4</v>
      </c>
      <c r="L2086" s="1" t="str">
        <f t="shared" si="226"/>
        <v/>
      </c>
      <c r="M2086" s="1">
        <f>VLOOKUP(B2086,'[1]Срок Годности'!$A$2:$B$4,2,0)</f>
        <v>500</v>
      </c>
      <c r="N2086" s="60">
        <f t="shared" si="227"/>
        <v>488</v>
      </c>
      <c r="O2086" s="1" t="str">
        <f t="shared" si="228"/>
        <v>24 2012</v>
      </c>
      <c r="P2086" s="1">
        <f t="shared" si="229"/>
        <v>23</v>
      </c>
      <c r="Q2086" s="1">
        <f t="shared" ca="1" si="230"/>
        <v>4061</v>
      </c>
      <c r="S2086" s="1">
        <f t="shared" si="224"/>
        <v>3999</v>
      </c>
    </row>
    <row r="2087" spans="1:19" x14ac:dyDescent="0.2">
      <c r="A2087" s="57" t="s">
        <v>233</v>
      </c>
      <c r="B2087" s="57" t="s">
        <v>225</v>
      </c>
      <c r="C2087" s="57" t="s">
        <v>226</v>
      </c>
      <c r="D2087" s="58">
        <v>317.08</v>
      </c>
      <c r="E2087" s="59">
        <v>41073</v>
      </c>
      <c r="F2087" s="58">
        <v>3999</v>
      </c>
      <c r="G2087" s="58">
        <v>212</v>
      </c>
      <c r="H2087" s="58">
        <v>407</v>
      </c>
      <c r="I2087" s="58">
        <v>3800</v>
      </c>
      <c r="J2087" s="58">
        <v>0</v>
      </c>
      <c r="K2087" s="1">
        <f t="shared" si="225"/>
        <v>129051.56</v>
      </c>
      <c r="L2087" s="1" t="str">
        <f t="shared" si="226"/>
        <v/>
      </c>
      <c r="M2087" s="1">
        <f>VLOOKUP(B2087,'[1]Срок Годности'!$A$2:$B$4,2,0)</f>
        <v>500</v>
      </c>
      <c r="N2087" s="60">
        <f t="shared" si="227"/>
        <v>212</v>
      </c>
      <c r="O2087" s="1" t="str">
        <f t="shared" si="228"/>
        <v>24 2012</v>
      </c>
      <c r="P2087" s="1">
        <f t="shared" si="229"/>
        <v>23</v>
      </c>
      <c r="Q2087" s="1">
        <f t="shared" ca="1" si="230"/>
        <v>4060</v>
      </c>
      <c r="S2087" s="1">
        <f t="shared" si="224"/>
        <v>3800</v>
      </c>
    </row>
    <row r="2088" spans="1:19" x14ac:dyDescent="0.2">
      <c r="A2088" s="57" t="s">
        <v>233</v>
      </c>
      <c r="B2088" s="57" t="s">
        <v>225</v>
      </c>
      <c r="C2088" s="57" t="s">
        <v>226</v>
      </c>
      <c r="D2088" s="58">
        <v>317.08</v>
      </c>
      <c r="E2088" s="59">
        <v>41074</v>
      </c>
      <c r="F2088" s="58">
        <v>3800</v>
      </c>
      <c r="G2088" s="58">
        <v>307</v>
      </c>
      <c r="H2088" s="58">
        <v>410</v>
      </c>
      <c r="I2088" s="58">
        <v>3685</v>
      </c>
      <c r="J2088" s="58">
        <v>0</v>
      </c>
      <c r="K2088" s="1">
        <f t="shared" si="225"/>
        <v>130002.79999999999</v>
      </c>
      <c r="L2088" s="1" t="str">
        <f t="shared" si="226"/>
        <v/>
      </c>
      <c r="M2088" s="1">
        <f>VLOOKUP(B2088,'[1]Срок Годности'!$A$2:$B$4,2,0)</f>
        <v>500</v>
      </c>
      <c r="N2088" s="60">
        <f t="shared" si="227"/>
        <v>307</v>
      </c>
      <c r="O2088" s="1" t="str">
        <f t="shared" si="228"/>
        <v>24 2012</v>
      </c>
      <c r="P2088" s="1">
        <f t="shared" si="229"/>
        <v>23</v>
      </c>
      <c r="Q2088" s="1">
        <f t="shared" ca="1" si="230"/>
        <v>4059</v>
      </c>
      <c r="S2088" s="1">
        <f t="shared" si="224"/>
        <v>3685</v>
      </c>
    </row>
    <row r="2089" spans="1:19" x14ac:dyDescent="0.2">
      <c r="A2089" s="57" t="s">
        <v>233</v>
      </c>
      <c r="B2089" s="57" t="s">
        <v>225</v>
      </c>
      <c r="C2089" s="57" t="s">
        <v>226</v>
      </c>
      <c r="D2089" s="58">
        <v>317.08</v>
      </c>
      <c r="E2089" s="59">
        <v>41075</v>
      </c>
      <c r="F2089" s="58">
        <v>3685</v>
      </c>
      <c r="G2089" s="58">
        <v>251</v>
      </c>
      <c r="H2089" s="58">
        <v>374</v>
      </c>
      <c r="I2089" s="58">
        <v>3544</v>
      </c>
      <c r="J2089" s="58">
        <v>0</v>
      </c>
      <c r="K2089" s="1">
        <f t="shared" si="225"/>
        <v>118587.92</v>
      </c>
      <c r="L2089" s="1" t="str">
        <f t="shared" si="226"/>
        <v/>
      </c>
      <c r="M2089" s="1">
        <f>VLOOKUP(B2089,'[1]Срок Годности'!$A$2:$B$4,2,0)</f>
        <v>500</v>
      </c>
      <c r="N2089" s="60">
        <f t="shared" si="227"/>
        <v>251</v>
      </c>
      <c r="O2089" s="1" t="str">
        <f t="shared" si="228"/>
        <v>24 2012</v>
      </c>
      <c r="P2089" s="1">
        <f t="shared" si="229"/>
        <v>23</v>
      </c>
      <c r="Q2089" s="1">
        <f t="shared" ca="1" si="230"/>
        <v>4058</v>
      </c>
      <c r="S2089" s="1">
        <f t="shared" si="224"/>
        <v>3544</v>
      </c>
    </row>
    <row r="2090" spans="1:19" x14ac:dyDescent="0.2">
      <c r="A2090" s="57" t="s">
        <v>233</v>
      </c>
      <c r="B2090" s="57" t="s">
        <v>225</v>
      </c>
      <c r="C2090" s="57" t="s">
        <v>226</v>
      </c>
      <c r="D2090" s="58">
        <v>317.08</v>
      </c>
      <c r="E2090" s="59">
        <v>41076</v>
      </c>
      <c r="F2090" s="58">
        <v>3544</v>
      </c>
      <c r="G2090" s="58">
        <v>341</v>
      </c>
      <c r="H2090" s="58">
        <v>497</v>
      </c>
      <c r="I2090" s="58">
        <v>3379</v>
      </c>
      <c r="J2090" s="58">
        <v>0</v>
      </c>
      <c r="K2090" s="1">
        <f t="shared" si="225"/>
        <v>157588.75999999998</v>
      </c>
      <c r="L2090" s="1" t="str">
        <f t="shared" si="226"/>
        <v/>
      </c>
      <c r="M2090" s="1">
        <f>VLOOKUP(B2090,'[1]Срок Годности'!$A$2:$B$4,2,0)</f>
        <v>500</v>
      </c>
      <c r="N2090" s="60">
        <f t="shared" si="227"/>
        <v>341</v>
      </c>
      <c r="O2090" s="1" t="str">
        <f t="shared" si="228"/>
        <v>24 2012</v>
      </c>
      <c r="P2090" s="1">
        <f t="shared" si="229"/>
        <v>23</v>
      </c>
      <c r="Q2090" s="1">
        <f t="shared" ca="1" si="230"/>
        <v>4057</v>
      </c>
      <c r="S2090" s="1">
        <f t="shared" si="224"/>
        <v>3379</v>
      </c>
    </row>
    <row r="2091" spans="1:19" x14ac:dyDescent="0.2">
      <c r="A2091" s="57" t="s">
        <v>233</v>
      </c>
      <c r="B2091" s="57" t="s">
        <v>225</v>
      </c>
      <c r="C2091" s="57" t="s">
        <v>226</v>
      </c>
      <c r="D2091" s="58">
        <v>317.08</v>
      </c>
      <c r="E2091" s="59">
        <v>41077</v>
      </c>
      <c r="F2091" s="58">
        <v>3379</v>
      </c>
      <c r="G2091" s="58">
        <v>252</v>
      </c>
      <c r="H2091" s="58">
        <v>421</v>
      </c>
      <c r="I2091" s="58">
        <v>3208</v>
      </c>
      <c r="J2091" s="58">
        <v>0</v>
      </c>
      <c r="K2091" s="1">
        <f t="shared" si="225"/>
        <v>133490.68</v>
      </c>
      <c r="L2091" s="1" t="str">
        <f t="shared" si="226"/>
        <v/>
      </c>
      <c r="M2091" s="1">
        <f>VLOOKUP(B2091,'[1]Срок Годности'!$A$2:$B$4,2,0)</f>
        <v>500</v>
      </c>
      <c r="N2091" s="60">
        <f t="shared" si="227"/>
        <v>0</v>
      </c>
      <c r="O2091" s="1" t="str">
        <f t="shared" si="228"/>
        <v>25 2012</v>
      </c>
      <c r="P2091" s="1">
        <f t="shared" si="229"/>
        <v>23</v>
      </c>
      <c r="Q2091" s="1">
        <f t="shared" ca="1" si="230"/>
        <v>4056</v>
      </c>
      <c r="S2091" s="1">
        <f t="shared" si="224"/>
        <v>3208</v>
      </c>
    </row>
    <row r="2092" spans="1:19" x14ac:dyDescent="0.2">
      <c r="A2092" s="57" t="s">
        <v>233</v>
      </c>
      <c r="B2092" s="57" t="s">
        <v>225</v>
      </c>
      <c r="C2092" s="57" t="s">
        <v>226</v>
      </c>
      <c r="D2092" s="58">
        <v>317.08</v>
      </c>
      <c r="E2092" s="59">
        <v>41078</v>
      </c>
      <c r="F2092" s="58">
        <v>3208</v>
      </c>
      <c r="G2092" s="58">
        <v>384</v>
      </c>
      <c r="H2092" s="58">
        <v>450</v>
      </c>
      <c r="I2092" s="58">
        <v>3137</v>
      </c>
      <c r="J2092" s="58">
        <v>0</v>
      </c>
      <c r="K2092" s="1">
        <f t="shared" si="225"/>
        <v>142686</v>
      </c>
      <c r="L2092" s="1" t="str">
        <f t="shared" si="226"/>
        <v/>
      </c>
      <c r="M2092" s="1">
        <f>VLOOKUP(B2092,'[1]Срок Годности'!$A$2:$B$4,2,0)</f>
        <v>500</v>
      </c>
      <c r="N2092" s="60">
        <f t="shared" si="227"/>
        <v>384</v>
      </c>
      <c r="O2092" s="1" t="str">
        <f t="shared" si="228"/>
        <v>25 2012</v>
      </c>
      <c r="P2092" s="1">
        <f t="shared" si="229"/>
        <v>23</v>
      </c>
      <c r="Q2092" s="1">
        <f t="shared" ca="1" si="230"/>
        <v>4055</v>
      </c>
      <c r="S2092" s="1">
        <f t="shared" si="224"/>
        <v>3137</v>
      </c>
    </row>
    <row r="2093" spans="1:19" x14ac:dyDescent="0.2">
      <c r="A2093" s="57" t="s">
        <v>233</v>
      </c>
      <c r="B2093" s="57" t="s">
        <v>225</v>
      </c>
      <c r="C2093" s="57" t="s">
        <v>226</v>
      </c>
      <c r="D2093" s="58">
        <v>317.08</v>
      </c>
      <c r="E2093" s="59">
        <v>41079</v>
      </c>
      <c r="F2093" s="58">
        <v>3137</v>
      </c>
      <c r="G2093" s="58">
        <v>503</v>
      </c>
      <c r="H2093" s="58">
        <v>414</v>
      </c>
      <c r="I2093" s="58">
        <v>3223</v>
      </c>
      <c r="J2093" s="58">
        <v>0</v>
      </c>
      <c r="K2093" s="1">
        <f t="shared" si="225"/>
        <v>131271.12</v>
      </c>
      <c r="L2093" s="1" t="str">
        <f t="shared" si="226"/>
        <v/>
      </c>
      <c r="M2093" s="1">
        <f>VLOOKUP(B2093,'[1]Срок Годности'!$A$2:$B$4,2,0)</f>
        <v>500</v>
      </c>
      <c r="N2093" s="60">
        <f t="shared" si="227"/>
        <v>503</v>
      </c>
      <c r="O2093" s="1" t="str">
        <f t="shared" si="228"/>
        <v>25 2012</v>
      </c>
      <c r="P2093" s="1">
        <f t="shared" si="229"/>
        <v>23</v>
      </c>
      <c r="Q2093" s="1">
        <f t="shared" ca="1" si="230"/>
        <v>4054</v>
      </c>
      <c r="S2093" s="1">
        <f t="shared" si="224"/>
        <v>3223</v>
      </c>
    </row>
    <row r="2094" spans="1:19" x14ac:dyDescent="0.2">
      <c r="A2094" s="57" t="s">
        <v>233</v>
      </c>
      <c r="B2094" s="57" t="s">
        <v>225</v>
      </c>
      <c r="C2094" s="57" t="s">
        <v>226</v>
      </c>
      <c r="D2094" s="58">
        <v>317.08</v>
      </c>
      <c r="E2094" s="59">
        <v>41080</v>
      </c>
      <c r="F2094" s="58">
        <v>3223</v>
      </c>
      <c r="G2094" s="58">
        <v>602</v>
      </c>
      <c r="H2094" s="58">
        <v>462</v>
      </c>
      <c r="I2094" s="58">
        <v>3356</v>
      </c>
      <c r="J2094" s="58">
        <v>0</v>
      </c>
      <c r="K2094" s="1">
        <f t="shared" si="225"/>
        <v>146490.96</v>
      </c>
      <c r="L2094" s="1" t="str">
        <f t="shared" si="226"/>
        <v/>
      </c>
      <c r="M2094" s="1">
        <f>VLOOKUP(B2094,'[1]Срок Годности'!$A$2:$B$4,2,0)</f>
        <v>500</v>
      </c>
      <c r="N2094" s="60">
        <f t="shared" si="227"/>
        <v>602</v>
      </c>
      <c r="O2094" s="1" t="str">
        <f t="shared" si="228"/>
        <v>25 2012</v>
      </c>
      <c r="P2094" s="1">
        <f t="shared" si="229"/>
        <v>23</v>
      </c>
      <c r="Q2094" s="1">
        <f t="shared" ca="1" si="230"/>
        <v>4053</v>
      </c>
      <c r="S2094" s="1">
        <f t="shared" si="224"/>
        <v>3356</v>
      </c>
    </row>
    <row r="2095" spans="1:19" x14ac:dyDescent="0.2">
      <c r="A2095" s="57" t="s">
        <v>233</v>
      </c>
      <c r="B2095" s="57" t="s">
        <v>225</v>
      </c>
      <c r="C2095" s="57" t="s">
        <v>226</v>
      </c>
      <c r="D2095" s="58">
        <v>317.08</v>
      </c>
      <c r="E2095" s="59">
        <v>41081</v>
      </c>
      <c r="F2095" s="58">
        <v>3356</v>
      </c>
      <c r="G2095" s="58">
        <v>650</v>
      </c>
      <c r="H2095" s="58">
        <v>438</v>
      </c>
      <c r="I2095" s="58">
        <v>3565</v>
      </c>
      <c r="J2095" s="58">
        <v>0</v>
      </c>
      <c r="K2095" s="1">
        <f t="shared" si="225"/>
        <v>138881.03999999998</v>
      </c>
      <c r="L2095" s="1" t="str">
        <f t="shared" si="226"/>
        <v/>
      </c>
      <c r="M2095" s="1">
        <f>VLOOKUP(B2095,'[1]Срок Годности'!$A$2:$B$4,2,0)</f>
        <v>500</v>
      </c>
      <c r="N2095" s="60">
        <f t="shared" si="227"/>
        <v>650</v>
      </c>
      <c r="O2095" s="1" t="str">
        <f t="shared" si="228"/>
        <v>25 2012</v>
      </c>
      <c r="P2095" s="1">
        <f t="shared" si="229"/>
        <v>23</v>
      </c>
      <c r="Q2095" s="1">
        <f t="shared" ca="1" si="230"/>
        <v>4052</v>
      </c>
      <c r="S2095" s="1">
        <f t="shared" si="224"/>
        <v>3565</v>
      </c>
    </row>
    <row r="2096" spans="1:19" x14ac:dyDescent="0.2">
      <c r="A2096" s="57" t="s">
        <v>233</v>
      </c>
      <c r="B2096" s="57" t="s">
        <v>225</v>
      </c>
      <c r="C2096" s="57" t="s">
        <v>226</v>
      </c>
      <c r="D2096" s="58">
        <v>317.08</v>
      </c>
      <c r="E2096" s="59">
        <v>41082</v>
      </c>
      <c r="F2096" s="58">
        <v>3565</v>
      </c>
      <c r="G2096" s="58">
        <v>402</v>
      </c>
      <c r="H2096" s="58">
        <v>536</v>
      </c>
      <c r="I2096" s="58">
        <v>3426</v>
      </c>
      <c r="J2096" s="58">
        <v>0</v>
      </c>
      <c r="K2096" s="1">
        <f t="shared" si="225"/>
        <v>169954.88</v>
      </c>
      <c r="L2096" s="1" t="str">
        <f t="shared" si="226"/>
        <v/>
      </c>
      <c r="M2096" s="1">
        <f>VLOOKUP(B2096,'[1]Срок Годности'!$A$2:$B$4,2,0)</f>
        <v>500</v>
      </c>
      <c r="N2096" s="60">
        <f t="shared" si="227"/>
        <v>402</v>
      </c>
      <c r="O2096" s="1" t="str">
        <f t="shared" si="228"/>
        <v>25 2012</v>
      </c>
      <c r="P2096" s="1">
        <f t="shared" si="229"/>
        <v>23</v>
      </c>
      <c r="Q2096" s="1">
        <f t="shared" ca="1" si="230"/>
        <v>4051</v>
      </c>
      <c r="S2096" s="1">
        <f t="shared" si="224"/>
        <v>3426</v>
      </c>
    </row>
    <row r="2097" spans="1:19" x14ac:dyDescent="0.2">
      <c r="A2097" s="57" t="s">
        <v>233</v>
      </c>
      <c r="B2097" s="57" t="s">
        <v>225</v>
      </c>
      <c r="C2097" s="57" t="s">
        <v>226</v>
      </c>
      <c r="D2097" s="58">
        <v>317.08</v>
      </c>
      <c r="E2097" s="59">
        <v>41083</v>
      </c>
      <c r="F2097" s="58">
        <v>3426</v>
      </c>
      <c r="G2097" s="58">
        <v>245</v>
      </c>
      <c r="H2097" s="58">
        <v>618</v>
      </c>
      <c r="I2097" s="58">
        <v>3027</v>
      </c>
      <c r="J2097" s="58">
        <v>0</v>
      </c>
      <c r="K2097" s="1">
        <f t="shared" si="225"/>
        <v>195955.44</v>
      </c>
      <c r="L2097" s="1" t="str">
        <f t="shared" si="226"/>
        <v/>
      </c>
      <c r="M2097" s="1">
        <f>VLOOKUP(B2097,'[1]Срок Годности'!$A$2:$B$4,2,0)</f>
        <v>500</v>
      </c>
      <c r="N2097" s="60">
        <f t="shared" si="227"/>
        <v>245</v>
      </c>
      <c r="O2097" s="1" t="str">
        <f t="shared" si="228"/>
        <v>25 2012</v>
      </c>
      <c r="P2097" s="1">
        <f t="shared" si="229"/>
        <v>23</v>
      </c>
      <c r="Q2097" s="1">
        <f t="shared" ca="1" si="230"/>
        <v>4050</v>
      </c>
      <c r="S2097" s="1">
        <f t="shared" si="224"/>
        <v>3027</v>
      </c>
    </row>
    <row r="2098" spans="1:19" x14ac:dyDescent="0.2">
      <c r="A2098" s="57" t="s">
        <v>233</v>
      </c>
      <c r="B2098" s="57" t="s">
        <v>225</v>
      </c>
      <c r="C2098" s="57" t="s">
        <v>226</v>
      </c>
      <c r="D2098" s="58">
        <v>317.08</v>
      </c>
      <c r="E2098" s="59">
        <v>41084</v>
      </c>
      <c r="F2098" s="58">
        <v>3027</v>
      </c>
      <c r="G2098" s="58">
        <v>579</v>
      </c>
      <c r="H2098" s="58">
        <v>587</v>
      </c>
      <c r="I2098" s="58">
        <v>3036</v>
      </c>
      <c r="J2098" s="58">
        <v>0</v>
      </c>
      <c r="K2098" s="1">
        <f t="shared" si="225"/>
        <v>186125.96</v>
      </c>
      <c r="L2098" s="1" t="str">
        <f t="shared" si="226"/>
        <v/>
      </c>
      <c r="M2098" s="1">
        <f>VLOOKUP(B2098,'[1]Срок Годности'!$A$2:$B$4,2,0)</f>
        <v>500</v>
      </c>
      <c r="N2098" s="60">
        <f t="shared" si="227"/>
        <v>0</v>
      </c>
      <c r="O2098" s="1" t="str">
        <f t="shared" si="228"/>
        <v>26 2012</v>
      </c>
      <c r="P2098" s="1">
        <f t="shared" si="229"/>
        <v>23</v>
      </c>
      <c r="Q2098" s="1">
        <f t="shared" ca="1" si="230"/>
        <v>4049</v>
      </c>
      <c r="S2098" s="1">
        <f t="shared" si="224"/>
        <v>3036</v>
      </c>
    </row>
    <row r="2099" spans="1:19" x14ac:dyDescent="0.2">
      <c r="A2099" s="57" t="s">
        <v>233</v>
      </c>
      <c r="B2099" s="57" t="s">
        <v>225</v>
      </c>
      <c r="C2099" s="57" t="s">
        <v>226</v>
      </c>
      <c r="D2099" s="58">
        <v>317.08</v>
      </c>
      <c r="E2099" s="59">
        <v>41085</v>
      </c>
      <c r="F2099" s="58">
        <v>3036</v>
      </c>
      <c r="G2099" s="58">
        <v>959</v>
      </c>
      <c r="H2099" s="58">
        <v>569</v>
      </c>
      <c r="I2099" s="58">
        <v>3421</v>
      </c>
      <c r="J2099" s="58">
        <v>0</v>
      </c>
      <c r="K2099" s="1">
        <f t="shared" si="225"/>
        <v>180418.52</v>
      </c>
      <c r="L2099" s="1" t="str">
        <f t="shared" si="226"/>
        <v/>
      </c>
      <c r="M2099" s="1">
        <f>VLOOKUP(B2099,'[1]Срок Годности'!$A$2:$B$4,2,0)</f>
        <v>500</v>
      </c>
      <c r="N2099" s="60">
        <f t="shared" si="227"/>
        <v>959</v>
      </c>
      <c r="O2099" s="1" t="str">
        <f t="shared" si="228"/>
        <v>26 2012</v>
      </c>
      <c r="P2099" s="1">
        <f t="shared" si="229"/>
        <v>23</v>
      </c>
      <c r="Q2099" s="1">
        <f t="shared" ca="1" si="230"/>
        <v>4048</v>
      </c>
      <c r="S2099" s="1">
        <f t="shared" si="224"/>
        <v>3421</v>
      </c>
    </row>
    <row r="2100" spans="1:19" x14ac:dyDescent="0.2">
      <c r="A2100" s="57" t="s">
        <v>233</v>
      </c>
      <c r="B2100" s="57" t="s">
        <v>225</v>
      </c>
      <c r="C2100" s="57" t="s">
        <v>226</v>
      </c>
      <c r="D2100" s="58">
        <v>317.08</v>
      </c>
      <c r="E2100" s="59">
        <v>41086</v>
      </c>
      <c r="F2100" s="58">
        <v>3421</v>
      </c>
      <c r="G2100" s="58">
        <v>780</v>
      </c>
      <c r="H2100" s="58">
        <v>556</v>
      </c>
      <c r="I2100" s="58">
        <v>3640</v>
      </c>
      <c r="J2100" s="58">
        <v>0</v>
      </c>
      <c r="K2100" s="1">
        <f t="shared" si="225"/>
        <v>176296.47999999998</v>
      </c>
      <c r="L2100" s="1" t="str">
        <f t="shared" si="226"/>
        <v/>
      </c>
      <c r="M2100" s="1">
        <f>VLOOKUP(B2100,'[1]Срок Годности'!$A$2:$B$4,2,0)</f>
        <v>500</v>
      </c>
      <c r="N2100" s="60">
        <f t="shared" si="227"/>
        <v>780</v>
      </c>
      <c r="O2100" s="1" t="str">
        <f t="shared" si="228"/>
        <v>26 2012</v>
      </c>
      <c r="P2100" s="1">
        <f t="shared" si="229"/>
        <v>23</v>
      </c>
      <c r="Q2100" s="1">
        <f t="shared" ca="1" si="230"/>
        <v>4047</v>
      </c>
      <c r="S2100" s="1">
        <f t="shared" si="224"/>
        <v>3640</v>
      </c>
    </row>
    <row r="2101" spans="1:19" x14ac:dyDescent="0.2">
      <c r="A2101" s="57" t="s">
        <v>233</v>
      </c>
      <c r="B2101" s="57" t="s">
        <v>225</v>
      </c>
      <c r="C2101" s="57" t="s">
        <v>226</v>
      </c>
      <c r="D2101" s="58">
        <v>317.08</v>
      </c>
      <c r="E2101" s="59">
        <v>41087</v>
      </c>
      <c r="F2101" s="58">
        <v>3640</v>
      </c>
      <c r="G2101" s="58">
        <v>786</v>
      </c>
      <c r="H2101" s="58">
        <v>600</v>
      </c>
      <c r="I2101" s="58">
        <v>3821</v>
      </c>
      <c r="J2101" s="58">
        <v>0</v>
      </c>
      <c r="K2101" s="1">
        <f t="shared" si="225"/>
        <v>190248</v>
      </c>
      <c r="L2101" s="1" t="str">
        <f t="shared" si="226"/>
        <v/>
      </c>
      <c r="M2101" s="1">
        <f>VLOOKUP(B2101,'[1]Срок Годности'!$A$2:$B$4,2,0)</f>
        <v>500</v>
      </c>
      <c r="N2101" s="60">
        <f t="shared" si="227"/>
        <v>786</v>
      </c>
      <c r="O2101" s="1" t="str">
        <f t="shared" si="228"/>
        <v>26 2012</v>
      </c>
      <c r="P2101" s="1">
        <f t="shared" si="229"/>
        <v>23</v>
      </c>
      <c r="Q2101" s="1">
        <f t="shared" ca="1" si="230"/>
        <v>4046</v>
      </c>
      <c r="S2101" s="1">
        <f t="shared" si="224"/>
        <v>3821</v>
      </c>
    </row>
    <row r="2102" spans="1:19" x14ac:dyDescent="0.2">
      <c r="A2102" s="57" t="s">
        <v>233</v>
      </c>
      <c r="B2102" s="57" t="s">
        <v>225</v>
      </c>
      <c r="C2102" s="57" t="s">
        <v>226</v>
      </c>
      <c r="D2102" s="58">
        <v>317.08</v>
      </c>
      <c r="E2102" s="59">
        <v>41088</v>
      </c>
      <c r="F2102" s="58">
        <v>3821</v>
      </c>
      <c r="G2102" s="58">
        <v>732</v>
      </c>
      <c r="H2102" s="58">
        <v>639</v>
      </c>
      <c r="I2102" s="58">
        <v>3904</v>
      </c>
      <c r="J2102" s="58">
        <v>0</v>
      </c>
      <c r="K2102" s="1">
        <f t="shared" si="225"/>
        <v>202614.12</v>
      </c>
      <c r="L2102" s="1" t="str">
        <f t="shared" si="226"/>
        <v/>
      </c>
      <c r="M2102" s="1">
        <f>VLOOKUP(B2102,'[1]Срок Годности'!$A$2:$B$4,2,0)</f>
        <v>500</v>
      </c>
      <c r="N2102" s="60">
        <f t="shared" si="227"/>
        <v>732</v>
      </c>
      <c r="O2102" s="1" t="str">
        <f t="shared" si="228"/>
        <v>26 2012</v>
      </c>
      <c r="P2102" s="1">
        <f t="shared" si="229"/>
        <v>23</v>
      </c>
      <c r="Q2102" s="1">
        <f t="shared" ca="1" si="230"/>
        <v>4045</v>
      </c>
      <c r="S2102" s="1">
        <f t="shared" si="224"/>
        <v>3904</v>
      </c>
    </row>
    <row r="2103" spans="1:19" x14ac:dyDescent="0.2">
      <c r="A2103" s="57" t="s">
        <v>233</v>
      </c>
      <c r="B2103" s="57" t="s">
        <v>225</v>
      </c>
      <c r="C2103" s="57" t="s">
        <v>226</v>
      </c>
      <c r="D2103" s="58">
        <v>317.08</v>
      </c>
      <c r="E2103" s="59">
        <v>41089</v>
      </c>
      <c r="F2103" s="58">
        <v>3904</v>
      </c>
      <c r="G2103" s="58">
        <v>528</v>
      </c>
      <c r="H2103" s="58">
        <v>693</v>
      </c>
      <c r="I2103" s="58">
        <v>3741</v>
      </c>
      <c r="J2103" s="58">
        <v>0</v>
      </c>
      <c r="K2103" s="1">
        <f t="shared" si="225"/>
        <v>219736.44</v>
      </c>
      <c r="L2103" s="1" t="str">
        <f t="shared" si="226"/>
        <v/>
      </c>
      <c r="M2103" s="1">
        <f>VLOOKUP(B2103,'[1]Срок Годности'!$A$2:$B$4,2,0)</f>
        <v>500</v>
      </c>
      <c r="N2103" s="60">
        <f t="shared" si="227"/>
        <v>528</v>
      </c>
      <c r="O2103" s="1" t="str">
        <f t="shared" si="228"/>
        <v>26 2012</v>
      </c>
      <c r="P2103" s="1">
        <f t="shared" si="229"/>
        <v>23</v>
      </c>
      <c r="Q2103" s="1">
        <f t="shared" ca="1" si="230"/>
        <v>4044</v>
      </c>
      <c r="S2103" s="1">
        <f t="shared" si="224"/>
        <v>3741</v>
      </c>
    </row>
    <row r="2104" spans="1:19" x14ac:dyDescent="0.2">
      <c r="A2104" s="57" t="s">
        <v>233</v>
      </c>
      <c r="B2104" s="57" t="s">
        <v>225</v>
      </c>
      <c r="C2104" s="57" t="s">
        <v>226</v>
      </c>
      <c r="D2104" s="58">
        <v>317.08</v>
      </c>
      <c r="E2104" s="59">
        <v>41090</v>
      </c>
      <c r="F2104" s="58">
        <v>3741</v>
      </c>
      <c r="G2104" s="58">
        <v>682</v>
      </c>
      <c r="H2104" s="58">
        <v>704</v>
      </c>
      <c r="I2104" s="58">
        <v>3715</v>
      </c>
      <c r="J2104" s="58">
        <v>0</v>
      </c>
      <c r="K2104" s="1">
        <f t="shared" si="225"/>
        <v>223224.31999999998</v>
      </c>
      <c r="L2104" s="1" t="str">
        <f t="shared" si="226"/>
        <v/>
      </c>
      <c r="M2104" s="1">
        <f>VLOOKUP(B2104,'[1]Срок Годности'!$A$2:$B$4,2,0)</f>
        <v>500</v>
      </c>
      <c r="N2104" s="60">
        <f t="shared" si="227"/>
        <v>682</v>
      </c>
      <c r="O2104" s="1" t="str">
        <f t="shared" si="228"/>
        <v>26 2012</v>
      </c>
      <c r="P2104" s="1">
        <f t="shared" si="229"/>
        <v>23</v>
      </c>
      <c r="Q2104" s="1">
        <f t="shared" ca="1" si="230"/>
        <v>4043</v>
      </c>
      <c r="S2104" s="1">
        <f t="shared" si="224"/>
        <v>3715</v>
      </c>
    </row>
    <row r="2105" spans="1:19" x14ac:dyDescent="0.2">
      <c r="A2105" s="57" t="s">
        <v>233</v>
      </c>
      <c r="B2105" s="57" t="s">
        <v>225</v>
      </c>
      <c r="C2105" s="57" t="s">
        <v>226</v>
      </c>
      <c r="D2105" s="58">
        <v>317.08</v>
      </c>
      <c r="E2105" s="59">
        <v>41091</v>
      </c>
      <c r="F2105" s="58">
        <v>3715</v>
      </c>
      <c r="G2105" s="58">
        <v>747</v>
      </c>
      <c r="H2105" s="58">
        <v>719</v>
      </c>
      <c r="I2105" s="58">
        <v>3735</v>
      </c>
      <c r="J2105" s="58">
        <v>0</v>
      </c>
      <c r="K2105" s="1">
        <f t="shared" si="225"/>
        <v>227980.52</v>
      </c>
      <c r="L2105" s="1" t="str">
        <f t="shared" si="226"/>
        <v/>
      </c>
      <c r="M2105" s="1">
        <f>VLOOKUP(B2105,'[1]Срок Годности'!$A$2:$B$4,2,0)</f>
        <v>500</v>
      </c>
      <c r="N2105" s="60">
        <f t="shared" si="227"/>
        <v>0</v>
      </c>
      <c r="O2105" s="1" t="str">
        <f t="shared" si="228"/>
        <v>27 2012</v>
      </c>
      <c r="P2105" s="1">
        <f t="shared" si="229"/>
        <v>23</v>
      </c>
      <c r="Q2105" s="1">
        <f t="shared" ca="1" si="230"/>
        <v>4042</v>
      </c>
      <c r="S2105" s="1">
        <f t="shared" si="224"/>
        <v>3735</v>
      </c>
    </row>
    <row r="2106" spans="1:19" x14ac:dyDescent="0.2">
      <c r="A2106" s="57" t="s">
        <v>233</v>
      </c>
      <c r="B2106" s="57" t="s">
        <v>225</v>
      </c>
      <c r="C2106" s="57" t="s">
        <v>226</v>
      </c>
      <c r="D2106" s="58">
        <v>317.08</v>
      </c>
      <c r="E2106" s="59">
        <v>41092</v>
      </c>
      <c r="F2106" s="58">
        <v>3735</v>
      </c>
      <c r="G2106" s="58">
        <v>733</v>
      </c>
      <c r="H2106" s="58">
        <v>755</v>
      </c>
      <c r="I2106" s="58">
        <v>3704</v>
      </c>
      <c r="J2106" s="58">
        <v>0</v>
      </c>
      <c r="K2106" s="1">
        <f t="shared" si="225"/>
        <v>239395.4</v>
      </c>
      <c r="L2106" s="1" t="str">
        <f t="shared" si="226"/>
        <v/>
      </c>
      <c r="M2106" s="1">
        <f>VLOOKUP(B2106,'[1]Срок Годности'!$A$2:$B$4,2,0)</f>
        <v>500</v>
      </c>
      <c r="N2106" s="60">
        <f t="shared" si="227"/>
        <v>733</v>
      </c>
      <c r="O2106" s="1" t="str">
        <f t="shared" si="228"/>
        <v>27 2012</v>
      </c>
      <c r="P2106" s="1">
        <f t="shared" si="229"/>
        <v>23</v>
      </c>
      <c r="Q2106" s="1">
        <f t="shared" ca="1" si="230"/>
        <v>4041</v>
      </c>
      <c r="S2106" s="1">
        <f t="shared" si="224"/>
        <v>3704</v>
      </c>
    </row>
    <row r="2107" spans="1:19" x14ac:dyDescent="0.2">
      <c r="A2107" s="57" t="s">
        <v>233</v>
      </c>
      <c r="B2107" s="57" t="s">
        <v>225</v>
      </c>
      <c r="C2107" s="57" t="s">
        <v>226</v>
      </c>
      <c r="D2107" s="58">
        <v>317.08</v>
      </c>
      <c r="E2107" s="59">
        <v>41093</v>
      </c>
      <c r="F2107" s="58">
        <v>3704</v>
      </c>
      <c r="G2107" s="58">
        <v>755</v>
      </c>
      <c r="H2107" s="58">
        <v>711</v>
      </c>
      <c r="I2107" s="58">
        <v>3734</v>
      </c>
      <c r="J2107" s="58">
        <v>0</v>
      </c>
      <c r="K2107" s="1">
        <f t="shared" si="225"/>
        <v>225443.87999999998</v>
      </c>
      <c r="L2107" s="1" t="str">
        <f t="shared" si="226"/>
        <v/>
      </c>
      <c r="M2107" s="1">
        <f>VLOOKUP(B2107,'[1]Срок Годности'!$A$2:$B$4,2,0)</f>
        <v>500</v>
      </c>
      <c r="N2107" s="60">
        <f t="shared" si="227"/>
        <v>755</v>
      </c>
      <c r="O2107" s="1" t="str">
        <f t="shared" si="228"/>
        <v>27 2012</v>
      </c>
      <c r="P2107" s="1">
        <f t="shared" si="229"/>
        <v>23</v>
      </c>
      <c r="Q2107" s="1">
        <f t="shared" ca="1" si="230"/>
        <v>4040</v>
      </c>
      <c r="S2107" s="1">
        <f t="shared" si="224"/>
        <v>3734</v>
      </c>
    </row>
    <row r="2108" spans="1:19" x14ac:dyDescent="0.2">
      <c r="A2108" s="57" t="s">
        <v>233</v>
      </c>
      <c r="B2108" s="57" t="s">
        <v>225</v>
      </c>
      <c r="C2108" s="57" t="s">
        <v>226</v>
      </c>
      <c r="D2108" s="58">
        <v>317.08</v>
      </c>
      <c r="E2108" s="59">
        <v>41094</v>
      </c>
      <c r="F2108" s="58">
        <v>3734</v>
      </c>
      <c r="G2108" s="58">
        <v>902</v>
      </c>
      <c r="H2108" s="58">
        <v>673</v>
      </c>
      <c r="I2108" s="58">
        <v>3945</v>
      </c>
      <c r="J2108" s="58">
        <v>0</v>
      </c>
      <c r="K2108" s="1">
        <f t="shared" si="225"/>
        <v>213394.84</v>
      </c>
      <c r="L2108" s="1" t="str">
        <f t="shared" si="226"/>
        <v/>
      </c>
      <c r="M2108" s="1">
        <f>VLOOKUP(B2108,'[1]Срок Годности'!$A$2:$B$4,2,0)</f>
        <v>500</v>
      </c>
      <c r="N2108" s="60">
        <f t="shared" si="227"/>
        <v>902</v>
      </c>
      <c r="O2108" s="1" t="str">
        <f t="shared" si="228"/>
        <v>27 2012</v>
      </c>
      <c r="P2108" s="1">
        <f t="shared" si="229"/>
        <v>23</v>
      </c>
      <c r="Q2108" s="1">
        <f t="shared" ca="1" si="230"/>
        <v>4039</v>
      </c>
      <c r="S2108" s="1">
        <f t="shared" si="224"/>
        <v>3945</v>
      </c>
    </row>
    <row r="2109" spans="1:19" x14ac:dyDescent="0.2">
      <c r="A2109" s="57" t="s">
        <v>233</v>
      </c>
      <c r="B2109" s="57" t="s">
        <v>225</v>
      </c>
      <c r="C2109" s="57" t="s">
        <v>226</v>
      </c>
      <c r="D2109" s="58">
        <v>317.08</v>
      </c>
      <c r="E2109" s="59">
        <v>41095</v>
      </c>
      <c r="F2109" s="58">
        <v>3945</v>
      </c>
      <c r="G2109" s="58">
        <v>799</v>
      </c>
      <c r="H2109" s="58">
        <v>758</v>
      </c>
      <c r="I2109" s="58">
        <v>3975</v>
      </c>
      <c r="J2109" s="58">
        <v>0</v>
      </c>
      <c r="K2109" s="1">
        <f t="shared" si="225"/>
        <v>240346.63999999998</v>
      </c>
      <c r="L2109" s="1" t="str">
        <f t="shared" si="226"/>
        <v/>
      </c>
      <c r="M2109" s="1">
        <f>VLOOKUP(B2109,'[1]Срок Годности'!$A$2:$B$4,2,0)</f>
        <v>500</v>
      </c>
      <c r="N2109" s="60">
        <f t="shared" si="227"/>
        <v>799</v>
      </c>
      <c r="O2109" s="1" t="str">
        <f t="shared" si="228"/>
        <v>27 2012</v>
      </c>
      <c r="P2109" s="1">
        <f t="shared" si="229"/>
        <v>23</v>
      </c>
      <c r="Q2109" s="1">
        <f t="shared" ca="1" si="230"/>
        <v>4038</v>
      </c>
      <c r="S2109" s="1">
        <f t="shared" si="224"/>
        <v>3975</v>
      </c>
    </row>
    <row r="2110" spans="1:19" x14ac:dyDescent="0.2">
      <c r="A2110" s="57" t="s">
        <v>233</v>
      </c>
      <c r="B2110" s="57" t="s">
        <v>225</v>
      </c>
      <c r="C2110" s="57" t="s">
        <v>226</v>
      </c>
      <c r="D2110" s="58">
        <v>317.08</v>
      </c>
      <c r="E2110" s="59">
        <v>41096</v>
      </c>
      <c r="F2110" s="58">
        <v>3975</v>
      </c>
      <c r="G2110" s="58">
        <v>810</v>
      </c>
      <c r="H2110" s="58">
        <v>895</v>
      </c>
      <c r="I2110" s="58">
        <v>3882</v>
      </c>
      <c r="J2110" s="58">
        <v>0</v>
      </c>
      <c r="K2110" s="1">
        <f t="shared" si="225"/>
        <v>283786.59999999998</v>
      </c>
      <c r="L2110" s="1" t="str">
        <f t="shared" si="226"/>
        <v/>
      </c>
      <c r="M2110" s="1">
        <f>VLOOKUP(B2110,'[1]Срок Годности'!$A$2:$B$4,2,0)</f>
        <v>500</v>
      </c>
      <c r="N2110" s="60">
        <f t="shared" si="227"/>
        <v>810</v>
      </c>
      <c r="O2110" s="1" t="str">
        <f t="shared" si="228"/>
        <v>27 2012</v>
      </c>
      <c r="P2110" s="1">
        <f t="shared" si="229"/>
        <v>23</v>
      </c>
      <c r="Q2110" s="1">
        <f t="shared" ca="1" si="230"/>
        <v>4037</v>
      </c>
      <c r="S2110" s="1">
        <f t="shared" si="224"/>
        <v>3882</v>
      </c>
    </row>
    <row r="2111" spans="1:19" x14ac:dyDescent="0.2">
      <c r="A2111" s="57" t="s">
        <v>233</v>
      </c>
      <c r="B2111" s="57" t="s">
        <v>225</v>
      </c>
      <c r="C2111" s="57" t="s">
        <v>226</v>
      </c>
      <c r="D2111" s="58">
        <v>317.08</v>
      </c>
      <c r="E2111" s="59">
        <v>41097</v>
      </c>
      <c r="F2111" s="58">
        <v>3882</v>
      </c>
      <c r="G2111" s="58">
        <v>780</v>
      </c>
      <c r="H2111" s="58">
        <v>805</v>
      </c>
      <c r="I2111" s="58">
        <v>3854</v>
      </c>
      <c r="J2111" s="58">
        <v>0</v>
      </c>
      <c r="K2111" s="1">
        <f t="shared" si="225"/>
        <v>255249.4</v>
      </c>
      <c r="L2111" s="1" t="str">
        <f t="shared" si="226"/>
        <v/>
      </c>
      <c r="M2111" s="1">
        <f>VLOOKUP(B2111,'[1]Срок Годности'!$A$2:$B$4,2,0)</f>
        <v>500</v>
      </c>
      <c r="N2111" s="60">
        <f t="shared" si="227"/>
        <v>780</v>
      </c>
      <c r="O2111" s="1" t="str">
        <f t="shared" si="228"/>
        <v>27 2012</v>
      </c>
      <c r="P2111" s="1">
        <f t="shared" si="229"/>
        <v>23</v>
      </c>
      <c r="Q2111" s="1">
        <f t="shared" ca="1" si="230"/>
        <v>4036</v>
      </c>
      <c r="S2111" s="1">
        <f t="shared" si="224"/>
        <v>3854</v>
      </c>
    </row>
    <row r="2112" spans="1:19" x14ac:dyDescent="0.2">
      <c r="A2112" s="57" t="s">
        <v>233</v>
      </c>
      <c r="B2112" s="57" t="s">
        <v>225</v>
      </c>
      <c r="C2112" s="57" t="s">
        <v>226</v>
      </c>
      <c r="D2112" s="58">
        <v>317.08</v>
      </c>
      <c r="E2112" s="59">
        <v>41098</v>
      </c>
      <c r="F2112" s="58">
        <v>3854</v>
      </c>
      <c r="G2112" s="58">
        <v>879</v>
      </c>
      <c r="H2112" s="58">
        <v>783</v>
      </c>
      <c r="I2112" s="58">
        <v>3932</v>
      </c>
      <c r="J2112" s="58">
        <v>0</v>
      </c>
      <c r="K2112" s="1">
        <f t="shared" si="225"/>
        <v>248273.63999999998</v>
      </c>
      <c r="L2112" s="1" t="str">
        <f t="shared" si="226"/>
        <v/>
      </c>
      <c r="M2112" s="1">
        <f>VLOOKUP(B2112,'[1]Срок Годности'!$A$2:$B$4,2,0)</f>
        <v>500</v>
      </c>
      <c r="N2112" s="60">
        <f t="shared" si="227"/>
        <v>0</v>
      </c>
      <c r="O2112" s="1" t="str">
        <f t="shared" si="228"/>
        <v>28 2012</v>
      </c>
      <c r="P2112" s="1">
        <f t="shared" si="229"/>
        <v>23</v>
      </c>
      <c r="Q2112" s="1">
        <f t="shared" ca="1" si="230"/>
        <v>4035</v>
      </c>
      <c r="S2112" s="1">
        <f t="shared" si="224"/>
        <v>3932</v>
      </c>
    </row>
    <row r="2113" spans="1:19" x14ac:dyDescent="0.2">
      <c r="A2113" s="57" t="s">
        <v>233</v>
      </c>
      <c r="B2113" s="57" t="s">
        <v>225</v>
      </c>
      <c r="C2113" s="57" t="s">
        <v>226</v>
      </c>
      <c r="D2113" s="58">
        <v>317.08</v>
      </c>
      <c r="E2113" s="59">
        <v>41099</v>
      </c>
      <c r="F2113" s="58">
        <v>3932</v>
      </c>
      <c r="G2113" s="58">
        <v>883</v>
      </c>
      <c r="H2113" s="58">
        <v>781</v>
      </c>
      <c r="I2113" s="58">
        <v>4015</v>
      </c>
      <c r="J2113" s="58">
        <v>0</v>
      </c>
      <c r="K2113" s="1">
        <f t="shared" si="225"/>
        <v>247639.47999999998</v>
      </c>
      <c r="L2113" s="1" t="str">
        <f t="shared" si="226"/>
        <v/>
      </c>
      <c r="M2113" s="1">
        <f>VLOOKUP(B2113,'[1]Срок Годности'!$A$2:$B$4,2,0)</f>
        <v>500</v>
      </c>
      <c r="N2113" s="60">
        <f t="shared" si="227"/>
        <v>883</v>
      </c>
      <c r="O2113" s="1" t="str">
        <f t="shared" si="228"/>
        <v>28 2012</v>
      </c>
      <c r="P2113" s="1">
        <f t="shared" si="229"/>
        <v>23</v>
      </c>
      <c r="Q2113" s="1">
        <f t="shared" ca="1" si="230"/>
        <v>4034</v>
      </c>
      <c r="S2113" s="1">
        <f t="shared" si="224"/>
        <v>4015</v>
      </c>
    </row>
    <row r="2114" spans="1:19" x14ac:dyDescent="0.2">
      <c r="A2114" s="57" t="s">
        <v>233</v>
      </c>
      <c r="B2114" s="57" t="s">
        <v>225</v>
      </c>
      <c r="C2114" s="57" t="s">
        <v>226</v>
      </c>
      <c r="D2114" s="58">
        <v>317.08</v>
      </c>
      <c r="E2114" s="59">
        <v>41100</v>
      </c>
      <c r="F2114" s="58">
        <v>4015</v>
      </c>
      <c r="G2114" s="58">
        <v>849</v>
      </c>
      <c r="H2114" s="58">
        <v>750</v>
      </c>
      <c r="I2114" s="58">
        <v>4088</v>
      </c>
      <c r="J2114" s="58">
        <v>0</v>
      </c>
      <c r="K2114" s="1">
        <f t="shared" si="225"/>
        <v>237810</v>
      </c>
      <c r="L2114" s="1" t="str">
        <f t="shared" si="226"/>
        <v/>
      </c>
      <c r="M2114" s="1">
        <f>VLOOKUP(B2114,'[1]Срок Годности'!$A$2:$B$4,2,0)</f>
        <v>500</v>
      </c>
      <c r="N2114" s="60">
        <f t="shared" si="227"/>
        <v>849</v>
      </c>
      <c r="O2114" s="1" t="str">
        <f t="shared" si="228"/>
        <v>28 2012</v>
      </c>
      <c r="P2114" s="1">
        <f t="shared" si="229"/>
        <v>23</v>
      </c>
      <c r="Q2114" s="1">
        <f t="shared" ca="1" si="230"/>
        <v>4033</v>
      </c>
      <c r="S2114" s="1">
        <f t="shared" si="224"/>
        <v>4088</v>
      </c>
    </row>
    <row r="2115" spans="1:19" x14ac:dyDescent="0.2">
      <c r="A2115" s="57" t="s">
        <v>233</v>
      </c>
      <c r="B2115" s="57" t="s">
        <v>225</v>
      </c>
      <c r="C2115" s="57" t="s">
        <v>226</v>
      </c>
      <c r="D2115" s="58">
        <v>317.08</v>
      </c>
      <c r="E2115" s="59">
        <v>41101</v>
      </c>
      <c r="F2115" s="58">
        <v>4088</v>
      </c>
      <c r="G2115" s="58">
        <v>683</v>
      </c>
      <c r="H2115" s="58">
        <v>782</v>
      </c>
      <c r="I2115" s="58">
        <v>3964</v>
      </c>
      <c r="J2115" s="58">
        <v>0</v>
      </c>
      <c r="K2115" s="1">
        <f t="shared" si="225"/>
        <v>247956.56</v>
      </c>
      <c r="L2115" s="1" t="str">
        <f t="shared" si="226"/>
        <v/>
      </c>
      <c r="M2115" s="1">
        <f>VLOOKUP(B2115,'[1]Срок Годности'!$A$2:$B$4,2,0)</f>
        <v>500</v>
      </c>
      <c r="N2115" s="60">
        <f t="shared" si="227"/>
        <v>683</v>
      </c>
      <c r="O2115" s="1" t="str">
        <f t="shared" si="228"/>
        <v>28 2012</v>
      </c>
      <c r="P2115" s="1">
        <f t="shared" si="229"/>
        <v>23</v>
      </c>
      <c r="Q2115" s="1">
        <f t="shared" ca="1" si="230"/>
        <v>4032</v>
      </c>
      <c r="S2115" s="1">
        <f t="shared" si="224"/>
        <v>3964</v>
      </c>
    </row>
    <row r="2116" spans="1:19" x14ac:dyDescent="0.2">
      <c r="A2116" s="57" t="s">
        <v>233</v>
      </c>
      <c r="B2116" s="57" t="s">
        <v>225</v>
      </c>
      <c r="C2116" s="57" t="s">
        <v>226</v>
      </c>
      <c r="D2116" s="58">
        <v>317.08</v>
      </c>
      <c r="E2116" s="59">
        <v>41102</v>
      </c>
      <c r="F2116" s="58">
        <v>3964</v>
      </c>
      <c r="G2116" s="58">
        <v>819</v>
      </c>
      <c r="H2116" s="58">
        <v>727</v>
      </c>
      <c r="I2116" s="58">
        <v>4033</v>
      </c>
      <c r="J2116" s="58">
        <v>0</v>
      </c>
      <c r="K2116" s="1">
        <f t="shared" si="225"/>
        <v>230517.15999999997</v>
      </c>
      <c r="L2116" s="1" t="str">
        <f t="shared" si="226"/>
        <v/>
      </c>
      <c r="M2116" s="1">
        <f>VLOOKUP(B2116,'[1]Срок Годности'!$A$2:$B$4,2,0)</f>
        <v>500</v>
      </c>
      <c r="N2116" s="60">
        <f t="shared" si="227"/>
        <v>819</v>
      </c>
      <c r="O2116" s="1" t="str">
        <f t="shared" si="228"/>
        <v>28 2012</v>
      </c>
      <c r="P2116" s="1">
        <f t="shared" si="229"/>
        <v>23</v>
      </c>
      <c r="Q2116" s="1">
        <f t="shared" ca="1" si="230"/>
        <v>4031</v>
      </c>
      <c r="S2116" s="1">
        <f t="shared" si="224"/>
        <v>4033</v>
      </c>
    </row>
    <row r="2117" spans="1:19" x14ac:dyDescent="0.2">
      <c r="A2117" s="57" t="s">
        <v>233</v>
      </c>
      <c r="B2117" s="57" t="s">
        <v>225</v>
      </c>
      <c r="C2117" s="57" t="s">
        <v>226</v>
      </c>
      <c r="D2117" s="58">
        <v>317.08</v>
      </c>
      <c r="E2117" s="59">
        <v>41103</v>
      </c>
      <c r="F2117" s="58">
        <v>4033</v>
      </c>
      <c r="G2117" s="58">
        <v>911</v>
      </c>
      <c r="H2117" s="58">
        <v>930</v>
      </c>
      <c r="I2117" s="58">
        <v>3988</v>
      </c>
      <c r="J2117" s="58">
        <v>0</v>
      </c>
      <c r="K2117" s="1">
        <f t="shared" si="225"/>
        <v>294884.39999999997</v>
      </c>
      <c r="L2117" s="1" t="str">
        <f t="shared" si="226"/>
        <v/>
      </c>
      <c r="M2117" s="1">
        <f>VLOOKUP(B2117,'[1]Срок Годности'!$A$2:$B$4,2,0)</f>
        <v>500</v>
      </c>
      <c r="N2117" s="60">
        <f t="shared" si="227"/>
        <v>911</v>
      </c>
      <c r="O2117" s="1" t="str">
        <f t="shared" si="228"/>
        <v>28 2012</v>
      </c>
      <c r="P2117" s="1">
        <f t="shared" si="229"/>
        <v>23</v>
      </c>
      <c r="Q2117" s="1">
        <f t="shared" ca="1" si="230"/>
        <v>4030</v>
      </c>
      <c r="S2117" s="1">
        <f t="shared" si="224"/>
        <v>3988</v>
      </c>
    </row>
    <row r="2118" spans="1:19" x14ac:dyDescent="0.2">
      <c r="A2118" s="57" t="s">
        <v>233</v>
      </c>
      <c r="B2118" s="57" t="s">
        <v>225</v>
      </c>
      <c r="C2118" s="57" t="s">
        <v>226</v>
      </c>
      <c r="D2118" s="58">
        <v>317.08</v>
      </c>
      <c r="E2118" s="59">
        <v>41104</v>
      </c>
      <c r="F2118" s="58">
        <v>3988</v>
      </c>
      <c r="G2118" s="58">
        <v>798</v>
      </c>
      <c r="H2118" s="58">
        <v>836</v>
      </c>
      <c r="I2118" s="58">
        <v>3931</v>
      </c>
      <c r="J2118" s="58">
        <v>0</v>
      </c>
      <c r="K2118" s="1">
        <f t="shared" si="225"/>
        <v>265078.88</v>
      </c>
      <c r="L2118" s="1" t="str">
        <f t="shared" si="226"/>
        <v/>
      </c>
      <c r="M2118" s="1">
        <f>VLOOKUP(B2118,'[1]Срок Годности'!$A$2:$B$4,2,0)</f>
        <v>500</v>
      </c>
      <c r="N2118" s="60">
        <f t="shared" si="227"/>
        <v>798</v>
      </c>
      <c r="O2118" s="1" t="str">
        <f t="shared" si="228"/>
        <v>28 2012</v>
      </c>
      <c r="P2118" s="1">
        <f t="shared" si="229"/>
        <v>23</v>
      </c>
      <c r="Q2118" s="1">
        <f t="shared" ca="1" si="230"/>
        <v>4029</v>
      </c>
      <c r="S2118" s="1">
        <f t="shared" si="224"/>
        <v>3931</v>
      </c>
    </row>
    <row r="2119" spans="1:19" x14ac:dyDescent="0.2">
      <c r="A2119" s="57" t="s">
        <v>233</v>
      </c>
      <c r="B2119" s="57" t="s">
        <v>225</v>
      </c>
      <c r="C2119" s="57" t="s">
        <v>226</v>
      </c>
      <c r="D2119" s="58">
        <v>317.08</v>
      </c>
      <c r="E2119" s="59">
        <v>41105</v>
      </c>
      <c r="F2119" s="58">
        <v>3931</v>
      </c>
      <c r="G2119" s="58">
        <v>842</v>
      </c>
      <c r="H2119" s="58">
        <v>851</v>
      </c>
      <c r="I2119" s="58">
        <v>3897</v>
      </c>
      <c r="J2119" s="58">
        <v>0</v>
      </c>
      <c r="K2119" s="1">
        <f t="shared" si="225"/>
        <v>269835.07999999996</v>
      </c>
      <c r="L2119" s="1" t="str">
        <f t="shared" si="226"/>
        <v/>
      </c>
      <c r="M2119" s="1">
        <f>VLOOKUP(B2119,'[1]Срок Годности'!$A$2:$B$4,2,0)</f>
        <v>500</v>
      </c>
      <c r="N2119" s="60">
        <f t="shared" si="227"/>
        <v>0</v>
      </c>
      <c r="O2119" s="1" t="str">
        <f t="shared" si="228"/>
        <v>29 2012</v>
      </c>
      <c r="P2119" s="1">
        <f t="shared" si="229"/>
        <v>23</v>
      </c>
      <c r="Q2119" s="1">
        <f t="shared" ca="1" si="230"/>
        <v>4028</v>
      </c>
      <c r="S2119" s="1">
        <f t="shared" ref="S2119:S2182" si="231">I2119-J2119</f>
        <v>3897</v>
      </c>
    </row>
    <row r="2120" spans="1:19" x14ac:dyDescent="0.2">
      <c r="A2120" s="57" t="s">
        <v>233</v>
      </c>
      <c r="B2120" s="57" t="s">
        <v>225</v>
      </c>
      <c r="C2120" s="57" t="s">
        <v>226</v>
      </c>
      <c r="D2120" s="58">
        <v>317.08</v>
      </c>
      <c r="E2120" s="59">
        <v>41106</v>
      </c>
      <c r="F2120" s="58">
        <v>3897</v>
      </c>
      <c r="G2120" s="58">
        <v>994</v>
      </c>
      <c r="H2120" s="58">
        <v>686</v>
      </c>
      <c r="I2120" s="58">
        <v>4188</v>
      </c>
      <c r="J2120" s="58">
        <v>0</v>
      </c>
      <c r="K2120" s="1">
        <f t="shared" ref="K2120:K2183" si="232">H2120*D2120</f>
        <v>217516.87999999998</v>
      </c>
      <c r="L2120" s="1" t="str">
        <f t="shared" ref="L2120:L2183" si="233">IF(H2120&gt;1000,H2120,"")</f>
        <v/>
      </c>
      <c r="M2120" s="1">
        <f>VLOOKUP(B2120,'[1]Срок Годности'!$A$2:$B$4,2,0)</f>
        <v>500</v>
      </c>
      <c r="N2120" s="60">
        <f t="shared" ref="N2120:N2183" si="234">IF(WEEKDAY(E2120) = 1, 0, G2120)</f>
        <v>994</v>
      </c>
      <c r="O2120" s="1" t="str">
        <f t="shared" ref="O2120:O2183" si="235">WEEKNUM(E2120) &amp; " " &amp; YEAR(E2120)</f>
        <v>29 2012</v>
      </c>
      <c r="P2120" s="1">
        <f t="shared" ref="P2120:P2183" si="236">LEN(C2120)</f>
        <v>23</v>
      </c>
      <c r="Q2120" s="1">
        <f t="shared" ref="Q2120:Q2183" ca="1" si="237">DATEDIF(E2120,NOW(),"D")</f>
        <v>4027</v>
      </c>
      <c r="S2120" s="1">
        <f t="shared" si="231"/>
        <v>4188</v>
      </c>
    </row>
    <row r="2121" spans="1:19" x14ac:dyDescent="0.2">
      <c r="A2121" s="57" t="s">
        <v>233</v>
      </c>
      <c r="B2121" s="57" t="s">
        <v>225</v>
      </c>
      <c r="C2121" s="57" t="s">
        <v>226</v>
      </c>
      <c r="D2121" s="58">
        <v>317.08</v>
      </c>
      <c r="E2121" s="59">
        <v>41107</v>
      </c>
      <c r="F2121" s="58">
        <v>4188</v>
      </c>
      <c r="G2121" s="58">
        <v>877</v>
      </c>
      <c r="H2121" s="58">
        <v>734</v>
      </c>
      <c r="I2121" s="58">
        <v>4311</v>
      </c>
      <c r="J2121" s="58">
        <v>0</v>
      </c>
      <c r="K2121" s="1">
        <f t="shared" si="232"/>
        <v>232736.72</v>
      </c>
      <c r="L2121" s="1" t="str">
        <f t="shared" si="233"/>
        <v/>
      </c>
      <c r="M2121" s="1">
        <f>VLOOKUP(B2121,'[1]Срок Годности'!$A$2:$B$4,2,0)</f>
        <v>500</v>
      </c>
      <c r="N2121" s="60">
        <f t="shared" si="234"/>
        <v>877</v>
      </c>
      <c r="O2121" s="1" t="str">
        <f t="shared" si="235"/>
        <v>29 2012</v>
      </c>
      <c r="P2121" s="1">
        <f t="shared" si="236"/>
        <v>23</v>
      </c>
      <c r="Q2121" s="1">
        <f t="shared" ca="1" si="237"/>
        <v>4026</v>
      </c>
      <c r="S2121" s="1">
        <f t="shared" si="231"/>
        <v>4311</v>
      </c>
    </row>
    <row r="2122" spans="1:19" x14ac:dyDescent="0.2">
      <c r="A2122" s="57" t="s">
        <v>233</v>
      </c>
      <c r="B2122" s="57" t="s">
        <v>244</v>
      </c>
      <c r="C2122" s="57" t="s">
        <v>245</v>
      </c>
      <c r="D2122" s="58">
        <v>33.659999999999997</v>
      </c>
      <c r="E2122" s="59">
        <v>41061</v>
      </c>
      <c r="F2122" s="58">
        <v>72997</v>
      </c>
      <c r="G2122" s="58">
        <v>14385</v>
      </c>
      <c r="H2122" s="58">
        <v>13210</v>
      </c>
      <c r="I2122" s="58">
        <v>74116</v>
      </c>
      <c r="J2122" s="58">
        <v>0</v>
      </c>
      <c r="K2122" s="1">
        <f t="shared" si="232"/>
        <v>444648.6</v>
      </c>
      <c r="L2122" s="1">
        <f t="shared" si="233"/>
        <v>13210</v>
      </c>
      <c r="M2122" s="1">
        <f>VLOOKUP(B2122,'[1]Срок Годности'!$A$2:$B$4,2,0)</f>
        <v>1500</v>
      </c>
      <c r="N2122" s="60">
        <f t="shared" si="234"/>
        <v>14385</v>
      </c>
      <c r="O2122" s="1" t="str">
        <f t="shared" si="235"/>
        <v>22 2012</v>
      </c>
      <c r="P2122" s="1">
        <f t="shared" si="236"/>
        <v>21</v>
      </c>
      <c r="Q2122" s="1">
        <f t="shared" ca="1" si="237"/>
        <v>4072</v>
      </c>
      <c r="S2122" s="1">
        <f t="shared" si="231"/>
        <v>74116</v>
      </c>
    </row>
    <row r="2123" spans="1:19" x14ac:dyDescent="0.2">
      <c r="A2123" s="57" t="s">
        <v>233</v>
      </c>
      <c r="B2123" s="57" t="s">
        <v>244</v>
      </c>
      <c r="C2123" s="57" t="s">
        <v>245</v>
      </c>
      <c r="D2123" s="58">
        <v>33.659999999999997</v>
      </c>
      <c r="E2123" s="59">
        <v>41062</v>
      </c>
      <c r="F2123" s="58">
        <v>74116</v>
      </c>
      <c r="G2123" s="58">
        <v>9102</v>
      </c>
      <c r="H2123" s="58">
        <v>12584</v>
      </c>
      <c r="I2123" s="58">
        <v>70579</v>
      </c>
      <c r="J2123" s="58">
        <v>0</v>
      </c>
      <c r="K2123" s="1">
        <f t="shared" si="232"/>
        <v>423577.43999999994</v>
      </c>
      <c r="L2123" s="1">
        <f t="shared" si="233"/>
        <v>12584</v>
      </c>
      <c r="M2123" s="1">
        <f>VLOOKUP(B2123,'[1]Срок Годности'!$A$2:$B$4,2,0)</f>
        <v>1500</v>
      </c>
      <c r="N2123" s="60">
        <f t="shared" si="234"/>
        <v>9102</v>
      </c>
      <c r="O2123" s="1" t="str">
        <f t="shared" si="235"/>
        <v>22 2012</v>
      </c>
      <c r="P2123" s="1">
        <f t="shared" si="236"/>
        <v>21</v>
      </c>
      <c r="Q2123" s="1">
        <f t="shared" ca="1" si="237"/>
        <v>4071</v>
      </c>
      <c r="S2123" s="1">
        <f t="shared" si="231"/>
        <v>70579</v>
      </c>
    </row>
    <row r="2124" spans="1:19" x14ac:dyDescent="0.2">
      <c r="A2124" s="57" t="s">
        <v>233</v>
      </c>
      <c r="B2124" s="57" t="s">
        <v>244</v>
      </c>
      <c r="C2124" s="57" t="s">
        <v>245</v>
      </c>
      <c r="D2124" s="58">
        <v>33.659999999999997</v>
      </c>
      <c r="E2124" s="59">
        <v>41063</v>
      </c>
      <c r="F2124" s="58">
        <v>70579</v>
      </c>
      <c r="G2124" s="58">
        <v>17962</v>
      </c>
      <c r="H2124" s="58">
        <v>13332</v>
      </c>
      <c r="I2124" s="58">
        <v>75196</v>
      </c>
      <c r="J2124" s="58">
        <v>0</v>
      </c>
      <c r="K2124" s="1">
        <f t="shared" si="232"/>
        <v>448755.11999999994</v>
      </c>
      <c r="L2124" s="1">
        <f t="shared" si="233"/>
        <v>13332</v>
      </c>
      <c r="M2124" s="1">
        <f>VLOOKUP(B2124,'[1]Срок Годности'!$A$2:$B$4,2,0)</f>
        <v>1500</v>
      </c>
      <c r="N2124" s="60">
        <f t="shared" si="234"/>
        <v>0</v>
      </c>
      <c r="O2124" s="1" t="str">
        <f t="shared" si="235"/>
        <v>23 2012</v>
      </c>
      <c r="P2124" s="1">
        <f t="shared" si="236"/>
        <v>21</v>
      </c>
      <c r="Q2124" s="1">
        <f t="shared" ca="1" si="237"/>
        <v>4070</v>
      </c>
      <c r="S2124" s="1">
        <f t="shared" si="231"/>
        <v>75196</v>
      </c>
    </row>
    <row r="2125" spans="1:19" x14ac:dyDescent="0.2">
      <c r="A2125" s="57" t="s">
        <v>233</v>
      </c>
      <c r="B2125" s="57" t="s">
        <v>244</v>
      </c>
      <c r="C2125" s="57" t="s">
        <v>245</v>
      </c>
      <c r="D2125" s="58">
        <v>33.659999999999997</v>
      </c>
      <c r="E2125" s="59">
        <v>41064</v>
      </c>
      <c r="F2125" s="58">
        <v>75196</v>
      </c>
      <c r="G2125" s="58">
        <v>20332</v>
      </c>
      <c r="H2125" s="58">
        <v>15101</v>
      </c>
      <c r="I2125" s="58">
        <v>80394</v>
      </c>
      <c r="J2125" s="58">
        <v>0</v>
      </c>
      <c r="K2125" s="1">
        <f t="shared" si="232"/>
        <v>508299.66</v>
      </c>
      <c r="L2125" s="1">
        <f t="shared" si="233"/>
        <v>15101</v>
      </c>
      <c r="M2125" s="1">
        <f>VLOOKUP(B2125,'[1]Срок Годности'!$A$2:$B$4,2,0)</f>
        <v>1500</v>
      </c>
      <c r="N2125" s="60">
        <f t="shared" si="234"/>
        <v>20332</v>
      </c>
      <c r="O2125" s="1" t="str">
        <f t="shared" si="235"/>
        <v>23 2012</v>
      </c>
      <c r="P2125" s="1">
        <f t="shared" si="236"/>
        <v>21</v>
      </c>
      <c r="Q2125" s="1">
        <f t="shared" ca="1" si="237"/>
        <v>4069</v>
      </c>
      <c r="S2125" s="1">
        <f t="shared" si="231"/>
        <v>80394</v>
      </c>
    </row>
    <row r="2126" spans="1:19" x14ac:dyDescent="0.2">
      <c r="A2126" s="57" t="s">
        <v>233</v>
      </c>
      <c r="B2126" s="57" t="s">
        <v>244</v>
      </c>
      <c r="C2126" s="57" t="s">
        <v>245</v>
      </c>
      <c r="D2126" s="58">
        <v>33.659999999999997</v>
      </c>
      <c r="E2126" s="59">
        <v>41065</v>
      </c>
      <c r="F2126" s="58">
        <v>80394</v>
      </c>
      <c r="G2126" s="58">
        <v>15334</v>
      </c>
      <c r="H2126" s="58">
        <v>13546</v>
      </c>
      <c r="I2126" s="58">
        <v>82080</v>
      </c>
      <c r="J2126" s="58">
        <v>0</v>
      </c>
      <c r="K2126" s="1">
        <f t="shared" si="232"/>
        <v>455958.35999999993</v>
      </c>
      <c r="L2126" s="1">
        <f t="shared" si="233"/>
        <v>13546</v>
      </c>
      <c r="M2126" s="1">
        <f>VLOOKUP(B2126,'[1]Срок Годности'!$A$2:$B$4,2,0)</f>
        <v>1500</v>
      </c>
      <c r="N2126" s="60">
        <f t="shared" si="234"/>
        <v>15334</v>
      </c>
      <c r="O2126" s="1" t="str">
        <f t="shared" si="235"/>
        <v>23 2012</v>
      </c>
      <c r="P2126" s="1">
        <f t="shared" si="236"/>
        <v>21</v>
      </c>
      <c r="Q2126" s="1">
        <f t="shared" ca="1" si="237"/>
        <v>4068</v>
      </c>
      <c r="S2126" s="1">
        <f t="shared" si="231"/>
        <v>82080</v>
      </c>
    </row>
    <row r="2127" spans="1:19" x14ac:dyDescent="0.2">
      <c r="A2127" s="57" t="s">
        <v>233</v>
      </c>
      <c r="B2127" s="57" t="s">
        <v>244</v>
      </c>
      <c r="C2127" s="57" t="s">
        <v>245</v>
      </c>
      <c r="D2127" s="58">
        <v>33.659999999999997</v>
      </c>
      <c r="E2127" s="59">
        <v>41066</v>
      </c>
      <c r="F2127" s="58">
        <v>82080</v>
      </c>
      <c r="G2127" s="58">
        <v>14704</v>
      </c>
      <c r="H2127" s="58">
        <v>14523</v>
      </c>
      <c r="I2127" s="58">
        <v>82126</v>
      </c>
      <c r="J2127" s="58">
        <v>0</v>
      </c>
      <c r="K2127" s="1">
        <f t="shared" si="232"/>
        <v>488844.17999999993</v>
      </c>
      <c r="L2127" s="1">
        <f t="shared" si="233"/>
        <v>14523</v>
      </c>
      <c r="M2127" s="1">
        <f>VLOOKUP(B2127,'[1]Срок Годности'!$A$2:$B$4,2,0)</f>
        <v>1500</v>
      </c>
      <c r="N2127" s="60">
        <f t="shared" si="234"/>
        <v>14704</v>
      </c>
      <c r="O2127" s="1" t="str">
        <f t="shared" si="235"/>
        <v>23 2012</v>
      </c>
      <c r="P2127" s="1">
        <f t="shared" si="236"/>
        <v>21</v>
      </c>
      <c r="Q2127" s="1">
        <f t="shared" ca="1" si="237"/>
        <v>4067</v>
      </c>
      <c r="S2127" s="1">
        <f t="shared" si="231"/>
        <v>82126</v>
      </c>
    </row>
    <row r="2128" spans="1:19" x14ac:dyDescent="0.2">
      <c r="A2128" s="57" t="s">
        <v>233</v>
      </c>
      <c r="B2128" s="57" t="s">
        <v>244</v>
      </c>
      <c r="C2128" s="57" t="s">
        <v>245</v>
      </c>
      <c r="D2128" s="58">
        <v>33.659999999999997</v>
      </c>
      <c r="E2128" s="59">
        <v>41067</v>
      </c>
      <c r="F2128" s="58">
        <v>82126</v>
      </c>
      <c r="G2128" s="58">
        <v>678</v>
      </c>
      <c r="H2128" s="58">
        <v>13469</v>
      </c>
      <c r="I2128" s="58">
        <v>69378</v>
      </c>
      <c r="J2128" s="58">
        <v>0</v>
      </c>
      <c r="K2128" s="1">
        <f t="shared" si="232"/>
        <v>453366.54</v>
      </c>
      <c r="L2128" s="1">
        <f t="shared" si="233"/>
        <v>13469</v>
      </c>
      <c r="M2128" s="1">
        <f>VLOOKUP(B2128,'[1]Срок Годности'!$A$2:$B$4,2,0)</f>
        <v>1500</v>
      </c>
      <c r="N2128" s="60">
        <f t="shared" si="234"/>
        <v>678</v>
      </c>
      <c r="O2128" s="1" t="str">
        <f t="shared" si="235"/>
        <v>23 2012</v>
      </c>
      <c r="P2128" s="1">
        <f t="shared" si="236"/>
        <v>21</v>
      </c>
      <c r="Q2128" s="1">
        <f t="shared" ca="1" si="237"/>
        <v>4066</v>
      </c>
      <c r="S2128" s="1">
        <f t="shared" si="231"/>
        <v>69378</v>
      </c>
    </row>
    <row r="2129" spans="1:19" x14ac:dyDescent="0.2">
      <c r="A2129" s="57" t="s">
        <v>233</v>
      </c>
      <c r="B2129" s="57" t="s">
        <v>244</v>
      </c>
      <c r="C2129" s="57" t="s">
        <v>245</v>
      </c>
      <c r="D2129" s="58">
        <v>33.659999999999997</v>
      </c>
      <c r="E2129" s="59">
        <v>41068</v>
      </c>
      <c r="F2129" s="58">
        <v>69378</v>
      </c>
      <c r="G2129" s="58">
        <v>85</v>
      </c>
      <c r="H2129" s="58">
        <v>12097</v>
      </c>
      <c r="I2129" s="58">
        <v>57237</v>
      </c>
      <c r="J2129" s="58">
        <v>0</v>
      </c>
      <c r="K2129" s="1">
        <f t="shared" si="232"/>
        <v>407185.01999999996</v>
      </c>
      <c r="L2129" s="1">
        <f t="shared" si="233"/>
        <v>12097</v>
      </c>
      <c r="M2129" s="1">
        <f>VLOOKUP(B2129,'[1]Срок Годности'!$A$2:$B$4,2,0)</f>
        <v>1500</v>
      </c>
      <c r="N2129" s="60">
        <f t="shared" si="234"/>
        <v>85</v>
      </c>
      <c r="O2129" s="1" t="str">
        <f t="shared" si="235"/>
        <v>23 2012</v>
      </c>
      <c r="P2129" s="1">
        <f t="shared" si="236"/>
        <v>21</v>
      </c>
      <c r="Q2129" s="1">
        <f t="shared" ca="1" si="237"/>
        <v>4065</v>
      </c>
      <c r="S2129" s="1">
        <f t="shared" si="231"/>
        <v>57237</v>
      </c>
    </row>
    <row r="2130" spans="1:19" x14ac:dyDescent="0.2">
      <c r="A2130" s="57" t="s">
        <v>233</v>
      </c>
      <c r="B2130" s="57" t="s">
        <v>244</v>
      </c>
      <c r="C2130" s="57" t="s">
        <v>245</v>
      </c>
      <c r="D2130" s="58">
        <v>33.659999999999997</v>
      </c>
      <c r="E2130" s="59">
        <v>41069</v>
      </c>
      <c r="F2130" s="58">
        <v>57237</v>
      </c>
      <c r="G2130" s="58">
        <v>-54</v>
      </c>
      <c r="H2130" s="58">
        <v>9484</v>
      </c>
      <c r="I2130" s="58">
        <v>47727</v>
      </c>
      <c r="J2130" s="58">
        <v>0</v>
      </c>
      <c r="K2130" s="1">
        <f t="shared" si="232"/>
        <v>319231.43999999994</v>
      </c>
      <c r="L2130" s="1">
        <f t="shared" si="233"/>
        <v>9484</v>
      </c>
      <c r="M2130" s="1">
        <f>VLOOKUP(B2130,'[1]Срок Годности'!$A$2:$B$4,2,0)</f>
        <v>1500</v>
      </c>
      <c r="N2130" s="60">
        <f t="shared" si="234"/>
        <v>-54</v>
      </c>
      <c r="O2130" s="1" t="str">
        <f t="shared" si="235"/>
        <v>23 2012</v>
      </c>
      <c r="P2130" s="1">
        <f t="shared" si="236"/>
        <v>21</v>
      </c>
      <c r="Q2130" s="1">
        <f t="shared" ca="1" si="237"/>
        <v>4064</v>
      </c>
      <c r="S2130" s="1">
        <f t="shared" si="231"/>
        <v>47727</v>
      </c>
    </row>
    <row r="2131" spans="1:19" x14ac:dyDescent="0.2">
      <c r="A2131" s="57" t="s">
        <v>233</v>
      </c>
      <c r="B2131" s="57" t="s">
        <v>244</v>
      </c>
      <c r="C2131" s="57" t="s">
        <v>245</v>
      </c>
      <c r="D2131" s="58">
        <v>33.659999999999997</v>
      </c>
      <c r="E2131" s="59">
        <v>41070</v>
      </c>
      <c r="F2131" s="58">
        <v>47727</v>
      </c>
      <c r="G2131" s="58">
        <v>17</v>
      </c>
      <c r="H2131" s="58">
        <v>7977</v>
      </c>
      <c r="I2131" s="58">
        <v>39634</v>
      </c>
      <c r="J2131" s="58">
        <v>0</v>
      </c>
      <c r="K2131" s="1">
        <f t="shared" si="232"/>
        <v>268505.81999999995</v>
      </c>
      <c r="L2131" s="1">
        <f t="shared" si="233"/>
        <v>7977</v>
      </c>
      <c r="M2131" s="1">
        <f>VLOOKUP(B2131,'[1]Срок Годности'!$A$2:$B$4,2,0)</f>
        <v>1500</v>
      </c>
      <c r="N2131" s="60">
        <f t="shared" si="234"/>
        <v>0</v>
      </c>
      <c r="O2131" s="1" t="str">
        <f t="shared" si="235"/>
        <v>24 2012</v>
      </c>
      <c r="P2131" s="1">
        <f t="shared" si="236"/>
        <v>21</v>
      </c>
      <c r="Q2131" s="1">
        <f t="shared" ca="1" si="237"/>
        <v>4063</v>
      </c>
      <c r="S2131" s="1">
        <f t="shared" si="231"/>
        <v>39634</v>
      </c>
    </row>
    <row r="2132" spans="1:19" x14ac:dyDescent="0.2">
      <c r="A2132" s="57" t="s">
        <v>233</v>
      </c>
      <c r="B2132" s="57" t="s">
        <v>244</v>
      </c>
      <c r="C2132" s="57" t="s">
        <v>245</v>
      </c>
      <c r="D2132" s="58">
        <v>33.659999999999997</v>
      </c>
      <c r="E2132" s="59">
        <v>41071</v>
      </c>
      <c r="F2132" s="58">
        <v>39634</v>
      </c>
      <c r="G2132" s="58">
        <v>18414</v>
      </c>
      <c r="H2132" s="58">
        <v>8212</v>
      </c>
      <c r="I2132" s="58">
        <v>49378</v>
      </c>
      <c r="J2132" s="58">
        <v>0</v>
      </c>
      <c r="K2132" s="1">
        <f t="shared" si="232"/>
        <v>276415.92</v>
      </c>
      <c r="L2132" s="1">
        <f t="shared" si="233"/>
        <v>8212</v>
      </c>
      <c r="M2132" s="1">
        <f>VLOOKUP(B2132,'[1]Срок Годности'!$A$2:$B$4,2,0)</f>
        <v>1500</v>
      </c>
      <c r="N2132" s="60">
        <f t="shared" si="234"/>
        <v>18414</v>
      </c>
      <c r="O2132" s="1" t="str">
        <f t="shared" si="235"/>
        <v>24 2012</v>
      </c>
      <c r="P2132" s="1">
        <f t="shared" si="236"/>
        <v>21</v>
      </c>
      <c r="Q2132" s="1">
        <f t="shared" ca="1" si="237"/>
        <v>4062</v>
      </c>
      <c r="S2132" s="1">
        <f t="shared" si="231"/>
        <v>49378</v>
      </c>
    </row>
    <row r="2133" spans="1:19" x14ac:dyDescent="0.2">
      <c r="A2133" s="57" t="s">
        <v>233</v>
      </c>
      <c r="B2133" s="57" t="s">
        <v>244</v>
      </c>
      <c r="C2133" s="57" t="s">
        <v>245</v>
      </c>
      <c r="D2133" s="58">
        <v>33.659999999999997</v>
      </c>
      <c r="E2133" s="59">
        <v>41072</v>
      </c>
      <c r="F2133" s="58">
        <v>49378</v>
      </c>
      <c r="G2133" s="58">
        <v>40698</v>
      </c>
      <c r="H2133" s="58">
        <v>8386</v>
      </c>
      <c r="I2133" s="58">
        <v>81474</v>
      </c>
      <c r="J2133" s="58">
        <v>0</v>
      </c>
      <c r="K2133" s="1">
        <f t="shared" si="232"/>
        <v>282272.75999999995</v>
      </c>
      <c r="L2133" s="1">
        <f t="shared" si="233"/>
        <v>8386</v>
      </c>
      <c r="M2133" s="1">
        <f>VLOOKUP(B2133,'[1]Срок Годности'!$A$2:$B$4,2,0)</f>
        <v>1500</v>
      </c>
      <c r="N2133" s="60">
        <f t="shared" si="234"/>
        <v>40698</v>
      </c>
      <c r="O2133" s="1" t="str">
        <f t="shared" si="235"/>
        <v>24 2012</v>
      </c>
      <c r="P2133" s="1">
        <f t="shared" si="236"/>
        <v>21</v>
      </c>
      <c r="Q2133" s="1">
        <f t="shared" ca="1" si="237"/>
        <v>4061</v>
      </c>
      <c r="S2133" s="1">
        <f t="shared" si="231"/>
        <v>81474</v>
      </c>
    </row>
    <row r="2134" spans="1:19" x14ac:dyDescent="0.2">
      <c r="A2134" s="57" t="s">
        <v>233</v>
      </c>
      <c r="B2134" s="57" t="s">
        <v>244</v>
      </c>
      <c r="C2134" s="57" t="s">
        <v>245</v>
      </c>
      <c r="D2134" s="58">
        <v>33.659999999999997</v>
      </c>
      <c r="E2134" s="59">
        <v>41073</v>
      </c>
      <c r="F2134" s="58">
        <v>81474</v>
      </c>
      <c r="G2134" s="58">
        <v>25998</v>
      </c>
      <c r="H2134" s="58">
        <v>9351</v>
      </c>
      <c r="I2134" s="58">
        <v>98202</v>
      </c>
      <c r="J2134" s="58">
        <v>0</v>
      </c>
      <c r="K2134" s="1">
        <f t="shared" si="232"/>
        <v>314754.65999999997</v>
      </c>
      <c r="L2134" s="1">
        <f t="shared" si="233"/>
        <v>9351</v>
      </c>
      <c r="M2134" s="1">
        <f>VLOOKUP(B2134,'[1]Срок Годности'!$A$2:$B$4,2,0)</f>
        <v>1500</v>
      </c>
      <c r="N2134" s="60">
        <f t="shared" si="234"/>
        <v>25998</v>
      </c>
      <c r="O2134" s="1" t="str">
        <f t="shared" si="235"/>
        <v>24 2012</v>
      </c>
      <c r="P2134" s="1">
        <f t="shared" si="236"/>
        <v>21</v>
      </c>
      <c r="Q2134" s="1">
        <f t="shared" ca="1" si="237"/>
        <v>4060</v>
      </c>
      <c r="S2134" s="1">
        <f t="shared" si="231"/>
        <v>98202</v>
      </c>
    </row>
    <row r="2135" spans="1:19" x14ac:dyDescent="0.2">
      <c r="A2135" s="57" t="s">
        <v>233</v>
      </c>
      <c r="B2135" s="57" t="s">
        <v>244</v>
      </c>
      <c r="C2135" s="57" t="s">
        <v>245</v>
      </c>
      <c r="D2135" s="58">
        <v>33.659999999999997</v>
      </c>
      <c r="E2135" s="59">
        <v>41074</v>
      </c>
      <c r="F2135" s="58">
        <v>98202</v>
      </c>
      <c r="G2135" s="58">
        <v>9660</v>
      </c>
      <c r="H2135" s="58">
        <v>9073</v>
      </c>
      <c r="I2135" s="58">
        <v>98846</v>
      </c>
      <c r="J2135" s="58">
        <v>0</v>
      </c>
      <c r="K2135" s="1">
        <f t="shared" si="232"/>
        <v>305397.18</v>
      </c>
      <c r="L2135" s="1">
        <f t="shared" si="233"/>
        <v>9073</v>
      </c>
      <c r="M2135" s="1">
        <f>VLOOKUP(B2135,'[1]Срок Годности'!$A$2:$B$4,2,0)</f>
        <v>1500</v>
      </c>
      <c r="N2135" s="60">
        <f t="shared" si="234"/>
        <v>9660</v>
      </c>
      <c r="O2135" s="1" t="str">
        <f t="shared" si="235"/>
        <v>24 2012</v>
      </c>
      <c r="P2135" s="1">
        <f t="shared" si="236"/>
        <v>21</v>
      </c>
      <c r="Q2135" s="1">
        <f t="shared" ca="1" si="237"/>
        <v>4059</v>
      </c>
      <c r="S2135" s="1">
        <f t="shared" si="231"/>
        <v>98846</v>
      </c>
    </row>
    <row r="2136" spans="1:19" x14ac:dyDescent="0.2">
      <c r="A2136" s="57" t="s">
        <v>233</v>
      </c>
      <c r="B2136" s="57" t="s">
        <v>244</v>
      </c>
      <c r="C2136" s="57" t="s">
        <v>245</v>
      </c>
      <c r="D2136" s="58">
        <v>33.659999999999997</v>
      </c>
      <c r="E2136" s="59">
        <v>41075</v>
      </c>
      <c r="F2136" s="58">
        <v>98846</v>
      </c>
      <c r="G2136" s="58">
        <v>8393</v>
      </c>
      <c r="H2136" s="58">
        <v>9987</v>
      </c>
      <c r="I2136" s="58">
        <v>97188</v>
      </c>
      <c r="J2136" s="58">
        <v>0</v>
      </c>
      <c r="K2136" s="1">
        <f t="shared" si="232"/>
        <v>336162.42</v>
      </c>
      <c r="L2136" s="1">
        <f t="shared" si="233"/>
        <v>9987</v>
      </c>
      <c r="M2136" s="1">
        <f>VLOOKUP(B2136,'[1]Срок Годности'!$A$2:$B$4,2,0)</f>
        <v>1500</v>
      </c>
      <c r="N2136" s="60">
        <f t="shared" si="234"/>
        <v>8393</v>
      </c>
      <c r="O2136" s="1" t="str">
        <f t="shared" si="235"/>
        <v>24 2012</v>
      </c>
      <c r="P2136" s="1">
        <f t="shared" si="236"/>
        <v>21</v>
      </c>
      <c r="Q2136" s="1">
        <f t="shared" ca="1" si="237"/>
        <v>4058</v>
      </c>
      <c r="S2136" s="1">
        <f t="shared" si="231"/>
        <v>97188</v>
      </c>
    </row>
    <row r="2137" spans="1:19" x14ac:dyDescent="0.2">
      <c r="A2137" s="57" t="s">
        <v>233</v>
      </c>
      <c r="B2137" s="57" t="s">
        <v>244</v>
      </c>
      <c r="C2137" s="57" t="s">
        <v>245</v>
      </c>
      <c r="D2137" s="58">
        <v>33.659999999999997</v>
      </c>
      <c r="E2137" s="59">
        <v>41076</v>
      </c>
      <c r="F2137" s="58">
        <v>97188</v>
      </c>
      <c r="G2137" s="58">
        <v>9347</v>
      </c>
      <c r="H2137" s="58">
        <v>10360</v>
      </c>
      <c r="I2137" s="58">
        <v>96128</v>
      </c>
      <c r="J2137" s="58">
        <v>0</v>
      </c>
      <c r="K2137" s="1">
        <f t="shared" si="232"/>
        <v>348717.6</v>
      </c>
      <c r="L2137" s="1">
        <f t="shared" si="233"/>
        <v>10360</v>
      </c>
      <c r="M2137" s="1">
        <f>VLOOKUP(B2137,'[1]Срок Годности'!$A$2:$B$4,2,0)</f>
        <v>1500</v>
      </c>
      <c r="N2137" s="60">
        <f t="shared" si="234"/>
        <v>9347</v>
      </c>
      <c r="O2137" s="1" t="str">
        <f t="shared" si="235"/>
        <v>24 2012</v>
      </c>
      <c r="P2137" s="1">
        <f t="shared" si="236"/>
        <v>21</v>
      </c>
      <c r="Q2137" s="1">
        <f t="shared" ca="1" si="237"/>
        <v>4057</v>
      </c>
      <c r="S2137" s="1">
        <f t="shared" si="231"/>
        <v>96128</v>
      </c>
    </row>
    <row r="2138" spans="1:19" x14ac:dyDescent="0.2">
      <c r="A2138" s="57" t="s">
        <v>233</v>
      </c>
      <c r="B2138" s="57" t="s">
        <v>244</v>
      </c>
      <c r="C2138" s="57" t="s">
        <v>245</v>
      </c>
      <c r="D2138" s="58">
        <v>33.659999999999997</v>
      </c>
      <c r="E2138" s="59">
        <v>41077</v>
      </c>
      <c r="F2138" s="58">
        <v>96128</v>
      </c>
      <c r="G2138" s="58">
        <v>9281</v>
      </c>
      <c r="H2138" s="58">
        <v>11758</v>
      </c>
      <c r="I2138" s="58">
        <v>93561</v>
      </c>
      <c r="J2138" s="58">
        <v>1</v>
      </c>
      <c r="K2138" s="1">
        <f t="shared" si="232"/>
        <v>395774.27999999997</v>
      </c>
      <c r="L2138" s="1">
        <f t="shared" si="233"/>
        <v>11758</v>
      </c>
      <c r="M2138" s="1">
        <f>VLOOKUP(B2138,'[1]Срок Годности'!$A$2:$B$4,2,0)</f>
        <v>1500</v>
      </c>
      <c r="N2138" s="60">
        <f t="shared" si="234"/>
        <v>0</v>
      </c>
      <c r="O2138" s="1" t="str">
        <f t="shared" si="235"/>
        <v>25 2012</v>
      </c>
      <c r="P2138" s="1">
        <f t="shared" si="236"/>
        <v>21</v>
      </c>
      <c r="Q2138" s="1">
        <f t="shared" ca="1" si="237"/>
        <v>4056</v>
      </c>
      <c r="S2138" s="1">
        <f t="shared" si="231"/>
        <v>93560</v>
      </c>
    </row>
    <row r="2139" spans="1:19" x14ac:dyDescent="0.2">
      <c r="A2139" s="57" t="s">
        <v>233</v>
      </c>
      <c r="B2139" s="57" t="s">
        <v>244</v>
      </c>
      <c r="C2139" s="57" t="s">
        <v>245</v>
      </c>
      <c r="D2139" s="58">
        <v>33.659999999999997</v>
      </c>
      <c r="E2139" s="59">
        <v>41078</v>
      </c>
      <c r="F2139" s="58">
        <v>93561</v>
      </c>
      <c r="G2139" s="58">
        <v>11841</v>
      </c>
      <c r="H2139" s="58">
        <v>13437</v>
      </c>
      <c r="I2139" s="58">
        <v>91966</v>
      </c>
      <c r="J2139" s="58">
        <v>0</v>
      </c>
      <c r="K2139" s="1">
        <f t="shared" si="232"/>
        <v>452289.41999999993</v>
      </c>
      <c r="L2139" s="1">
        <f t="shared" si="233"/>
        <v>13437</v>
      </c>
      <c r="M2139" s="1">
        <f>VLOOKUP(B2139,'[1]Срок Годности'!$A$2:$B$4,2,0)</f>
        <v>1500</v>
      </c>
      <c r="N2139" s="60">
        <f t="shared" si="234"/>
        <v>11841</v>
      </c>
      <c r="O2139" s="1" t="str">
        <f t="shared" si="235"/>
        <v>25 2012</v>
      </c>
      <c r="P2139" s="1">
        <f t="shared" si="236"/>
        <v>21</v>
      </c>
      <c r="Q2139" s="1">
        <f t="shared" ca="1" si="237"/>
        <v>4055</v>
      </c>
      <c r="S2139" s="1">
        <f t="shared" si="231"/>
        <v>91966</v>
      </c>
    </row>
    <row r="2140" spans="1:19" x14ac:dyDescent="0.2">
      <c r="A2140" s="57" t="s">
        <v>233</v>
      </c>
      <c r="B2140" s="57" t="s">
        <v>244</v>
      </c>
      <c r="C2140" s="57" t="s">
        <v>245</v>
      </c>
      <c r="D2140" s="58">
        <v>33.659999999999997</v>
      </c>
      <c r="E2140" s="59">
        <v>41079</v>
      </c>
      <c r="F2140" s="58">
        <v>91966</v>
      </c>
      <c r="G2140" s="58">
        <v>11817</v>
      </c>
      <c r="H2140" s="58">
        <v>13598</v>
      </c>
      <c r="I2140" s="58">
        <v>90093</v>
      </c>
      <c r="J2140" s="58">
        <v>0</v>
      </c>
      <c r="K2140" s="1">
        <f t="shared" si="232"/>
        <v>457708.67999999993</v>
      </c>
      <c r="L2140" s="1">
        <f t="shared" si="233"/>
        <v>13598</v>
      </c>
      <c r="M2140" s="1">
        <f>VLOOKUP(B2140,'[1]Срок Годности'!$A$2:$B$4,2,0)</f>
        <v>1500</v>
      </c>
      <c r="N2140" s="60">
        <f t="shared" si="234"/>
        <v>11817</v>
      </c>
      <c r="O2140" s="1" t="str">
        <f t="shared" si="235"/>
        <v>25 2012</v>
      </c>
      <c r="P2140" s="1">
        <f t="shared" si="236"/>
        <v>21</v>
      </c>
      <c r="Q2140" s="1">
        <f t="shared" ca="1" si="237"/>
        <v>4054</v>
      </c>
      <c r="S2140" s="1">
        <f t="shared" si="231"/>
        <v>90093</v>
      </c>
    </row>
    <row r="2141" spans="1:19" x14ac:dyDescent="0.2">
      <c r="A2141" s="57" t="s">
        <v>233</v>
      </c>
      <c r="B2141" s="57" t="s">
        <v>244</v>
      </c>
      <c r="C2141" s="57" t="s">
        <v>245</v>
      </c>
      <c r="D2141" s="58">
        <v>33.659999999999997</v>
      </c>
      <c r="E2141" s="59">
        <v>41080</v>
      </c>
      <c r="F2141" s="58">
        <v>90093</v>
      </c>
      <c r="G2141" s="58">
        <v>13962</v>
      </c>
      <c r="H2141" s="58">
        <v>13519</v>
      </c>
      <c r="I2141" s="58">
        <v>90437</v>
      </c>
      <c r="J2141" s="58">
        <v>0</v>
      </c>
      <c r="K2141" s="1">
        <f t="shared" si="232"/>
        <v>455049.54</v>
      </c>
      <c r="L2141" s="1">
        <f t="shared" si="233"/>
        <v>13519</v>
      </c>
      <c r="M2141" s="1">
        <f>VLOOKUP(B2141,'[1]Срок Годности'!$A$2:$B$4,2,0)</f>
        <v>1500</v>
      </c>
      <c r="N2141" s="60">
        <f t="shared" si="234"/>
        <v>13962</v>
      </c>
      <c r="O2141" s="1" t="str">
        <f t="shared" si="235"/>
        <v>25 2012</v>
      </c>
      <c r="P2141" s="1">
        <f t="shared" si="236"/>
        <v>21</v>
      </c>
      <c r="Q2141" s="1">
        <f t="shared" ca="1" si="237"/>
        <v>4053</v>
      </c>
      <c r="S2141" s="1">
        <f t="shared" si="231"/>
        <v>90437</v>
      </c>
    </row>
    <row r="2142" spans="1:19" x14ac:dyDescent="0.2">
      <c r="A2142" s="57" t="s">
        <v>233</v>
      </c>
      <c r="B2142" s="57" t="s">
        <v>244</v>
      </c>
      <c r="C2142" s="57" t="s">
        <v>245</v>
      </c>
      <c r="D2142" s="58">
        <v>33.659999999999997</v>
      </c>
      <c r="E2142" s="59">
        <v>41081</v>
      </c>
      <c r="F2142" s="58">
        <v>90437</v>
      </c>
      <c r="G2142" s="58">
        <v>14645</v>
      </c>
      <c r="H2142" s="58">
        <v>14377</v>
      </c>
      <c r="I2142" s="58">
        <v>90759</v>
      </c>
      <c r="J2142" s="58">
        <v>0</v>
      </c>
      <c r="K2142" s="1">
        <f t="shared" si="232"/>
        <v>483929.81999999995</v>
      </c>
      <c r="L2142" s="1">
        <f t="shared" si="233"/>
        <v>14377</v>
      </c>
      <c r="M2142" s="1">
        <f>VLOOKUP(B2142,'[1]Срок Годности'!$A$2:$B$4,2,0)</f>
        <v>1500</v>
      </c>
      <c r="N2142" s="60">
        <f t="shared" si="234"/>
        <v>14645</v>
      </c>
      <c r="O2142" s="1" t="str">
        <f t="shared" si="235"/>
        <v>25 2012</v>
      </c>
      <c r="P2142" s="1">
        <f t="shared" si="236"/>
        <v>21</v>
      </c>
      <c r="Q2142" s="1">
        <f t="shared" ca="1" si="237"/>
        <v>4052</v>
      </c>
      <c r="S2142" s="1">
        <f t="shared" si="231"/>
        <v>90759</v>
      </c>
    </row>
    <row r="2143" spans="1:19" x14ac:dyDescent="0.2">
      <c r="A2143" s="57" t="s">
        <v>233</v>
      </c>
      <c r="B2143" s="57" t="s">
        <v>244</v>
      </c>
      <c r="C2143" s="57" t="s">
        <v>245</v>
      </c>
      <c r="D2143" s="58">
        <v>33.659999999999997</v>
      </c>
      <c r="E2143" s="59">
        <v>41082</v>
      </c>
      <c r="F2143" s="58">
        <v>90759</v>
      </c>
      <c r="G2143" s="58">
        <v>10986</v>
      </c>
      <c r="H2143" s="58">
        <v>13921</v>
      </c>
      <c r="I2143" s="58">
        <v>87695</v>
      </c>
      <c r="J2143" s="58">
        <v>0</v>
      </c>
      <c r="K2143" s="1">
        <f t="shared" si="232"/>
        <v>468580.85999999993</v>
      </c>
      <c r="L2143" s="1">
        <f t="shared" si="233"/>
        <v>13921</v>
      </c>
      <c r="M2143" s="1">
        <f>VLOOKUP(B2143,'[1]Срок Годности'!$A$2:$B$4,2,0)</f>
        <v>1500</v>
      </c>
      <c r="N2143" s="60">
        <f t="shared" si="234"/>
        <v>10986</v>
      </c>
      <c r="O2143" s="1" t="str">
        <f t="shared" si="235"/>
        <v>25 2012</v>
      </c>
      <c r="P2143" s="1">
        <f t="shared" si="236"/>
        <v>21</v>
      </c>
      <c r="Q2143" s="1">
        <f t="shared" ca="1" si="237"/>
        <v>4051</v>
      </c>
      <c r="S2143" s="1">
        <f t="shared" si="231"/>
        <v>87695</v>
      </c>
    </row>
    <row r="2144" spans="1:19" x14ac:dyDescent="0.2">
      <c r="A2144" s="57" t="s">
        <v>233</v>
      </c>
      <c r="B2144" s="57" t="s">
        <v>244</v>
      </c>
      <c r="C2144" s="57" t="s">
        <v>245</v>
      </c>
      <c r="D2144" s="58">
        <v>33.659999999999997</v>
      </c>
      <c r="E2144" s="59">
        <v>41083</v>
      </c>
      <c r="F2144" s="58">
        <v>87695</v>
      </c>
      <c r="G2144" s="58">
        <v>6103</v>
      </c>
      <c r="H2144" s="58">
        <v>13658</v>
      </c>
      <c r="I2144" s="58">
        <v>80041</v>
      </c>
      <c r="J2144" s="58">
        <v>0</v>
      </c>
      <c r="K2144" s="1">
        <f t="shared" si="232"/>
        <v>459728.27999999997</v>
      </c>
      <c r="L2144" s="1">
        <f t="shared" si="233"/>
        <v>13658</v>
      </c>
      <c r="M2144" s="1">
        <f>VLOOKUP(B2144,'[1]Срок Годности'!$A$2:$B$4,2,0)</f>
        <v>1500</v>
      </c>
      <c r="N2144" s="60">
        <f t="shared" si="234"/>
        <v>6103</v>
      </c>
      <c r="O2144" s="1" t="str">
        <f t="shared" si="235"/>
        <v>25 2012</v>
      </c>
      <c r="P2144" s="1">
        <f t="shared" si="236"/>
        <v>21</v>
      </c>
      <c r="Q2144" s="1">
        <f t="shared" ca="1" si="237"/>
        <v>4050</v>
      </c>
      <c r="S2144" s="1">
        <f t="shared" si="231"/>
        <v>80041</v>
      </c>
    </row>
    <row r="2145" spans="1:19" x14ac:dyDescent="0.2">
      <c r="A2145" s="57" t="s">
        <v>233</v>
      </c>
      <c r="B2145" s="57" t="s">
        <v>244</v>
      </c>
      <c r="C2145" s="57" t="s">
        <v>245</v>
      </c>
      <c r="D2145" s="58">
        <v>33.659999999999997</v>
      </c>
      <c r="E2145" s="59">
        <v>41084</v>
      </c>
      <c r="F2145" s="58">
        <v>80041</v>
      </c>
      <c r="G2145" s="58">
        <v>13884</v>
      </c>
      <c r="H2145" s="58">
        <v>16188</v>
      </c>
      <c r="I2145" s="58">
        <v>77795</v>
      </c>
      <c r="J2145" s="58">
        <v>0</v>
      </c>
      <c r="K2145" s="1">
        <f t="shared" si="232"/>
        <v>544888.07999999996</v>
      </c>
      <c r="L2145" s="1">
        <f t="shared" si="233"/>
        <v>16188</v>
      </c>
      <c r="M2145" s="1">
        <f>VLOOKUP(B2145,'[1]Срок Годности'!$A$2:$B$4,2,0)</f>
        <v>1500</v>
      </c>
      <c r="N2145" s="60">
        <f t="shared" si="234"/>
        <v>0</v>
      </c>
      <c r="O2145" s="1" t="str">
        <f t="shared" si="235"/>
        <v>26 2012</v>
      </c>
      <c r="P2145" s="1">
        <f t="shared" si="236"/>
        <v>21</v>
      </c>
      <c r="Q2145" s="1">
        <f t="shared" ca="1" si="237"/>
        <v>4049</v>
      </c>
      <c r="S2145" s="1">
        <f t="shared" si="231"/>
        <v>77795</v>
      </c>
    </row>
    <row r="2146" spans="1:19" x14ac:dyDescent="0.2">
      <c r="A2146" s="57" t="s">
        <v>233</v>
      </c>
      <c r="B2146" s="57" t="s">
        <v>244</v>
      </c>
      <c r="C2146" s="57" t="s">
        <v>245</v>
      </c>
      <c r="D2146" s="58">
        <v>33.659999999999997</v>
      </c>
      <c r="E2146" s="59">
        <v>41085</v>
      </c>
      <c r="F2146" s="58">
        <v>77795</v>
      </c>
      <c r="G2146" s="58">
        <v>16696</v>
      </c>
      <c r="H2146" s="58">
        <v>17093</v>
      </c>
      <c r="I2146" s="58">
        <v>77326</v>
      </c>
      <c r="J2146" s="58">
        <v>0</v>
      </c>
      <c r="K2146" s="1">
        <f t="shared" si="232"/>
        <v>575350.37999999989</v>
      </c>
      <c r="L2146" s="1">
        <f t="shared" si="233"/>
        <v>17093</v>
      </c>
      <c r="M2146" s="1">
        <f>VLOOKUP(B2146,'[1]Срок Годности'!$A$2:$B$4,2,0)</f>
        <v>1500</v>
      </c>
      <c r="N2146" s="60">
        <f t="shared" si="234"/>
        <v>16696</v>
      </c>
      <c r="O2146" s="1" t="str">
        <f t="shared" si="235"/>
        <v>26 2012</v>
      </c>
      <c r="P2146" s="1">
        <f t="shared" si="236"/>
        <v>21</v>
      </c>
      <c r="Q2146" s="1">
        <f t="shared" ca="1" si="237"/>
        <v>4048</v>
      </c>
      <c r="S2146" s="1">
        <f t="shared" si="231"/>
        <v>77326</v>
      </c>
    </row>
    <row r="2147" spans="1:19" x14ac:dyDescent="0.2">
      <c r="A2147" s="57" t="s">
        <v>233</v>
      </c>
      <c r="B2147" s="57" t="s">
        <v>244</v>
      </c>
      <c r="C2147" s="57" t="s">
        <v>245</v>
      </c>
      <c r="D2147" s="58">
        <v>33.659999999999997</v>
      </c>
      <c r="E2147" s="59">
        <v>41086</v>
      </c>
      <c r="F2147" s="58">
        <v>77326</v>
      </c>
      <c r="G2147" s="58">
        <v>23904</v>
      </c>
      <c r="H2147" s="58">
        <v>15588</v>
      </c>
      <c r="I2147" s="58">
        <v>85514</v>
      </c>
      <c r="J2147" s="58">
        <v>0</v>
      </c>
      <c r="K2147" s="1">
        <f t="shared" si="232"/>
        <v>524692.07999999996</v>
      </c>
      <c r="L2147" s="1">
        <f t="shared" si="233"/>
        <v>15588</v>
      </c>
      <c r="M2147" s="1">
        <f>VLOOKUP(B2147,'[1]Срок Годности'!$A$2:$B$4,2,0)</f>
        <v>1500</v>
      </c>
      <c r="N2147" s="60">
        <f t="shared" si="234"/>
        <v>23904</v>
      </c>
      <c r="O2147" s="1" t="str">
        <f t="shared" si="235"/>
        <v>26 2012</v>
      </c>
      <c r="P2147" s="1">
        <f t="shared" si="236"/>
        <v>21</v>
      </c>
      <c r="Q2147" s="1">
        <f t="shared" ca="1" si="237"/>
        <v>4047</v>
      </c>
      <c r="S2147" s="1">
        <f t="shared" si="231"/>
        <v>85514</v>
      </c>
    </row>
    <row r="2148" spans="1:19" x14ac:dyDescent="0.2">
      <c r="A2148" s="57" t="s">
        <v>233</v>
      </c>
      <c r="B2148" s="57" t="s">
        <v>244</v>
      </c>
      <c r="C2148" s="57" t="s">
        <v>245</v>
      </c>
      <c r="D2148" s="58">
        <v>33.659999999999997</v>
      </c>
      <c r="E2148" s="59">
        <v>41087</v>
      </c>
      <c r="F2148" s="58">
        <v>85514</v>
      </c>
      <c r="G2148" s="58">
        <v>24135</v>
      </c>
      <c r="H2148" s="58">
        <v>15116</v>
      </c>
      <c r="I2148" s="58">
        <v>94499</v>
      </c>
      <c r="J2148" s="58">
        <v>0</v>
      </c>
      <c r="K2148" s="1">
        <f t="shared" si="232"/>
        <v>508804.55999999994</v>
      </c>
      <c r="L2148" s="1">
        <f t="shared" si="233"/>
        <v>15116</v>
      </c>
      <c r="M2148" s="1">
        <f>VLOOKUP(B2148,'[1]Срок Годности'!$A$2:$B$4,2,0)</f>
        <v>1500</v>
      </c>
      <c r="N2148" s="60">
        <f t="shared" si="234"/>
        <v>24135</v>
      </c>
      <c r="O2148" s="1" t="str">
        <f t="shared" si="235"/>
        <v>26 2012</v>
      </c>
      <c r="P2148" s="1">
        <f t="shared" si="236"/>
        <v>21</v>
      </c>
      <c r="Q2148" s="1">
        <f t="shared" ca="1" si="237"/>
        <v>4046</v>
      </c>
      <c r="S2148" s="1">
        <f t="shared" si="231"/>
        <v>94499</v>
      </c>
    </row>
    <row r="2149" spans="1:19" x14ac:dyDescent="0.2">
      <c r="A2149" s="57" t="s">
        <v>233</v>
      </c>
      <c r="B2149" s="57" t="s">
        <v>244</v>
      </c>
      <c r="C2149" s="57" t="s">
        <v>245</v>
      </c>
      <c r="D2149" s="58">
        <v>33.659999999999997</v>
      </c>
      <c r="E2149" s="59">
        <v>41088</v>
      </c>
      <c r="F2149" s="58">
        <v>94499</v>
      </c>
      <c r="G2149" s="58">
        <v>20436</v>
      </c>
      <c r="H2149" s="58">
        <v>15888</v>
      </c>
      <c r="I2149" s="58">
        <v>98989</v>
      </c>
      <c r="J2149" s="58">
        <v>0</v>
      </c>
      <c r="K2149" s="1">
        <f t="shared" si="232"/>
        <v>534790.07999999996</v>
      </c>
      <c r="L2149" s="1">
        <f t="shared" si="233"/>
        <v>15888</v>
      </c>
      <c r="M2149" s="1">
        <f>VLOOKUP(B2149,'[1]Срок Годности'!$A$2:$B$4,2,0)</f>
        <v>1500</v>
      </c>
      <c r="N2149" s="60">
        <f t="shared" si="234"/>
        <v>20436</v>
      </c>
      <c r="O2149" s="1" t="str">
        <f t="shared" si="235"/>
        <v>26 2012</v>
      </c>
      <c r="P2149" s="1">
        <f t="shared" si="236"/>
        <v>21</v>
      </c>
      <c r="Q2149" s="1">
        <f t="shared" ca="1" si="237"/>
        <v>4045</v>
      </c>
      <c r="S2149" s="1">
        <f t="shared" si="231"/>
        <v>98989</v>
      </c>
    </row>
    <row r="2150" spans="1:19" x14ac:dyDescent="0.2">
      <c r="A2150" s="57" t="s">
        <v>233</v>
      </c>
      <c r="B2150" s="57" t="s">
        <v>244</v>
      </c>
      <c r="C2150" s="57" t="s">
        <v>245</v>
      </c>
      <c r="D2150" s="58">
        <v>33.659999999999997</v>
      </c>
      <c r="E2150" s="59">
        <v>41089</v>
      </c>
      <c r="F2150" s="58">
        <v>98989</v>
      </c>
      <c r="G2150" s="58">
        <v>14645</v>
      </c>
      <c r="H2150" s="58">
        <v>14930</v>
      </c>
      <c r="I2150" s="58">
        <v>98773</v>
      </c>
      <c r="J2150" s="58">
        <v>0</v>
      </c>
      <c r="K2150" s="1">
        <f t="shared" si="232"/>
        <v>502543.79999999993</v>
      </c>
      <c r="L2150" s="1">
        <f t="shared" si="233"/>
        <v>14930</v>
      </c>
      <c r="M2150" s="1">
        <f>VLOOKUP(B2150,'[1]Срок Годности'!$A$2:$B$4,2,0)</f>
        <v>1500</v>
      </c>
      <c r="N2150" s="60">
        <f t="shared" si="234"/>
        <v>14645</v>
      </c>
      <c r="O2150" s="1" t="str">
        <f t="shared" si="235"/>
        <v>26 2012</v>
      </c>
      <c r="P2150" s="1">
        <f t="shared" si="236"/>
        <v>21</v>
      </c>
      <c r="Q2150" s="1">
        <f t="shared" ca="1" si="237"/>
        <v>4044</v>
      </c>
      <c r="S2150" s="1">
        <f t="shared" si="231"/>
        <v>98773</v>
      </c>
    </row>
    <row r="2151" spans="1:19" x14ac:dyDescent="0.2">
      <c r="A2151" s="57" t="s">
        <v>233</v>
      </c>
      <c r="B2151" s="57" t="s">
        <v>244</v>
      </c>
      <c r="C2151" s="57" t="s">
        <v>245</v>
      </c>
      <c r="D2151" s="58">
        <v>33.659999999999997</v>
      </c>
      <c r="E2151" s="59">
        <v>41090</v>
      </c>
      <c r="F2151" s="58">
        <v>98773</v>
      </c>
      <c r="G2151" s="58">
        <v>17324</v>
      </c>
      <c r="H2151" s="58">
        <v>13655</v>
      </c>
      <c r="I2151" s="58">
        <v>101539</v>
      </c>
      <c r="J2151" s="58">
        <v>0</v>
      </c>
      <c r="K2151" s="1">
        <f t="shared" si="232"/>
        <v>459627.29999999993</v>
      </c>
      <c r="L2151" s="1">
        <f t="shared" si="233"/>
        <v>13655</v>
      </c>
      <c r="M2151" s="1">
        <f>VLOOKUP(B2151,'[1]Срок Годности'!$A$2:$B$4,2,0)</f>
        <v>1500</v>
      </c>
      <c r="N2151" s="60">
        <f t="shared" si="234"/>
        <v>17324</v>
      </c>
      <c r="O2151" s="1" t="str">
        <f t="shared" si="235"/>
        <v>26 2012</v>
      </c>
      <c r="P2151" s="1">
        <f t="shared" si="236"/>
        <v>21</v>
      </c>
      <c r="Q2151" s="1">
        <f t="shared" ca="1" si="237"/>
        <v>4043</v>
      </c>
      <c r="S2151" s="1">
        <f t="shared" si="231"/>
        <v>101539</v>
      </c>
    </row>
    <row r="2152" spans="1:19" x14ac:dyDescent="0.2">
      <c r="A2152" s="57" t="s">
        <v>233</v>
      </c>
      <c r="B2152" s="57" t="s">
        <v>244</v>
      </c>
      <c r="C2152" s="57" t="s">
        <v>245</v>
      </c>
      <c r="D2152" s="58">
        <v>33.659999999999997</v>
      </c>
      <c r="E2152" s="59">
        <v>41091</v>
      </c>
      <c r="F2152" s="58">
        <v>101539</v>
      </c>
      <c r="G2152" s="58">
        <v>15139</v>
      </c>
      <c r="H2152" s="58">
        <v>13298</v>
      </c>
      <c r="I2152" s="58">
        <v>103309</v>
      </c>
      <c r="J2152" s="58">
        <v>0</v>
      </c>
      <c r="K2152" s="1">
        <f t="shared" si="232"/>
        <v>447610.67999999993</v>
      </c>
      <c r="L2152" s="1">
        <f t="shared" si="233"/>
        <v>13298</v>
      </c>
      <c r="M2152" s="1">
        <f>VLOOKUP(B2152,'[1]Срок Годности'!$A$2:$B$4,2,0)</f>
        <v>1500</v>
      </c>
      <c r="N2152" s="60">
        <f t="shared" si="234"/>
        <v>0</v>
      </c>
      <c r="O2152" s="1" t="str">
        <f t="shared" si="235"/>
        <v>27 2012</v>
      </c>
      <c r="P2152" s="1">
        <f t="shared" si="236"/>
        <v>21</v>
      </c>
      <c r="Q2152" s="1">
        <f t="shared" ca="1" si="237"/>
        <v>4042</v>
      </c>
      <c r="S2152" s="1">
        <f t="shared" si="231"/>
        <v>103309</v>
      </c>
    </row>
    <row r="2153" spans="1:19" x14ac:dyDescent="0.2">
      <c r="A2153" s="57" t="s">
        <v>233</v>
      </c>
      <c r="B2153" s="57" t="s">
        <v>244</v>
      </c>
      <c r="C2153" s="57" t="s">
        <v>245</v>
      </c>
      <c r="D2153" s="58">
        <v>33.659999999999997</v>
      </c>
      <c r="E2153" s="59">
        <v>41092</v>
      </c>
      <c r="F2153" s="58">
        <v>103309</v>
      </c>
      <c r="G2153" s="58">
        <v>13390</v>
      </c>
      <c r="H2153" s="58">
        <v>14211</v>
      </c>
      <c r="I2153" s="58">
        <v>102384</v>
      </c>
      <c r="J2153" s="58">
        <v>0</v>
      </c>
      <c r="K2153" s="1">
        <f t="shared" si="232"/>
        <v>478342.25999999995</v>
      </c>
      <c r="L2153" s="1">
        <f t="shared" si="233"/>
        <v>14211</v>
      </c>
      <c r="M2153" s="1">
        <f>VLOOKUP(B2153,'[1]Срок Годности'!$A$2:$B$4,2,0)</f>
        <v>1500</v>
      </c>
      <c r="N2153" s="60">
        <f t="shared" si="234"/>
        <v>13390</v>
      </c>
      <c r="O2153" s="1" t="str">
        <f t="shared" si="235"/>
        <v>27 2012</v>
      </c>
      <c r="P2153" s="1">
        <f t="shared" si="236"/>
        <v>21</v>
      </c>
      <c r="Q2153" s="1">
        <f t="shared" ca="1" si="237"/>
        <v>4041</v>
      </c>
      <c r="S2153" s="1">
        <f t="shared" si="231"/>
        <v>102384</v>
      </c>
    </row>
    <row r="2154" spans="1:19" x14ac:dyDescent="0.2">
      <c r="A2154" s="57" t="s">
        <v>233</v>
      </c>
      <c r="B2154" s="57" t="s">
        <v>244</v>
      </c>
      <c r="C2154" s="57" t="s">
        <v>245</v>
      </c>
      <c r="D2154" s="58">
        <v>33.659999999999997</v>
      </c>
      <c r="E2154" s="59">
        <v>41093</v>
      </c>
      <c r="F2154" s="58">
        <v>102384</v>
      </c>
      <c r="G2154" s="58">
        <v>12488</v>
      </c>
      <c r="H2154" s="58">
        <v>13345</v>
      </c>
      <c r="I2154" s="58">
        <v>101311</v>
      </c>
      <c r="J2154" s="58">
        <v>0</v>
      </c>
      <c r="K2154" s="1">
        <f t="shared" si="232"/>
        <v>449192.69999999995</v>
      </c>
      <c r="L2154" s="1">
        <f t="shared" si="233"/>
        <v>13345</v>
      </c>
      <c r="M2154" s="1">
        <f>VLOOKUP(B2154,'[1]Срок Годности'!$A$2:$B$4,2,0)</f>
        <v>1500</v>
      </c>
      <c r="N2154" s="60">
        <f t="shared" si="234"/>
        <v>12488</v>
      </c>
      <c r="O2154" s="1" t="str">
        <f t="shared" si="235"/>
        <v>27 2012</v>
      </c>
      <c r="P2154" s="1">
        <f t="shared" si="236"/>
        <v>21</v>
      </c>
      <c r="Q2154" s="1">
        <f t="shared" ca="1" si="237"/>
        <v>4040</v>
      </c>
      <c r="S2154" s="1">
        <f t="shared" si="231"/>
        <v>101311</v>
      </c>
    </row>
    <row r="2155" spans="1:19" x14ac:dyDescent="0.2">
      <c r="A2155" s="57" t="s">
        <v>233</v>
      </c>
      <c r="B2155" s="57" t="s">
        <v>244</v>
      </c>
      <c r="C2155" s="57" t="s">
        <v>245</v>
      </c>
      <c r="D2155" s="58">
        <v>33.659999999999997</v>
      </c>
      <c r="E2155" s="59">
        <v>41094</v>
      </c>
      <c r="F2155" s="58">
        <v>101311</v>
      </c>
      <c r="G2155" s="58">
        <v>12157</v>
      </c>
      <c r="H2155" s="58">
        <v>14142</v>
      </c>
      <c r="I2155" s="58">
        <v>99160</v>
      </c>
      <c r="J2155" s="58">
        <v>0</v>
      </c>
      <c r="K2155" s="1">
        <f t="shared" si="232"/>
        <v>476019.72</v>
      </c>
      <c r="L2155" s="1">
        <f t="shared" si="233"/>
        <v>14142</v>
      </c>
      <c r="M2155" s="1">
        <f>VLOOKUP(B2155,'[1]Срок Годности'!$A$2:$B$4,2,0)</f>
        <v>1500</v>
      </c>
      <c r="N2155" s="60">
        <f t="shared" si="234"/>
        <v>12157</v>
      </c>
      <c r="O2155" s="1" t="str">
        <f t="shared" si="235"/>
        <v>27 2012</v>
      </c>
      <c r="P2155" s="1">
        <f t="shared" si="236"/>
        <v>21</v>
      </c>
      <c r="Q2155" s="1">
        <f t="shared" ca="1" si="237"/>
        <v>4039</v>
      </c>
      <c r="S2155" s="1">
        <f t="shared" si="231"/>
        <v>99160</v>
      </c>
    </row>
    <row r="2156" spans="1:19" x14ac:dyDescent="0.2">
      <c r="A2156" s="57" t="s">
        <v>233</v>
      </c>
      <c r="B2156" s="57" t="s">
        <v>244</v>
      </c>
      <c r="C2156" s="57" t="s">
        <v>245</v>
      </c>
      <c r="D2156" s="58">
        <v>33.659999999999997</v>
      </c>
      <c r="E2156" s="59">
        <v>41095</v>
      </c>
      <c r="F2156" s="58">
        <v>99160</v>
      </c>
      <c r="G2156" s="58">
        <v>11801</v>
      </c>
      <c r="H2156" s="58">
        <v>14209</v>
      </c>
      <c r="I2156" s="58">
        <v>96523</v>
      </c>
      <c r="J2156" s="58">
        <v>0</v>
      </c>
      <c r="K2156" s="1">
        <f t="shared" si="232"/>
        <v>478274.93999999994</v>
      </c>
      <c r="L2156" s="1">
        <f t="shared" si="233"/>
        <v>14209</v>
      </c>
      <c r="M2156" s="1">
        <f>VLOOKUP(B2156,'[1]Срок Годности'!$A$2:$B$4,2,0)</f>
        <v>1500</v>
      </c>
      <c r="N2156" s="60">
        <f t="shared" si="234"/>
        <v>11801</v>
      </c>
      <c r="O2156" s="1" t="str">
        <f t="shared" si="235"/>
        <v>27 2012</v>
      </c>
      <c r="P2156" s="1">
        <f t="shared" si="236"/>
        <v>21</v>
      </c>
      <c r="Q2156" s="1">
        <f t="shared" ca="1" si="237"/>
        <v>4038</v>
      </c>
      <c r="S2156" s="1">
        <f t="shared" si="231"/>
        <v>96523</v>
      </c>
    </row>
    <row r="2157" spans="1:19" x14ac:dyDescent="0.2">
      <c r="A2157" s="57" t="s">
        <v>233</v>
      </c>
      <c r="B2157" s="57" t="s">
        <v>244</v>
      </c>
      <c r="C2157" s="57" t="s">
        <v>245</v>
      </c>
      <c r="D2157" s="58">
        <v>33.659999999999997</v>
      </c>
      <c r="E2157" s="59">
        <v>41096</v>
      </c>
      <c r="F2157" s="58">
        <v>96523</v>
      </c>
      <c r="G2157" s="58">
        <v>11782</v>
      </c>
      <c r="H2157" s="58">
        <v>14684</v>
      </c>
      <c r="I2157" s="58">
        <v>93442</v>
      </c>
      <c r="J2157" s="58">
        <v>0</v>
      </c>
      <c r="K2157" s="1">
        <f t="shared" si="232"/>
        <v>494263.43999999994</v>
      </c>
      <c r="L2157" s="1">
        <f t="shared" si="233"/>
        <v>14684</v>
      </c>
      <c r="M2157" s="1">
        <f>VLOOKUP(B2157,'[1]Срок Годности'!$A$2:$B$4,2,0)</f>
        <v>1500</v>
      </c>
      <c r="N2157" s="60">
        <f t="shared" si="234"/>
        <v>11782</v>
      </c>
      <c r="O2157" s="1" t="str">
        <f t="shared" si="235"/>
        <v>27 2012</v>
      </c>
      <c r="P2157" s="1">
        <f t="shared" si="236"/>
        <v>21</v>
      </c>
      <c r="Q2157" s="1">
        <f t="shared" ca="1" si="237"/>
        <v>4037</v>
      </c>
      <c r="S2157" s="1">
        <f t="shared" si="231"/>
        <v>93442</v>
      </c>
    </row>
    <row r="2158" spans="1:19" x14ac:dyDescent="0.2">
      <c r="A2158" s="57" t="s">
        <v>233</v>
      </c>
      <c r="B2158" s="57" t="s">
        <v>244</v>
      </c>
      <c r="C2158" s="57" t="s">
        <v>245</v>
      </c>
      <c r="D2158" s="58">
        <v>33.659999999999997</v>
      </c>
      <c r="E2158" s="59">
        <v>41097</v>
      </c>
      <c r="F2158" s="58">
        <v>93442</v>
      </c>
      <c r="G2158" s="58">
        <v>12756</v>
      </c>
      <c r="H2158" s="58">
        <v>14922</v>
      </c>
      <c r="I2158" s="58">
        <v>91189</v>
      </c>
      <c r="J2158" s="58">
        <v>0</v>
      </c>
      <c r="K2158" s="1">
        <f t="shared" si="232"/>
        <v>502274.51999999996</v>
      </c>
      <c r="L2158" s="1">
        <f t="shared" si="233"/>
        <v>14922</v>
      </c>
      <c r="M2158" s="1">
        <f>VLOOKUP(B2158,'[1]Срок Годности'!$A$2:$B$4,2,0)</f>
        <v>1500</v>
      </c>
      <c r="N2158" s="60">
        <f t="shared" si="234"/>
        <v>12756</v>
      </c>
      <c r="O2158" s="1" t="str">
        <f t="shared" si="235"/>
        <v>27 2012</v>
      </c>
      <c r="P2158" s="1">
        <f t="shared" si="236"/>
        <v>21</v>
      </c>
      <c r="Q2158" s="1">
        <f t="shared" ca="1" si="237"/>
        <v>4036</v>
      </c>
      <c r="S2158" s="1">
        <f t="shared" si="231"/>
        <v>91189</v>
      </c>
    </row>
    <row r="2159" spans="1:19" x14ac:dyDescent="0.2">
      <c r="A2159" s="57" t="s">
        <v>233</v>
      </c>
      <c r="B2159" s="57" t="s">
        <v>244</v>
      </c>
      <c r="C2159" s="57" t="s">
        <v>245</v>
      </c>
      <c r="D2159" s="58">
        <v>33.659999999999997</v>
      </c>
      <c r="E2159" s="59">
        <v>41098</v>
      </c>
      <c r="F2159" s="58">
        <v>91189</v>
      </c>
      <c r="G2159" s="58">
        <v>15198</v>
      </c>
      <c r="H2159" s="58">
        <v>15172</v>
      </c>
      <c r="I2159" s="58">
        <v>90899</v>
      </c>
      <c r="J2159" s="58">
        <v>0</v>
      </c>
      <c r="K2159" s="1">
        <f t="shared" si="232"/>
        <v>510689.51999999996</v>
      </c>
      <c r="L2159" s="1">
        <f t="shared" si="233"/>
        <v>15172</v>
      </c>
      <c r="M2159" s="1">
        <f>VLOOKUP(B2159,'[1]Срок Годности'!$A$2:$B$4,2,0)</f>
        <v>1500</v>
      </c>
      <c r="N2159" s="60">
        <f t="shared" si="234"/>
        <v>0</v>
      </c>
      <c r="O2159" s="1" t="str">
        <f t="shared" si="235"/>
        <v>28 2012</v>
      </c>
      <c r="P2159" s="1">
        <f t="shared" si="236"/>
        <v>21</v>
      </c>
      <c r="Q2159" s="1">
        <f t="shared" ca="1" si="237"/>
        <v>4035</v>
      </c>
      <c r="S2159" s="1">
        <f t="shared" si="231"/>
        <v>90899</v>
      </c>
    </row>
    <row r="2160" spans="1:19" x14ac:dyDescent="0.2">
      <c r="A2160" s="57" t="s">
        <v>233</v>
      </c>
      <c r="B2160" s="57" t="s">
        <v>244</v>
      </c>
      <c r="C2160" s="57" t="s">
        <v>245</v>
      </c>
      <c r="D2160" s="58">
        <v>33.659999999999997</v>
      </c>
      <c r="E2160" s="59">
        <v>41099</v>
      </c>
      <c r="F2160" s="58">
        <v>90899</v>
      </c>
      <c r="G2160" s="58">
        <v>15756</v>
      </c>
      <c r="H2160" s="58">
        <v>16649</v>
      </c>
      <c r="I2160" s="58">
        <v>89563</v>
      </c>
      <c r="J2160" s="58">
        <v>0</v>
      </c>
      <c r="K2160" s="1">
        <f t="shared" si="232"/>
        <v>560405.34</v>
      </c>
      <c r="L2160" s="1">
        <f t="shared" si="233"/>
        <v>16649</v>
      </c>
      <c r="M2160" s="1">
        <f>VLOOKUP(B2160,'[1]Срок Годности'!$A$2:$B$4,2,0)</f>
        <v>1500</v>
      </c>
      <c r="N2160" s="60">
        <f t="shared" si="234"/>
        <v>15756</v>
      </c>
      <c r="O2160" s="1" t="str">
        <f t="shared" si="235"/>
        <v>28 2012</v>
      </c>
      <c r="P2160" s="1">
        <f t="shared" si="236"/>
        <v>21</v>
      </c>
      <c r="Q2160" s="1">
        <f t="shared" ca="1" si="237"/>
        <v>4034</v>
      </c>
      <c r="S2160" s="1">
        <f t="shared" si="231"/>
        <v>89563</v>
      </c>
    </row>
    <row r="2161" spans="1:19" x14ac:dyDescent="0.2">
      <c r="A2161" s="57" t="s">
        <v>233</v>
      </c>
      <c r="B2161" s="57" t="s">
        <v>244</v>
      </c>
      <c r="C2161" s="57" t="s">
        <v>245</v>
      </c>
      <c r="D2161" s="58">
        <v>33.659999999999997</v>
      </c>
      <c r="E2161" s="59">
        <v>41100</v>
      </c>
      <c r="F2161" s="58">
        <v>89563</v>
      </c>
      <c r="G2161" s="58">
        <v>18354</v>
      </c>
      <c r="H2161" s="58">
        <v>15859</v>
      </c>
      <c r="I2161" s="58">
        <v>91763</v>
      </c>
      <c r="J2161" s="58">
        <v>0</v>
      </c>
      <c r="K2161" s="1">
        <f t="shared" si="232"/>
        <v>533813.93999999994</v>
      </c>
      <c r="L2161" s="1">
        <f t="shared" si="233"/>
        <v>15859</v>
      </c>
      <c r="M2161" s="1">
        <f>VLOOKUP(B2161,'[1]Срок Годности'!$A$2:$B$4,2,0)</f>
        <v>1500</v>
      </c>
      <c r="N2161" s="60">
        <f t="shared" si="234"/>
        <v>18354</v>
      </c>
      <c r="O2161" s="1" t="str">
        <f t="shared" si="235"/>
        <v>28 2012</v>
      </c>
      <c r="P2161" s="1">
        <f t="shared" si="236"/>
        <v>21</v>
      </c>
      <c r="Q2161" s="1">
        <f t="shared" ca="1" si="237"/>
        <v>4033</v>
      </c>
      <c r="S2161" s="1">
        <f t="shared" si="231"/>
        <v>91763</v>
      </c>
    </row>
    <row r="2162" spans="1:19" x14ac:dyDescent="0.2">
      <c r="A2162" s="57" t="s">
        <v>233</v>
      </c>
      <c r="B2162" s="57" t="s">
        <v>244</v>
      </c>
      <c r="C2162" s="57" t="s">
        <v>245</v>
      </c>
      <c r="D2162" s="58">
        <v>33.659999999999997</v>
      </c>
      <c r="E2162" s="59">
        <v>41101</v>
      </c>
      <c r="F2162" s="58">
        <v>91763</v>
      </c>
      <c r="G2162" s="58">
        <v>16746</v>
      </c>
      <c r="H2162" s="58">
        <v>16108</v>
      </c>
      <c r="I2162" s="58">
        <v>92074</v>
      </c>
      <c r="J2162" s="58">
        <v>0</v>
      </c>
      <c r="K2162" s="1">
        <f t="shared" si="232"/>
        <v>542195.27999999991</v>
      </c>
      <c r="L2162" s="1">
        <f t="shared" si="233"/>
        <v>16108</v>
      </c>
      <c r="M2162" s="1">
        <f>VLOOKUP(B2162,'[1]Срок Годности'!$A$2:$B$4,2,0)</f>
        <v>1500</v>
      </c>
      <c r="N2162" s="60">
        <f t="shared" si="234"/>
        <v>16746</v>
      </c>
      <c r="O2162" s="1" t="str">
        <f t="shared" si="235"/>
        <v>28 2012</v>
      </c>
      <c r="P2162" s="1">
        <f t="shared" si="236"/>
        <v>21</v>
      </c>
      <c r="Q2162" s="1">
        <f t="shared" ca="1" si="237"/>
        <v>4032</v>
      </c>
      <c r="S2162" s="1">
        <f t="shared" si="231"/>
        <v>92074</v>
      </c>
    </row>
    <row r="2163" spans="1:19" x14ac:dyDescent="0.2">
      <c r="A2163" s="57" t="s">
        <v>233</v>
      </c>
      <c r="B2163" s="57" t="s">
        <v>244</v>
      </c>
      <c r="C2163" s="57" t="s">
        <v>245</v>
      </c>
      <c r="D2163" s="58">
        <v>33.659999999999997</v>
      </c>
      <c r="E2163" s="59">
        <v>41102</v>
      </c>
      <c r="F2163" s="58">
        <v>92074</v>
      </c>
      <c r="G2163" s="58">
        <v>20324</v>
      </c>
      <c r="H2163" s="58">
        <v>15669</v>
      </c>
      <c r="I2163" s="58">
        <v>96217</v>
      </c>
      <c r="J2163" s="58">
        <v>0</v>
      </c>
      <c r="K2163" s="1">
        <f t="shared" si="232"/>
        <v>527418.53999999992</v>
      </c>
      <c r="L2163" s="1">
        <f t="shared" si="233"/>
        <v>15669</v>
      </c>
      <c r="M2163" s="1">
        <f>VLOOKUP(B2163,'[1]Срок Годности'!$A$2:$B$4,2,0)</f>
        <v>1500</v>
      </c>
      <c r="N2163" s="60">
        <f t="shared" si="234"/>
        <v>20324</v>
      </c>
      <c r="O2163" s="1" t="str">
        <f t="shared" si="235"/>
        <v>28 2012</v>
      </c>
      <c r="P2163" s="1">
        <f t="shared" si="236"/>
        <v>21</v>
      </c>
      <c r="Q2163" s="1">
        <f t="shared" ca="1" si="237"/>
        <v>4031</v>
      </c>
      <c r="S2163" s="1">
        <f t="shared" si="231"/>
        <v>96217</v>
      </c>
    </row>
    <row r="2164" spans="1:19" x14ac:dyDescent="0.2">
      <c r="A2164" s="57" t="s">
        <v>233</v>
      </c>
      <c r="B2164" s="57" t="s">
        <v>244</v>
      </c>
      <c r="C2164" s="57" t="s">
        <v>245</v>
      </c>
      <c r="D2164" s="58">
        <v>33.659999999999997</v>
      </c>
      <c r="E2164" s="59">
        <v>41103</v>
      </c>
      <c r="F2164" s="58">
        <v>96217</v>
      </c>
      <c r="G2164" s="58">
        <v>18247</v>
      </c>
      <c r="H2164" s="58">
        <v>16595</v>
      </c>
      <c r="I2164" s="58">
        <v>97821</v>
      </c>
      <c r="J2164" s="58">
        <v>0</v>
      </c>
      <c r="K2164" s="1">
        <f t="shared" si="232"/>
        <v>558587.69999999995</v>
      </c>
      <c r="L2164" s="1">
        <f t="shared" si="233"/>
        <v>16595</v>
      </c>
      <c r="M2164" s="1">
        <f>VLOOKUP(B2164,'[1]Срок Годности'!$A$2:$B$4,2,0)</f>
        <v>1500</v>
      </c>
      <c r="N2164" s="60">
        <f t="shared" si="234"/>
        <v>18247</v>
      </c>
      <c r="O2164" s="1" t="str">
        <f t="shared" si="235"/>
        <v>28 2012</v>
      </c>
      <c r="P2164" s="1">
        <f t="shared" si="236"/>
        <v>21</v>
      </c>
      <c r="Q2164" s="1">
        <f t="shared" ca="1" si="237"/>
        <v>4030</v>
      </c>
      <c r="S2164" s="1">
        <f t="shared" si="231"/>
        <v>97821</v>
      </c>
    </row>
    <row r="2165" spans="1:19" x14ac:dyDescent="0.2">
      <c r="A2165" s="57" t="s">
        <v>233</v>
      </c>
      <c r="B2165" s="57" t="s">
        <v>244</v>
      </c>
      <c r="C2165" s="57" t="s">
        <v>245</v>
      </c>
      <c r="D2165" s="58">
        <v>33.659999999999997</v>
      </c>
      <c r="E2165" s="59">
        <v>41104</v>
      </c>
      <c r="F2165" s="58">
        <v>97821</v>
      </c>
      <c r="G2165" s="58">
        <v>17814</v>
      </c>
      <c r="H2165" s="58">
        <v>15111</v>
      </c>
      <c r="I2165" s="58">
        <v>100400</v>
      </c>
      <c r="J2165" s="58">
        <v>0</v>
      </c>
      <c r="K2165" s="1">
        <f t="shared" si="232"/>
        <v>508636.25999999995</v>
      </c>
      <c r="L2165" s="1">
        <f t="shared" si="233"/>
        <v>15111</v>
      </c>
      <c r="M2165" s="1">
        <f>VLOOKUP(B2165,'[1]Срок Годности'!$A$2:$B$4,2,0)</f>
        <v>1500</v>
      </c>
      <c r="N2165" s="60">
        <f t="shared" si="234"/>
        <v>17814</v>
      </c>
      <c r="O2165" s="1" t="str">
        <f t="shared" si="235"/>
        <v>28 2012</v>
      </c>
      <c r="P2165" s="1">
        <f t="shared" si="236"/>
        <v>21</v>
      </c>
      <c r="Q2165" s="1">
        <f t="shared" ca="1" si="237"/>
        <v>4029</v>
      </c>
      <c r="S2165" s="1">
        <f t="shared" si="231"/>
        <v>100400</v>
      </c>
    </row>
    <row r="2166" spans="1:19" x14ac:dyDescent="0.2">
      <c r="A2166" s="57" t="s">
        <v>233</v>
      </c>
      <c r="B2166" s="57" t="s">
        <v>244</v>
      </c>
      <c r="C2166" s="57" t="s">
        <v>245</v>
      </c>
      <c r="D2166" s="58">
        <v>33.659999999999997</v>
      </c>
      <c r="E2166" s="59">
        <v>41105</v>
      </c>
      <c r="F2166" s="58">
        <v>100400</v>
      </c>
      <c r="G2166" s="58">
        <v>17578</v>
      </c>
      <c r="H2166" s="58">
        <v>15660</v>
      </c>
      <c r="I2166" s="58">
        <v>102570</v>
      </c>
      <c r="J2166" s="58">
        <v>0</v>
      </c>
      <c r="K2166" s="1">
        <f t="shared" si="232"/>
        <v>527115.6</v>
      </c>
      <c r="L2166" s="1">
        <f t="shared" si="233"/>
        <v>15660</v>
      </c>
      <c r="M2166" s="1">
        <f>VLOOKUP(B2166,'[1]Срок Годности'!$A$2:$B$4,2,0)</f>
        <v>1500</v>
      </c>
      <c r="N2166" s="60">
        <f t="shared" si="234"/>
        <v>0</v>
      </c>
      <c r="O2166" s="1" t="str">
        <f t="shared" si="235"/>
        <v>29 2012</v>
      </c>
      <c r="P2166" s="1">
        <f t="shared" si="236"/>
        <v>21</v>
      </c>
      <c r="Q2166" s="1">
        <f t="shared" ca="1" si="237"/>
        <v>4028</v>
      </c>
      <c r="S2166" s="1">
        <f t="shared" si="231"/>
        <v>102570</v>
      </c>
    </row>
    <row r="2167" spans="1:19" x14ac:dyDescent="0.2">
      <c r="A2167" s="57" t="s">
        <v>233</v>
      </c>
      <c r="B2167" s="57" t="s">
        <v>244</v>
      </c>
      <c r="C2167" s="57" t="s">
        <v>245</v>
      </c>
      <c r="D2167" s="58">
        <v>33.659999999999997</v>
      </c>
      <c r="E2167" s="59">
        <v>41106</v>
      </c>
      <c r="F2167" s="58">
        <v>102570</v>
      </c>
      <c r="G2167" s="58">
        <v>17820</v>
      </c>
      <c r="H2167" s="58">
        <v>19284</v>
      </c>
      <c r="I2167" s="58">
        <v>101174</v>
      </c>
      <c r="J2167" s="58">
        <v>0</v>
      </c>
      <c r="K2167" s="1">
        <f t="shared" si="232"/>
        <v>649099.43999999994</v>
      </c>
      <c r="L2167" s="1">
        <f t="shared" si="233"/>
        <v>19284</v>
      </c>
      <c r="M2167" s="1">
        <f>VLOOKUP(B2167,'[1]Срок Годности'!$A$2:$B$4,2,0)</f>
        <v>1500</v>
      </c>
      <c r="N2167" s="60">
        <f t="shared" si="234"/>
        <v>17820</v>
      </c>
      <c r="O2167" s="1" t="str">
        <f t="shared" si="235"/>
        <v>29 2012</v>
      </c>
      <c r="P2167" s="1">
        <f t="shared" si="236"/>
        <v>21</v>
      </c>
      <c r="Q2167" s="1">
        <f t="shared" ca="1" si="237"/>
        <v>4027</v>
      </c>
      <c r="S2167" s="1">
        <f t="shared" si="231"/>
        <v>101174</v>
      </c>
    </row>
    <row r="2168" spans="1:19" x14ac:dyDescent="0.2">
      <c r="A2168" s="57" t="s">
        <v>233</v>
      </c>
      <c r="B2168" s="57" t="s">
        <v>244</v>
      </c>
      <c r="C2168" s="57" t="s">
        <v>245</v>
      </c>
      <c r="D2168" s="58">
        <v>33.659999999999997</v>
      </c>
      <c r="E2168" s="59">
        <v>41107</v>
      </c>
      <c r="F2168" s="58">
        <v>101174</v>
      </c>
      <c r="G2168" s="58">
        <v>18116</v>
      </c>
      <c r="H2168" s="58">
        <v>18677</v>
      </c>
      <c r="I2168" s="58">
        <v>100363</v>
      </c>
      <c r="J2168" s="58">
        <v>0</v>
      </c>
      <c r="K2168" s="1">
        <f t="shared" si="232"/>
        <v>628667.81999999995</v>
      </c>
      <c r="L2168" s="1">
        <f t="shared" si="233"/>
        <v>18677</v>
      </c>
      <c r="M2168" s="1">
        <f>VLOOKUP(B2168,'[1]Срок Годности'!$A$2:$B$4,2,0)</f>
        <v>1500</v>
      </c>
      <c r="N2168" s="60">
        <f t="shared" si="234"/>
        <v>18116</v>
      </c>
      <c r="O2168" s="1" t="str">
        <f t="shared" si="235"/>
        <v>29 2012</v>
      </c>
      <c r="P2168" s="1">
        <f t="shared" si="236"/>
        <v>21</v>
      </c>
      <c r="Q2168" s="1">
        <f t="shared" ca="1" si="237"/>
        <v>4026</v>
      </c>
      <c r="S2168" s="1">
        <f t="shared" si="231"/>
        <v>100363</v>
      </c>
    </row>
    <row r="2169" spans="1:19" x14ac:dyDescent="0.2">
      <c r="A2169" s="57" t="s">
        <v>233</v>
      </c>
      <c r="B2169" s="57" t="s">
        <v>237</v>
      </c>
      <c r="C2169" s="57" t="s">
        <v>238</v>
      </c>
      <c r="D2169" s="58">
        <v>165.05</v>
      </c>
      <c r="E2169" s="59">
        <v>41061</v>
      </c>
      <c r="F2169" s="58">
        <v>8726</v>
      </c>
      <c r="G2169" s="58">
        <v>1971</v>
      </c>
      <c r="H2169" s="58">
        <v>1467</v>
      </c>
      <c r="I2169" s="58">
        <v>9183</v>
      </c>
      <c r="J2169" s="58">
        <v>0</v>
      </c>
      <c r="K2169" s="1">
        <f t="shared" si="232"/>
        <v>242128.35</v>
      </c>
      <c r="L2169" s="1">
        <f t="shared" si="233"/>
        <v>1467</v>
      </c>
      <c r="M2169" s="1">
        <f>VLOOKUP(B2169,'[1]Срок Годности'!$A$2:$B$4,2,0)</f>
        <v>1000</v>
      </c>
      <c r="N2169" s="60">
        <f t="shared" si="234"/>
        <v>1971</v>
      </c>
      <c r="O2169" s="1" t="str">
        <f t="shared" si="235"/>
        <v>22 2012</v>
      </c>
      <c r="P2169" s="1">
        <f t="shared" si="236"/>
        <v>22</v>
      </c>
      <c r="Q2169" s="1">
        <f t="shared" ca="1" si="237"/>
        <v>4072</v>
      </c>
      <c r="S2169" s="1">
        <f t="shared" si="231"/>
        <v>9183</v>
      </c>
    </row>
    <row r="2170" spans="1:19" x14ac:dyDescent="0.2">
      <c r="A2170" s="57" t="s">
        <v>233</v>
      </c>
      <c r="B2170" s="57" t="s">
        <v>237</v>
      </c>
      <c r="C2170" s="57" t="s">
        <v>238</v>
      </c>
      <c r="D2170" s="58">
        <v>165.05</v>
      </c>
      <c r="E2170" s="59">
        <v>41062</v>
      </c>
      <c r="F2170" s="58">
        <v>9183</v>
      </c>
      <c r="G2170" s="58">
        <v>2665</v>
      </c>
      <c r="H2170" s="58">
        <v>1709</v>
      </c>
      <c r="I2170" s="58">
        <v>10104</v>
      </c>
      <c r="J2170" s="58">
        <v>0</v>
      </c>
      <c r="K2170" s="1">
        <f t="shared" si="232"/>
        <v>282070.45</v>
      </c>
      <c r="L2170" s="1">
        <f t="shared" si="233"/>
        <v>1709</v>
      </c>
      <c r="M2170" s="1">
        <f>VLOOKUP(B2170,'[1]Срок Годности'!$A$2:$B$4,2,0)</f>
        <v>1000</v>
      </c>
      <c r="N2170" s="60">
        <f t="shared" si="234"/>
        <v>2665</v>
      </c>
      <c r="O2170" s="1" t="str">
        <f t="shared" si="235"/>
        <v>22 2012</v>
      </c>
      <c r="P2170" s="1">
        <f t="shared" si="236"/>
        <v>22</v>
      </c>
      <c r="Q2170" s="1">
        <f t="shared" ca="1" si="237"/>
        <v>4071</v>
      </c>
      <c r="S2170" s="1">
        <f t="shared" si="231"/>
        <v>10104</v>
      </c>
    </row>
    <row r="2171" spans="1:19" x14ac:dyDescent="0.2">
      <c r="A2171" s="57" t="s">
        <v>233</v>
      </c>
      <c r="B2171" s="57" t="s">
        <v>237</v>
      </c>
      <c r="C2171" s="57" t="s">
        <v>238</v>
      </c>
      <c r="D2171" s="58">
        <v>165.05</v>
      </c>
      <c r="E2171" s="59">
        <v>41063</v>
      </c>
      <c r="F2171" s="58">
        <v>10104</v>
      </c>
      <c r="G2171" s="58">
        <v>1742</v>
      </c>
      <c r="H2171" s="58">
        <v>1719</v>
      </c>
      <c r="I2171" s="58">
        <v>10101</v>
      </c>
      <c r="J2171" s="58">
        <v>0</v>
      </c>
      <c r="K2171" s="1">
        <f t="shared" si="232"/>
        <v>283720.95</v>
      </c>
      <c r="L2171" s="1">
        <f t="shared" si="233"/>
        <v>1719</v>
      </c>
      <c r="M2171" s="1">
        <f>VLOOKUP(B2171,'[1]Срок Годности'!$A$2:$B$4,2,0)</f>
        <v>1000</v>
      </c>
      <c r="N2171" s="60">
        <f t="shared" si="234"/>
        <v>0</v>
      </c>
      <c r="O2171" s="1" t="str">
        <f t="shared" si="235"/>
        <v>23 2012</v>
      </c>
      <c r="P2171" s="1">
        <f t="shared" si="236"/>
        <v>22</v>
      </c>
      <c r="Q2171" s="1">
        <f t="shared" ca="1" si="237"/>
        <v>4070</v>
      </c>
      <c r="S2171" s="1">
        <f t="shared" si="231"/>
        <v>10101</v>
      </c>
    </row>
    <row r="2172" spans="1:19" x14ac:dyDescent="0.2">
      <c r="A2172" s="57" t="s">
        <v>233</v>
      </c>
      <c r="B2172" s="57" t="s">
        <v>237</v>
      </c>
      <c r="C2172" s="57" t="s">
        <v>238</v>
      </c>
      <c r="D2172" s="58">
        <v>165.05</v>
      </c>
      <c r="E2172" s="59">
        <v>41064</v>
      </c>
      <c r="F2172" s="58">
        <v>10101</v>
      </c>
      <c r="G2172" s="58">
        <v>877</v>
      </c>
      <c r="H2172" s="58">
        <v>1756</v>
      </c>
      <c r="I2172" s="58">
        <v>9138</v>
      </c>
      <c r="J2172" s="58">
        <v>0</v>
      </c>
      <c r="K2172" s="1">
        <f t="shared" si="232"/>
        <v>289827.80000000005</v>
      </c>
      <c r="L2172" s="1">
        <f t="shared" si="233"/>
        <v>1756</v>
      </c>
      <c r="M2172" s="1">
        <f>VLOOKUP(B2172,'[1]Срок Годности'!$A$2:$B$4,2,0)</f>
        <v>1000</v>
      </c>
      <c r="N2172" s="60">
        <f t="shared" si="234"/>
        <v>877</v>
      </c>
      <c r="O2172" s="1" t="str">
        <f t="shared" si="235"/>
        <v>23 2012</v>
      </c>
      <c r="P2172" s="1">
        <f t="shared" si="236"/>
        <v>22</v>
      </c>
      <c r="Q2172" s="1">
        <f t="shared" ca="1" si="237"/>
        <v>4069</v>
      </c>
      <c r="S2172" s="1">
        <f t="shared" si="231"/>
        <v>9138</v>
      </c>
    </row>
    <row r="2173" spans="1:19" x14ac:dyDescent="0.2">
      <c r="A2173" s="57" t="s">
        <v>233</v>
      </c>
      <c r="B2173" s="57" t="s">
        <v>237</v>
      </c>
      <c r="C2173" s="57" t="s">
        <v>238</v>
      </c>
      <c r="D2173" s="58">
        <v>165.05</v>
      </c>
      <c r="E2173" s="59">
        <v>41065</v>
      </c>
      <c r="F2173" s="58">
        <v>9138</v>
      </c>
      <c r="G2173" s="58">
        <v>0</v>
      </c>
      <c r="H2173" s="58">
        <v>1600</v>
      </c>
      <c r="I2173" s="58">
        <v>7508</v>
      </c>
      <c r="J2173" s="58">
        <v>0</v>
      </c>
      <c r="K2173" s="1">
        <f t="shared" si="232"/>
        <v>264080</v>
      </c>
      <c r="L2173" s="1">
        <f t="shared" si="233"/>
        <v>1600</v>
      </c>
      <c r="M2173" s="1">
        <f>VLOOKUP(B2173,'[1]Срок Годности'!$A$2:$B$4,2,0)</f>
        <v>1000</v>
      </c>
      <c r="N2173" s="60">
        <f t="shared" si="234"/>
        <v>0</v>
      </c>
      <c r="O2173" s="1" t="str">
        <f t="shared" si="235"/>
        <v>23 2012</v>
      </c>
      <c r="P2173" s="1">
        <f t="shared" si="236"/>
        <v>22</v>
      </c>
      <c r="Q2173" s="1">
        <f t="shared" ca="1" si="237"/>
        <v>4068</v>
      </c>
      <c r="S2173" s="1">
        <f t="shared" si="231"/>
        <v>7508</v>
      </c>
    </row>
    <row r="2174" spans="1:19" x14ac:dyDescent="0.2">
      <c r="A2174" s="57" t="s">
        <v>233</v>
      </c>
      <c r="B2174" s="57" t="s">
        <v>237</v>
      </c>
      <c r="C2174" s="57" t="s">
        <v>238</v>
      </c>
      <c r="D2174" s="58">
        <v>165.05</v>
      </c>
      <c r="E2174" s="59">
        <v>41066</v>
      </c>
      <c r="F2174" s="58">
        <v>7508</v>
      </c>
      <c r="G2174" s="58">
        <v>1719</v>
      </c>
      <c r="H2174" s="58">
        <v>1433</v>
      </c>
      <c r="I2174" s="58">
        <v>7743</v>
      </c>
      <c r="J2174" s="58">
        <v>0</v>
      </c>
      <c r="K2174" s="1">
        <f t="shared" si="232"/>
        <v>236516.65000000002</v>
      </c>
      <c r="L2174" s="1">
        <f t="shared" si="233"/>
        <v>1433</v>
      </c>
      <c r="M2174" s="1">
        <f>VLOOKUP(B2174,'[1]Срок Годности'!$A$2:$B$4,2,0)</f>
        <v>1000</v>
      </c>
      <c r="N2174" s="60">
        <f t="shared" si="234"/>
        <v>1719</v>
      </c>
      <c r="O2174" s="1" t="str">
        <f t="shared" si="235"/>
        <v>23 2012</v>
      </c>
      <c r="P2174" s="1">
        <f t="shared" si="236"/>
        <v>22</v>
      </c>
      <c r="Q2174" s="1">
        <f t="shared" ca="1" si="237"/>
        <v>4067</v>
      </c>
      <c r="S2174" s="1">
        <f t="shared" si="231"/>
        <v>7743</v>
      </c>
    </row>
    <row r="2175" spans="1:19" x14ac:dyDescent="0.2">
      <c r="A2175" s="57" t="s">
        <v>233</v>
      </c>
      <c r="B2175" s="57" t="s">
        <v>237</v>
      </c>
      <c r="C2175" s="57" t="s">
        <v>238</v>
      </c>
      <c r="D2175" s="58">
        <v>165.05</v>
      </c>
      <c r="E2175" s="59">
        <v>41067</v>
      </c>
      <c r="F2175" s="58">
        <v>7743</v>
      </c>
      <c r="G2175" s="58">
        <v>-6</v>
      </c>
      <c r="H2175" s="58">
        <v>1500</v>
      </c>
      <c r="I2175" s="58">
        <v>6193</v>
      </c>
      <c r="J2175" s="58">
        <v>0</v>
      </c>
      <c r="K2175" s="1">
        <f t="shared" si="232"/>
        <v>247575.00000000003</v>
      </c>
      <c r="L2175" s="1">
        <f t="shared" si="233"/>
        <v>1500</v>
      </c>
      <c r="M2175" s="1">
        <f>VLOOKUP(B2175,'[1]Срок Годности'!$A$2:$B$4,2,0)</f>
        <v>1000</v>
      </c>
      <c r="N2175" s="60">
        <f t="shared" si="234"/>
        <v>-6</v>
      </c>
      <c r="O2175" s="1" t="str">
        <f t="shared" si="235"/>
        <v>23 2012</v>
      </c>
      <c r="P2175" s="1">
        <f t="shared" si="236"/>
        <v>22</v>
      </c>
      <c r="Q2175" s="1">
        <f t="shared" ca="1" si="237"/>
        <v>4066</v>
      </c>
      <c r="S2175" s="1">
        <f t="shared" si="231"/>
        <v>6193</v>
      </c>
    </row>
    <row r="2176" spans="1:19" x14ac:dyDescent="0.2">
      <c r="A2176" s="57" t="s">
        <v>233</v>
      </c>
      <c r="B2176" s="57" t="s">
        <v>237</v>
      </c>
      <c r="C2176" s="57" t="s">
        <v>238</v>
      </c>
      <c r="D2176" s="58">
        <v>165.05</v>
      </c>
      <c r="E2176" s="59">
        <v>41068</v>
      </c>
      <c r="F2176" s="58">
        <v>6193</v>
      </c>
      <c r="G2176" s="58">
        <v>2033</v>
      </c>
      <c r="H2176" s="58">
        <v>1048</v>
      </c>
      <c r="I2176" s="58">
        <v>7074</v>
      </c>
      <c r="J2176" s="58">
        <v>0</v>
      </c>
      <c r="K2176" s="1">
        <f t="shared" si="232"/>
        <v>172972.40000000002</v>
      </c>
      <c r="L2176" s="1">
        <f t="shared" si="233"/>
        <v>1048</v>
      </c>
      <c r="M2176" s="1">
        <f>VLOOKUP(B2176,'[1]Срок Годности'!$A$2:$B$4,2,0)</f>
        <v>1000</v>
      </c>
      <c r="N2176" s="60">
        <f t="shared" si="234"/>
        <v>2033</v>
      </c>
      <c r="O2176" s="1" t="str">
        <f t="shared" si="235"/>
        <v>23 2012</v>
      </c>
      <c r="P2176" s="1">
        <f t="shared" si="236"/>
        <v>22</v>
      </c>
      <c r="Q2176" s="1">
        <f t="shared" ca="1" si="237"/>
        <v>4065</v>
      </c>
      <c r="S2176" s="1">
        <f t="shared" si="231"/>
        <v>7074</v>
      </c>
    </row>
    <row r="2177" spans="1:19" x14ac:dyDescent="0.2">
      <c r="A2177" s="57" t="s">
        <v>233</v>
      </c>
      <c r="B2177" s="57" t="s">
        <v>237</v>
      </c>
      <c r="C2177" s="57" t="s">
        <v>238</v>
      </c>
      <c r="D2177" s="58">
        <v>165.05</v>
      </c>
      <c r="E2177" s="59">
        <v>41069</v>
      </c>
      <c r="F2177" s="58">
        <v>7074</v>
      </c>
      <c r="G2177" s="58">
        <v>3658</v>
      </c>
      <c r="H2177" s="58">
        <v>877</v>
      </c>
      <c r="I2177" s="58">
        <v>9799</v>
      </c>
      <c r="J2177" s="58">
        <v>1</v>
      </c>
      <c r="K2177" s="1">
        <f t="shared" si="232"/>
        <v>144748.85</v>
      </c>
      <c r="L2177" s="1" t="str">
        <f t="shared" si="233"/>
        <v/>
      </c>
      <c r="M2177" s="1">
        <f>VLOOKUP(B2177,'[1]Срок Годности'!$A$2:$B$4,2,0)</f>
        <v>1000</v>
      </c>
      <c r="N2177" s="60">
        <f t="shared" si="234"/>
        <v>3658</v>
      </c>
      <c r="O2177" s="1" t="str">
        <f t="shared" si="235"/>
        <v>23 2012</v>
      </c>
      <c r="P2177" s="1">
        <f t="shared" si="236"/>
        <v>22</v>
      </c>
      <c r="Q2177" s="1">
        <f t="shared" ca="1" si="237"/>
        <v>4064</v>
      </c>
      <c r="S2177" s="1">
        <f t="shared" si="231"/>
        <v>9798</v>
      </c>
    </row>
    <row r="2178" spans="1:19" x14ac:dyDescent="0.2">
      <c r="A2178" s="57" t="s">
        <v>233</v>
      </c>
      <c r="B2178" s="57" t="s">
        <v>237</v>
      </c>
      <c r="C2178" s="57" t="s">
        <v>238</v>
      </c>
      <c r="D2178" s="58">
        <v>165.05</v>
      </c>
      <c r="E2178" s="59">
        <v>41070</v>
      </c>
      <c r="F2178" s="58">
        <v>9799</v>
      </c>
      <c r="G2178" s="58">
        <v>3259</v>
      </c>
      <c r="H2178" s="58">
        <v>1034</v>
      </c>
      <c r="I2178" s="58">
        <v>11855</v>
      </c>
      <c r="J2178" s="58">
        <v>0</v>
      </c>
      <c r="K2178" s="1">
        <f t="shared" si="232"/>
        <v>170661.7</v>
      </c>
      <c r="L2178" s="1">
        <f t="shared" si="233"/>
        <v>1034</v>
      </c>
      <c r="M2178" s="1">
        <f>VLOOKUP(B2178,'[1]Срок Годности'!$A$2:$B$4,2,0)</f>
        <v>1000</v>
      </c>
      <c r="N2178" s="60">
        <f t="shared" si="234"/>
        <v>0</v>
      </c>
      <c r="O2178" s="1" t="str">
        <f t="shared" si="235"/>
        <v>24 2012</v>
      </c>
      <c r="P2178" s="1">
        <f t="shared" si="236"/>
        <v>22</v>
      </c>
      <c r="Q2178" s="1">
        <f t="shared" ca="1" si="237"/>
        <v>4063</v>
      </c>
      <c r="S2178" s="1">
        <f t="shared" si="231"/>
        <v>11855</v>
      </c>
    </row>
    <row r="2179" spans="1:19" x14ac:dyDescent="0.2">
      <c r="A2179" s="57" t="s">
        <v>233</v>
      </c>
      <c r="B2179" s="57" t="s">
        <v>237</v>
      </c>
      <c r="C2179" s="57" t="s">
        <v>238</v>
      </c>
      <c r="D2179" s="58">
        <v>165.05</v>
      </c>
      <c r="E2179" s="59">
        <v>41071</v>
      </c>
      <c r="F2179" s="58">
        <v>11855</v>
      </c>
      <c r="G2179" s="58">
        <v>1182</v>
      </c>
      <c r="H2179" s="58">
        <v>1187</v>
      </c>
      <c r="I2179" s="58">
        <v>11732</v>
      </c>
      <c r="J2179" s="58">
        <v>0</v>
      </c>
      <c r="K2179" s="1">
        <f t="shared" si="232"/>
        <v>195914.35</v>
      </c>
      <c r="L2179" s="1">
        <f t="shared" si="233"/>
        <v>1187</v>
      </c>
      <c r="M2179" s="1">
        <f>VLOOKUP(B2179,'[1]Срок Годности'!$A$2:$B$4,2,0)</f>
        <v>1000</v>
      </c>
      <c r="N2179" s="60">
        <f t="shared" si="234"/>
        <v>1182</v>
      </c>
      <c r="O2179" s="1" t="str">
        <f t="shared" si="235"/>
        <v>24 2012</v>
      </c>
      <c r="P2179" s="1">
        <f t="shared" si="236"/>
        <v>22</v>
      </c>
      <c r="Q2179" s="1">
        <f t="shared" ca="1" si="237"/>
        <v>4062</v>
      </c>
      <c r="S2179" s="1">
        <f t="shared" si="231"/>
        <v>11732</v>
      </c>
    </row>
    <row r="2180" spans="1:19" x14ac:dyDescent="0.2">
      <c r="A2180" s="57" t="s">
        <v>233</v>
      </c>
      <c r="B2180" s="57" t="s">
        <v>237</v>
      </c>
      <c r="C2180" s="57" t="s">
        <v>238</v>
      </c>
      <c r="D2180" s="58">
        <v>165.05</v>
      </c>
      <c r="E2180" s="59">
        <v>41072</v>
      </c>
      <c r="F2180" s="58">
        <v>11732</v>
      </c>
      <c r="G2180" s="58">
        <v>1048</v>
      </c>
      <c r="H2180" s="58">
        <v>1106</v>
      </c>
      <c r="I2180" s="58">
        <v>11498</v>
      </c>
      <c r="J2180" s="58">
        <v>0</v>
      </c>
      <c r="K2180" s="1">
        <f t="shared" si="232"/>
        <v>182545.30000000002</v>
      </c>
      <c r="L2180" s="1">
        <f t="shared" si="233"/>
        <v>1106</v>
      </c>
      <c r="M2180" s="1">
        <f>VLOOKUP(B2180,'[1]Срок Годности'!$A$2:$B$4,2,0)</f>
        <v>1000</v>
      </c>
      <c r="N2180" s="60">
        <f t="shared" si="234"/>
        <v>1048</v>
      </c>
      <c r="O2180" s="1" t="str">
        <f t="shared" si="235"/>
        <v>24 2012</v>
      </c>
      <c r="P2180" s="1">
        <f t="shared" si="236"/>
        <v>22</v>
      </c>
      <c r="Q2180" s="1">
        <f t="shared" ca="1" si="237"/>
        <v>4061</v>
      </c>
      <c r="S2180" s="1">
        <f t="shared" si="231"/>
        <v>11498</v>
      </c>
    </row>
    <row r="2181" spans="1:19" x14ac:dyDescent="0.2">
      <c r="A2181" s="57" t="s">
        <v>233</v>
      </c>
      <c r="B2181" s="57" t="s">
        <v>237</v>
      </c>
      <c r="C2181" s="57" t="s">
        <v>238</v>
      </c>
      <c r="D2181" s="58">
        <v>165.05</v>
      </c>
      <c r="E2181" s="59">
        <v>41073</v>
      </c>
      <c r="F2181" s="58">
        <v>11498</v>
      </c>
      <c r="G2181" s="58">
        <v>1302</v>
      </c>
      <c r="H2181" s="58">
        <v>1054</v>
      </c>
      <c r="I2181" s="58">
        <v>11696</v>
      </c>
      <c r="J2181" s="58">
        <v>0</v>
      </c>
      <c r="K2181" s="1">
        <f t="shared" si="232"/>
        <v>173962.7</v>
      </c>
      <c r="L2181" s="1">
        <f t="shared" si="233"/>
        <v>1054</v>
      </c>
      <c r="M2181" s="1">
        <f>VLOOKUP(B2181,'[1]Срок Годности'!$A$2:$B$4,2,0)</f>
        <v>1000</v>
      </c>
      <c r="N2181" s="60">
        <f t="shared" si="234"/>
        <v>1302</v>
      </c>
      <c r="O2181" s="1" t="str">
        <f t="shared" si="235"/>
        <v>24 2012</v>
      </c>
      <c r="P2181" s="1">
        <f t="shared" si="236"/>
        <v>22</v>
      </c>
      <c r="Q2181" s="1">
        <f t="shared" ca="1" si="237"/>
        <v>4060</v>
      </c>
      <c r="S2181" s="1">
        <f t="shared" si="231"/>
        <v>11696</v>
      </c>
    </row>
    <row r="2182" spans="1:19" x14ac:dyDescent="0.2">
      <c r="A2182" s="57" t="s">
        <v>233</v>
      </c>
      <c r="B2182" s="57" t="s">
        <v>237</v>
      </c>
      <c r="C2182" s="57" t="s">
        <v>238</v>
      </c>
      <c r="D2182" s="58">
        <v>165.05</v>
      </c>
      <c r="E2182" s="59">
        <v>41074</v>
      </c>
      <c r="F2182" s="58">
        <v>11696</v>
      </c>
      <c r="G2182" s="58">
        <v>1277</v>
      </c>
      <c r="H2182" s="58">
        <v>1137</v>
      </c>
      <c r="I2182" s="58">
        <v>11782</v>
      </c>
      <c r="J2182" s="58">
        <v>0</v>
      </c>
      <c r="K2182" s="1">
        <f t="shared" si="232"/>
        <v>187661.85</v>
      </c>
      <c r="L2182" s="1">
        <f t="shared" si="233"/>
        <v>1137</v>
      </c>
      <c r="M2182" s="1">
        <f>VLOOKUP(B2182,'[1]Срок Годности'!$A$2:$B$4,2,0)</f>
        <v>1000</v>
      </c>
      <c r="N2182" s="60">
        <f t="shared" si="234"/>
        <v>1277</v>
      </c>
      <c r="O2182" s="1" t="str">
        <f t="shared" si="235"/>
        <v>24 2012</v>
      </c>
      <c r="P2182" s="1">
        <f t="shared" si="236"/>
        <v>22</v>
      </c>
      <c r="Q2182" s="1">
        <f t="shared" ca="1" si="237"/>
        <v>4059</v>
      </c>
      <c r="S2182" s="1">
        <f t="shared" si="231"/>
        <v>11782</v>
      </c>
    </row>
    <row r="2183" spans="1:19" x14ac:dyDescent="0.2">
      <c r="A2183" s="57" t="s">
        <v>233</v>
      </c>
      <c r="B2183" s="57" t="s">
        <v>237</v>
      </c>
      <c r="C2183" s="57" t="s">
        <v>238</v>
      </c>
      <c r="D2183" s="58">
        <v>165.05</v>
      </c>
      <c r="E2183" s="59">
        <v>41075</v>
      </c>
      <c r="F2183" s="58">
        <v>11782</v>
      </c>
      <c r="G2183" s="58">
        <v>1065</v>
      </c>
      <c r="H2183" s="58">
        <v>1414</v>
      </c>
      <c r="I2183" s="58">
        <v>11418</v>
      </c>
      <c r="J2183" s="58">
        <v>0</v>
      </c>
      <c r="K2183" s="1">
        <f t="shared" si="232"/>
        <v>233380.7</v>
      </c>
      <c r="L2183" s="1">
        <f t="shared" si="233"/>
        <v>1414</v>
      </c>
      <c r="M2183" s="1">
        <f>VLOOKUP(B2183,'[1]Срок Годности'!$A$2:$B$4,2,0)</f>
        <v>1000</v>
      </c>
      <c r="N2183" s="60">
        <f t="shared" si="234"/>
        <v>1065</v>
      </c>
      <c r="O2183" s="1" t="str">
        <f t="shared" si="235"/>
        <v>24 2012</v>
      </c>
      <c r="P2183" s="1">
        <f t="shared" si="236"/>
        <v>22</v>
      </c>
      <c r="Q2183" s="1">
        <f t="shared" ca="1" si="237"/>
        <v>4058</v>
      </c>
      <c r="S2183" s="1">
        <f t="shared" ref="S2183:S2246" si="238">I2183-J2183</f>
        <v>11418</v>
      </c>
    </row>
    <row r="2184" spans="1:19" x14ac:dyDescent="0.2">
      <c r="A2184" s="57" t="s">
        <v>233</v>
      </c>
      <c r="B2184" s="57" t="s">
        <v>237</v>
      </c>
      <c r="C2184" s="57" t="s">
        <v>238</v>
      </c>
      <c r="D2184" s="58">
        <v>165.05</v>
      </c>
      <c r="E2184" s="59">
        <v>41076</v>
      </c>
      <c r="F2184" s="58">
        <v>11418</v>
      </c>
      <c r="G2184" s="58">
        <v>1186</v>
      </c>
      <c r="H2184" s="58">
        <v>1460</v>
      </c>
      <c r="I2184" s="58">
        <v>11063</v>
      </c>
      <c r="J2184" s="58">
        <v>0</v>
      </c>
      <c r="K2184" s="1">
        <f t="shared" ref="K2184:K2247" si="239">H2184*D2184</f>
        <v>240973.00000000003</v>
      </c>
      <c r="L2184" s="1">
        <f t="shared" ref="L2184:L2247" si="240">IF(H2184&gt;1000,H2184,"")</f>
        <v>1460</v>
      </c>
      <c r="M2184" s="1">
        <f>VLOOKUP(B2184,'[1]Срок Годности'!$A$2:$B$4,2,0)</f>
        <v>1000</v>
      </c>
      <c r="N2184" s="60">
        <f t="shared" ref="N2184:N2247" si="241">IF(WEEKDAY(E2184) = 1, 0, G2184)</f>
        <v>1186</v>
      </c>
      <c r="O2184" s="1" t="str">
        <f t="shared" ref="O2184:O2247" si="242">WEEKNUM(E2184) &amp; " " &amp; YEAR(E2184)</f>
        <v>24 2012</v>
      </c>
      <c r="P2184" s="1">
        <f t="shared" ref="P2184:P2247" si="243">LEN(C2184)</f>
        <v>22</v>
      </c>
      <c r="Q2184" s="1">
        <f t="shared" ref="Q2184:Q2247" ca="1" si="244">DATEDIF(E2184,NOW(),"D")</f>
        <v>4057</v>
      </c>
      <c r="S2184" s="1">
        <f t="shared" si="238"/>
        <v>11063</v>
      </c>
    </row>
    <row r="2185" spans="1:19" x14ac:dyDescent="0.2">
      <c r="A2185" s="57" t="s">
        <v>233</v>
      </c>
      <c r="B2185" s="57" t="s">
        <v>237</v>
      </c>
      <c r="C2185" s="57" t="s">
        <v>238</v>
      </c>
      <c r="D2185" s="58">
        <v>165.05</v>
      </c>
      <c r="E2185" s="59">
        <v>41077</v>
      </c>
      <c r="F2185" s="58">
        <v>11063</v>
      </c>
      <c r="G2185" s="58">
        <v>1163</v>
      </c>
      <c r="H2185" s="58">
        <v>1941</v>
      </c>
      <c r="I2185" s="58">
        <v>10288</v>
      </c>
      <c r="J2185" s="58">
        <v>0</v>
      </c>
      <c r="K2185" s="1">
        <f t="shared" si="239"/>
        <v>320362.05000000005</v>
      </c>
      <c r="L2185" s="1">
        <f t="shared" si="240"/>
        <v>1941</v>
      </c>
      <c r="M2185" s="1">
        <f>VLOOKUP(B2185,'[1]Срок Годности'!$A$2:$B$4,2,0)</f>
        <v>1000</v>
      </c>
      <c r="N2185" s="60">
        <f t="shared" si="241"/>
        <v>0</v>
      </c>
      <c r="O2185" s="1" t="str">
        <f t="shared" si="242"/>
        <v>25 2012</v>
      </c>
      <c r="P2185" s="1">
        <f t="shared" si="243"/>
        <v>22</v>
      </c>
      <c r="Q2185" s="1">
        <f t="shared" ca="1" si="244"/>
        <v>4056</v>
      </c>
      <c r="S2185" s="1">
        <f t="shared" si="238"/>
        <v>10288</v>
      </c>
    </row>
    <row r="2186" spans="1:19" x14ac:dyDescent="0.2">
      <c r="A2186" s="57" t="s">
        <v>233</v>
      </c>
      <c r="B2186" s="57" t="s">
        <v>237</v>
      </c>
      <c r="C2186" s="57" t="s">
        <v>238</v>
      </c>
      <c r="D2186" s="58">
        <v>165.05</v>
      </c>
      <c r="E2186" s="59">
        <v>41078</v>
      </c>
      <c r="F2186" s="58">
        <v>10288</v>
      </c>
      <c r="G2186" s="58">
        <v>1556</v>
      </c>
      <c r="H2186" s="58">
        <v>1993</v>
      </c>
      <c r="I2186" s="58">
        <v>9844</v>
      </c>
      <c r="J2186" s="58">
        <v>0</v>
      </c>
      <c r="K2186" s="1">
        <f t="shared" si="239"/>
        <v>328944.65000000002</v>
      </c>
      <c r="L2186" s="1">
        <f t="shared" si="240"/>
        <v>1993</v>
      </c>
      <c r="M2186" s="1">
        <f>VLOOKUP(B2186,'[1]Срок Годности'!$A$2:$B$4,2,0)</f>
        <v>1000</v>
      </c>
      <c r="N2186" s="60">
        <f t="shared" si="241"/>
        <v>1556</v>
      </c>
      <c r="O2186" s="1" t="str">
        <f t="shared" si="242"/>
        <v>25 2012</v>
      </c>
      <c r="P2186" s="1">
        <f t="shared" si="243"/>
        <v>22</v>
      </c>
      <c r="Q2186" s="1">
        <f t="shared" ca="1" si="244"/>
        <v>4055</v>
      </c>
      <c r="S2186" s="1">
        <f t="shared" si="238"/>
        <v>9844</v>
      </c>
    </row>
    <row r="2187" spans="1:19" x14ac:dyDescent="0.2">
      <c r="A2187" s="57" t="s">
        <v>233</v>
      </c>
      <c r="B2187" s="57" t="s">
        <v>237</v>
      </c>
      <c r="C2187" s="57" t="s">
        <v>238</v>
      </c>
      <c r="D2187" s="58">
        <v>165.05</v>
      </c>
      <c r="E2187" s="59">
        <v>41079</v>
      </c>
      <c r="F2187" s="58">
        <v>9844</v>
      </c>
      <c r="G2187" s="58">
        <v>2162</v>
      </c>
      <c r="H2187" s="58">
        <v>1815</v>
      </c>
      <c r="I2187" s="58">
        <v>10182</v>
      </c>
      <c r="J2187" s="58">
        <v>0</v>
      </c>
      <c r="K2187" s="1">
        <f t="shared" si="239"/>
        <v>299565.75</v>
      </c>
      <c r="L2187" s="1">
        <f t="shared" si="240"/>
        <v>1815</v>
      </c>
      <c r="M2187" s="1">
        <f>VLOOKUP(B2187,'[1]Срок Годности'!$A$2:$B$4,2,0)</f>
        <v>1000</v>
      </c>
      <c r="N2187" s="60">
        <f t="shared" si="241"/>
        <v>2162</v>
      </c>
      <c r="O2187" s="1" t="str">
        <f t="shared" si="242"/>
        <v>25 2012</v>
      </c>
      <c r="P2187" s="1">
        <f t="shared" si="243"/>
        <v>22</v>
      </c>
      <c r="Q2187" s="1">
        <f t="shared" ca="1" si="244"/>
        <v>4054</v>
      </c>
      <c r="S2187" s="1">
        <f t="shared" si="238"/>
        <v>10182</v>
      </c>
    </row>
    <row r="2188" spans="1:19" x14ac:dyDescent="0.2">
      <c r="A2188" s="57" t="s">
        <v>233</v>
      </c>
      <c r="B2188" s="57" t="s">
        <v>237</v>
      </c>
      <c r="C2188" s="57" t="s">
        <v>238</v>
      </c>
      <c r="D2188" s="58">
        <v>165.05</v>
      </c>
      <c r="E2188" s="59">
        <v>41080</v>
      </c>
      <c r="F2188" s="58">
        <v>10182</v>
      </c>
      <c r="G2188" s="58">
        <v>2452</v>
      </c>
      <c r="H2188" s="58">
        <v>1928</v>
      </c>
      <c r="I2188" s="58">
        <v>10664</v>
      </c>
      <c r="J2188" s="58">
        <v>0</v>
      </c>
      <c r="K2188" s="1">
        <f t="shared" si="239"/>
        <v>318216.40000000002</v>
      </c>
      <c r="L2188" s="1">
        <f t="shared" si="240"/>
        <v>1928</v>
      </c>
      <c r="M2188" s="1">
        <f>VLOOKUP(B2188,'[1]Срок Годности'!$A$2:$B$4,2,0)</f>
        <v>1000</v>
      </c>
      <c r="N2188" s="60">
        <f t="shared" si="241"/>
        <v>2452</v>
      </c>
      <c r="O2188" s="1" t="str">
        <f t="shared" si="242"/>
        <v>25 2012</v>
      </c>
      <c r="P2188" s="1">
        <f t="shared" si="243"/>
        <v>22</v>
      </c>
      <c r="Q2188" s="1">
        <f t="shared" ca="1" si="244"/>
        <v>4053</v>
      </c>
      <c r="S2188" s="1">
        <f t="shared" si="238"/>
        <v>10664</v>
      </c>
    </row>
    <row r="2189" spans="1:19" x14ac:dyDescent="0.2">
      <c r="A2189" s="57" t="s">
        <v>233</v>
      </c>
      <c r="B2189" s="57" t="s">
        <v>237</v>
      </c>
      <c r="C2189" s="57" t="s">
        <v>238</v>
      </c>
      <c r="D2189" s="58">
        <v>165.05</v>
      </c>
      <c r="E2189" s="59">
        <v>41081</v>
      </c>
      <c r="F2189" s="58">
        <v>10664</v>
      </c>
      <c r="G2189" s="58">
        <v>1661</v>
      </c>
      <c r="H2189" s="58">
        <v>1961</v>
      </c>
      <c r="I2189" s="58">
        <v>10310</v>
      </c>
      <c r="J2189" s="58">
        <v>0</v>
      </c>
      <c r="K2189" s="1">
        <f t="shared" si="239"/>
        <v>323663.05000000005</v>
      </c>
      <c r="L2189" s="1">
        <f t="shared" si="240"/>
        <v>1961</v>
      </c>
      <c r="M2189" s="1">
        <f>VLOOKUP(B2189,'[1]Срок Годности'!$A$2:$B$4,2,0)</f>
        <v>1000</v>
      </c>
      <c r="N2189" s="60">
        <f t="shared" si="241"/>
        <v>1661</v>
      </c>
      <c r="O2189" s="1" t="str">
        <f t="shared" si="242"/>
        <v>25 2012</v>
      </c>
      <c r="P2189" s="1">
        <f t="shared" si="243"/>
        <v>22</v>
      </c>
      <c r="Q2189" s="1">
        <f t="shared" ca="1" si="244"/>
        <v>4052</v>
      </c>
      <c r="S2189" s="1">
        <f t="shared" si="238"/>
        <v>10310</v>
      </c>
    </row>
    <row r="2190" spans="1:19" x14ac:dyDescent="0.2">
      <c r="A2190" s="57" t="s">
        <v>233</v>
      </c>
      <c r="B2190" s="57" t="s">
        <v>237</v>
      </c>
      <c r="C2190" s="57" t="s">
        <v>238</v>
      </c>
      <c r="D2190" s="58">
        <v>165.05</v>
      </c>
      <c r="E2190" s="59">
        <v>41082</v>
      </c>
      <c r="F2190" s="58">
        <v>10310</v>
      </c>
      <c r="G2190" s="58">
        <v>1600</v>
      </c>
      <c r="H2190" s="58">
        <v>2313</v>
      </c>
      <c r="I2190" s="58">
        <v>9572</v>
      </c>
      <c r="J2190" s="58">
        <v>0</v>
      </c>
      <c r="K2190" s="1">
        <f t="shared" si="239"/>
        <v>381760.65</v>
      </c>
      <c r="L2190" s="1">
        <f t="shared" si="240"/>
        <v>2313</v>
      </c>
      <c r="M2190" s="1">
        <f>VLOOKUP(B2190,'[1]Срок Годности'!$A$2:$B$4,2,0)</f>
        <v>1000</v>
      </c>
      <c r="N2190" s="60">
        <f t="shared" si="241"/>
        <v>1600</v>
      </c>
      <c r="O2190" s="1" t="str">
        <f t="shared" si="242"/>
        <v>25 2012</v>
      </c>
      <c r="P2190" s="1">
        <f t="shared" si="243"/>
        <v>22</v>
      </c>
      <c r="Q2190" s="1">
        <f t="shared" ca="1" si="244"/>
        <v>4051</v>
      </c>
      <c r="S2190" s="1">
        <f t="shared" si="238"/>
        <v>9572</v>
      </c>
    </row>
    <row r="2191" spans="1:19" x14ac:dyDescent="0.2">
      <c r="A2191" s="57" t="s">
        <v>233</v>
      </c>
      <c r="B2191" s="57" t="s">
        <v>237</v>
      </c>
      <c r="C2191" s="57" t="s">
        <v>238</v>
      </c>
      <c r="D2191" s="58">
        <v>165.05</v>
      </c>
      <c r="E2191" s="59">
        <v>41083</v>
      </c>
      <c r="F2191" s="58">
        <v>9572</v>
      </c>
      <c r="G2191" s="58">
        <v>1292</v>
      </c>
      <c r="H2191" s="58">
        <v>2166</v>
      </c>
      <c r="I2191" s="58">
        <v>8669</v>
      </c>
      <c r="J2191" s="58">
        <v>0</v>
      </c>
      <c r="K2191" s="1">
        <f t="shared" si="239"/>
        <v>357498.30000000005</v>
      </c>
      <c r="L2191" s="1">
        <f t="shared" si="240"/>
        <v>2166</v>
      </c>
      <c r="M2191" s="1">
        <f>VLOOKUP(B2191,'[1]Срок Годности'!$A$2:$B$4,2,0)</f>
        <v>1000</v>
      </c>
      <c r="N2191" s="60">
        <f t="shared" si="241"/>
        <v>1292</v>
      </c>
      <c r="O2191" s="1" t="str">
        <f t="shared" si="242"/>
        <v>25 2012</v>
      </c>
      <c r="P2191" s="1">
        <f t="shared" si="243"/>
        <v>22</v>
      </c>
      <c r="Q2191" s="1">
        <f t="shared" ca="1" si="244"/>
        <v>4050</v>
      </c>
      <c r="S2191" s="1">
        <f t="shared" si="238"/>
        <v>8669</v>
      </c>
    </row>
    <row r="2192" spans="1:19" x14ac:dyDescent="0.2">
      <c r="A2192" s="57" t="s">
        <v>233</v>
      </c>
      <c r="B2192" s="57" t="s">
        <v>237</v>
      </c>
      <c r="C2192" s="57" t="s">
        <v>238</v>
      </c>
      <c r="D2192" s="58">
        <v>165.05</v>
      </c>
      <c r="E2192" s="59">
        <v>41084</v>
      </c>
      <c r="F2192" s="58">
        <v>8669</v>
      </c>
      <c r="G2192" s="58">
        <v>2931</v>
      </c>
      <c r="H2192" s="58">
        <v>2377</v>
      </c>
      <c r="I2192" s="58">
        <v>9201</v>
      </c>
      <c r="J2192" s="58">
        <v>0</v>
      </c>
      <c r="K2192" s="1">
        <f t="shared" si="239"/>
        <v>392323.85000000003</v>
      </c>
      <c r="L2192" s="1">
        <f t="shared" si="240"/>
        <v>2377</v>
      </c>
      <c r="M2192" s="1">
        <f>VLOOKUP(B2192,'[1]Срок Годности'!$A$2:$B$4,2,0)</f>
        <v>1000</v>
      </c>
      <c r="N2192" s="60">
        <f t="shared" si="241"/>
        <v>0</v>
      </c>
      <c r="O2192" s="1" t="str">
        <f t="shared" si="242"/>
        <v>26 2012</v>
      </c>
      <c r="P2192" s="1">
        <f t="shared" si="243"/>
        <v>22</v>
      </c>
      <c r="Q2192" s="1">
        <f t="shared" ca="1" si="244"/>
        <v>4049</v>
      </c>
      <c r="S2192" s="1">
        <f t="shared" si="238"/>
        <v>9201</v>
      </c>
    </row>
    <row r="2193" spans="1:19" x14ac:dyDescent="0.2">
      <c r="A2193" s="57" t="s">
        <v>233</v>
      </c>
      <c r="B2193" s="57" t="s">
        <v>237</v>
      </c>
      <c r="C2193" s="57" t="s">
        <v>238</v>
      </c>
      <c r="D2193" s="58">
        <v>165.05</v>
      </c>
      <c r="E2193" s="59">
        <v>41085</v>
      </c>
      <c r="F2193" s="58">
        <v>9201</v>
      </c>
      <c r="G2193" s="58">
        <v>3008</v>
      </c>
      <c r="H2193" s="58">
        <v>2413</v>
      </c>
      <c r="I2193" s="58">
        <v>9779</v>
      </c>
      <c r="J2193" s="58">
        <v>0</v>
      </c>
      <c r="K2193" s="1">
        <f t="shared" si="239"/>
        <v>398265.65</v>
      </c>
      <c r="L2193" s="1">
        <f t="shared" si="240"/>
        <v>2413</v>
      </c>
      <c r="M2193" s="1">
        <f>VLOOKUP(B2193,'[1]Срок Годности'!$A$2:$B$4,2,0)</f>
        <v>1000</v>
      </c>
      <c r="N2193" s="60">
        <f t="shared" si="241"/>
        <v>3008</v>
      </c>
      <c r="O2193" s="1" t="str">
        <f t="shared" si="242"/>
        <v>26 2012</v>
      </c>
      <c r="P2193" s="1">
        <f t="shared" si="243"/>
        <v>22</v>
      </c>
      <c r="Q2193" s="1">
        <f t="shared" ca="1" si="244"/>
        <v>4048</v>
      </c>
      <c r="S2193" s="1">
        <f t="shared" si="238"/>
        <v>9779</v>
      </c>
    </row>
    <row r="2194" spans="1:19" x14ac:dyDescent="0.2">
      <c r="A2194" s="57" t="s">
        <v>233</v>
      </c>
      <c r="B2194" s="57" t="s">
        <v>237</v>
      </c>
      <c r="C2194" s="57" t="s">
        <v>238</v>
      </c>
      <c r="D2194" s="58">
        <v>165.05</v>
      </c>
      <c r="E2194" s="59">
        <v>41086</v>
      </c>
      <c r="F2194" s="58">
        <v>9779</v>
      </c>
      <c r="G2194" s="58">
        <v>3604</v>
      </c>
      <c r="H2194" s="58">
        <v>2152</v>
      </c>
      <c r="I2194" s="58">
        <v>11241</v>
      </c>
      <c r="J2194" s="58">
        <v>0</v>
      </c>
      <c r="K2194" s="1">
        <f t="shared" si="239"/>
        <v>355187.60000000003</v>
      </c>
      <c r="L2194" s="1">
        <f t="shared" si="240"/>
        <v>2152</v>
      </c>
      <c r="M2194" s="1">
        <f>VLOOKUP(B2194,'[1]Срок Годности'!$A$2:$B$4,2,0)</f>
        <v>1000</v>
      </c>
      <c r="N2194" s="60">
        <f t="shared" si="241"/>
        <v>3604</v>
      </c>
      <c r="O2194" s="1" t="str">
        <f t="shared" si="242"/>
        <v>26 2012</v>
      </c>
      <c r="P2194" s="1">
        <f t="shared" si="243"/>
        <v>22</v>
      </c>
      <c r="Q2194" s="1">
        <f t="shared" ca="1" si="244"/>
        <v>4047</v>
      </c>
      <c r="S2194" s="1">
        <f t="shared" si="238"/>
        <v>11241</v>
      </c>
    </row>
    <row r="2195" spans="1:19" x14ac:dyDescent="0.2">
      <c r="A2195" s="57" t="s">
        <v>233</v>
      </c>
      <c r="B2195" s="57" t="s">
        <v>237</v>
      </c>
      <c r="C2195" s="57" t="s">
        <v>238</v>
      </c>
      <c r="D2195" s="58">
        <v>165.05</v>
      </c>
      <c r="E2195" s="59">
        <v>41087</v>
      </c>
      <c r="F2195" s="58">
        <v>11241</v>
      </c>
      <c r="G2195" s="58">
        <v>3185</v>
      </c>
      <c r="H2195" s="58">
        <v>2253</v>
      </c>
      <c r="I2195" s="58">
        <v>12142</v>
      </c>
      <c r="J2195" s="58">
        <v>0</v>
      </c>
      <c r="K2195" s="1">
        <f t="shared" si="239"/>
        <v>371857.65</v>
      </c>
      <c r="L2195" s="1">
        <f t="shared" si="240"/>
        <v>2253</v>
      </c>
      <c r="M2195" s="1">
        <f>VLOOKUP(B2195,'[1]Срок Годности'!$A$2:$B$4,2,0)</f>
        <v>1000</v>
      </c>
      <c r="N2195" s="60">
        <f t="shared" si="241"/>
        <v>3185</v>
      </c>
      <c r="O2195" s="1" t="str">
        <f t="shared" si="242"/>
        <v>26 2012</v>
      </c>
      <c r="P2195" s="1">
        <f t="shared" si="243"/>
        <v>22</v>
      </c>
      <c r="Q2195" s="1">
        <f t="shared" ca="1" si="244"/>
        <v>4046</v>
      </c>
      <c r="S2195" s="1">
        <f t="shared" si="238"/>
        <v>12142</v>
      </c>
    </row>
    <row r="2196" spans="1:19" x14ac:dyDescent="0.2">
      <c r="A2196" s="57" t="s">
        <v>233</v>
      </c>
      <c r="B2196" s="57" t="s">
        <v>237</v>
      </c>
      <c r="C2196" s="57" t="s">
        <v>238</v>
      </c>
      <c r="D2196" s="58">
        <v>165.05</v>
      </c>
      <c r="E2196" s="59">
        <v>41088</v>
      </c>
      <c r="F2196" s="58">
        <v>12142</v>
      </c>
      <c r="G2196" s="58">
        <v>2966</v>
      </c>
      <c r="H2196" s="58">
        <v>2271</v>
      </c>
      <c r="I2196" s="58">
        <v>12763</v>
      </c>
      <c r="J2196" s="58">
        <v>0</v>
      </c>
      <c r="K2196" s="1">
        <f t="shared" si="239"/>
        <v>374828.55000000005</v>
      </c>
      <c r="L2196" s="1">
        <f t="shared" si="240"/>
        <v>2271</v>
      </c>
      <c r="M2196" s="1">
        <f>VLOOKUP(B2196,'[1]Срок Годности'!$A$2:$B$4,2,0)</f>
        <v>1000</v>
      </c>
      <c r="N2196" s="60">
        <f t="shared" si="241"/>
        <v>2966</v>
      </c>
      <c r="O2196" s="1" t="str">
        <f t="shared" si="242"/>
        <v>26 2012</v>
      </c>
      <c r="P2196" s="1">
        <f t="shared" si="243"/>
        <v>22</v>
      </c>
      <c r="Q2196" s="1">
        <f t="shared" ca="1" si="244"/>
        <v>4045</v>
      </c>
      <c r="S2196" s="1">
        <f t="shared" si="238"/>
        <v>12763</v>
      </c>
    </row>
    <row r="2197" spans="1:19" x14ac:dyDescent="0.2">
      <c r="A2197" s="57" t="s">
        <v>233</v>
      </c>
      <c r="B2197" s="57" t="s">
        <v>237</v>
      </c>
      <c r="C2197" s="57" t="s">
        <v>238</v>
      </c>
      <c r="D2197" s="58">
        <v>165.05</v>
      </c>
      <c r="E2197" s="59">
        <v>41089</v>
      </c>
      <c r="F2197" s="58">
        <v>12763</v>
      </c>
      <c r="G2197" s="58">
        <v>2260</v>
      </c>
      <c r="H2197" s="58">
        <v>2526</v>
      </c>
      <c r="I2197" s="58">
        <v>12471</v>
      </c>
      <c r="J2197" s="58">
        <v>1</v>
      </c>
      <c r="K2197" s="1">
        <f t="shared" si="239"/>
        <v>416916.30000000005</v>
      </c>
      <c r="L2197" s="1">
        <f t="shared" si="240"/>
        <v>2526</v>
      </c>
      <c r="M2197" s="1">
        <f>VLOOKUP(B2197,'[1]Срок Годности'!$A$2:$B$4,2,0)</f>
        <v>1000</v>
      </c>
      <c r="N2197" s="60">
        <f t="shared" si="241"/>
        <v>2260</v>
      </c>
      <c r="O2197" s="1" t="str">
        <f t="shared" si="242"/>
        <v>26 2012</v>
      </c>
      <c r="P2197" s="1">
        <f t="shared" si="243"/>
        <v>22</v>
      </c>
      <c r="Q2197" s="1">
        <f t="shared" ca="1" si="244"/>
        <v>4044</v>
      </c>
      <c r="S2197" s="1">
        <f t="shared" si="238"/>
        <v>12470</v>
      </c>
    </row>
    <row r="2198" spans="1:19" x14ac:dyDescent="0.2">
      <c r="A2198" s="57" t="s">
        <v>233</v>
      </c>
      <c r="B2198" s="57" t="s">
        <v>237</v>
      </c>
      <c r="C2198" s="57" t="s">
        <v>238</v>
      </c>
      <c r="D2198" s="58">
        <v>165.05</v>
      </c>
      <c r="E2198" s="59">
        <v>41090</v>
      </c>
      <c r="F2198" s="58">
        <v>12471</v>
      </c>
      <c r="G2198" s="58">
        <v>2751</v>
      </c>
      <c r="H2198" s="58">
        <v>2641</v>
      </c>
      <c r="I2198" s="58">
        <v>12449</v>
      </c>
      <c r="J2198" s="58">
        <v>0</v>
      </c>
      <c r="K2198" s="1">
        <f t="shared" si="239"/>
        <v>435897.05000000005</v>
      </c>
      <c r="L2198" s="1">
        <f t="shared" si="240"/>
        <v>2641</v>
      </c>
      <c r="M2198" s="1">
        <f>VLOOKUP(B2198,'[1]Срок Годности'!$A$2:$B$4,2,0)</f>
        <v>1000</v>
      </c>
      <c r="N2198" s="60">
        <f t="shared" si="241"/>
        <v>2751</v>
      </c>
      <c r="O2198" s="1" t="str">
        <f t="shared" si="242"/>
        <v>26 2012</v>
      </c>
      <c r="P2198" s="1">
        <f t="shared" si="243"/>
        <v>22</v>
      </c>
      <c r="Q2198" s="1">
        <f t="shared" ca="1" si="244"/>
        <v>4043</v>
      </c>
      <c r="S2198" s="1">
        <f t="shared" si="238"/>
        <v>12449</v>
      </c>
    </row>
    <row r="2199" spans="1:19" x14ac:dyDescent="0.2">
      <c r="A2199" s="57" t="s">
        <v>233</v>
      </c>
      <c r="B2199" s="57" t="s">
        <v>237</v>
      </c>
      <c r="C2199" s="57" t="s">
        <v>238</v>
      </c>
      <c r="D2199" s="58">
        <v>165.05</v>
      </c>
      <c r="E2199" s="59">
        <v>41091</v>
      </c>
      <c r="F2199" s="58">
        <v>12449</v>
      </c>
      <c r="G2199" s="58">
        <v>2858</v>
      </c>
      <c r="H2199" s="58">
        <v>2233</v>
      </c>
      <c r="I2199" s="58">
        <v>13042</v>
      </c>
      <c r="J2199" s="58">
        <v>0</v>
      </c>
      <c r="K2199" s="1">
        <f t="shared" si="239"/>
        <v>368556.65</v>
      </c>
      <c r="L2199" s="1">
        <f t="shared" si="240"/>
        <v>2233</v>
      </c>
      <c r="M2199" s="1">
        <f>VLOOKUP(B2199,'[1]Срок Годности'!$A$2:$B$4,2,0)</f>
        <v>1000</v>
      </c>
      <c r="N2199" s="60">
        <f t="shared" si="241"/>
        <v>0</v>
      </c>
      <c r="O2199" s="1" t="str">
        <f t="shared" si="242"/>
        <v>27 2012</v>
      </c>
      <c r="P2199" s="1">
        <f t="shared" si="243"/>
        <v>22</v>
      </c>
      <c r="Q2199" s="1">
        <f t="shared" ca="1" si="244"/>
        <v>4042</v>
      </c>
      <c r="S2199" s="1">
        <f t="shared" si="238"/>
        <v>13042</v>
      </c>
    </row>
    <row r="2200" spans="1:19" x14ac:dyDescent="0.2">
      <c r="A2200" s="57" t="s">
        <v>233</v>
      </c>
      <c r="B2200" s="57" t="s">
        <v>237</v>
      </c>
      <c r="C2200" s="57" t="s">
        <v>238</v>
      </c>
      <c r="D2200" s="58">
        <v>165.05</v>
      </c>
      <c r="E2200" s="59">
        <v>41092</v>
      </c>
      <c r="F2200" s="58">
        <v>13042</v>
      </c>
      <c r="G2200" s="58">
        <v>351</v>
      </c>
      <c r="H2200" s="58">
        <v>2210</v>
      </c>
      <c r="I2200" s="58">
        <v>11115</v>
      </c>
      <c r="J2200" s="58">
        <v>0</v>
      </c>
      <c r="K2200" s="1">
        <f t="shared" si="239"/>
        <v>364760.5</v>
      </c>
      <c r="L2200" s="1">
        <f t="shared" si="240"/>
        <v>2210</v>
      </c>
      <c r="M2200" s="1">
        <f>VLOOKUP(B2200,'[1]Срок Годности'!$A$2:$B$4,2,0)</f>
        <v>1000</v>
      </c>
      <c r="N2200" s="60">
        <f t="shared" si="241"/>
        <v>351</v>
      </c>
      <c r="O2200" s="1" t="str">
        <f t="shared" si="242"/>
        <v>27 2012</v>
      </c>
      <c r="P2200" s="1">
        <f t="shared" si="243"/>
        <v>22</v>
      </c>
      <c r="Q2200" s="1">
        <f t="shared" ca="1" si="244"/>
        <v>4041</v>
      </c>
      <c r="S2200" s="1">
        <f t="shared" si="238"/>
        <v>11115</v>
      </c>
    </row>
    <row r="2201" spans="1:19" x14ac:dyDescent="0.2">
      <c r="A2201" s="57" t="s">
        <v>233</v>
      </c>
      <c r="B2201" s="57" t="s">
        <v>237</v>
      </c>
      <c r="C2201" s="57" t="s">
        <v>238</v>
      </c>
      <c r="D2201" s="58">
        <v>165.05</v>
      </c>
      <c r="E2201" s="59">
        <v>41093</v>
      </c>
      <c r="F2201" s="58">
        <v>11115</v>
      </c>
      <c r="G2201" s="58">
        <v>-3</v>
      </c>
      <c r="H2201" s="58">
        <v>1960</v>
      </c>
      <c r="I2201" s="58">
        <v>9137</v>
      </c>
      <c r="J2201" s="58">
        <v>0</v>
      </c>
      <c r="K2201" s="1">
        <f t="shared" si="239"/>
        <v>323498</v>
      </c>
      <c r="L2201" s="1">
        <f t="shared" si="240"/>
        <v>1960</v>
      </c>
      <c r="M2201" s="1">
        <f>VLOOKUP(B2201,'[1]Срок Годности'!$A$2:$B$4,2,0)</f>
        <v>1000</v>
      </c>
      <c r="N2201" s="60">
        <f t="shared" si="241"/>
        <v>-3</v>
      </c>
      <c r="O2201" s="1" t="str">
        <f t="shared" si="242"/>
        <v>27 2012</v>
      </c>
      <c r="P2201" s="1">
        <f t="shared" si="243"/>
        <v>22</v>
      </c>
      <c r="Q2201" s="1">
        <f t="shared" ca="1" si="244"/>
        <v>4040</v>
      </c>
      <c r="S2201" s="1">
        <f t="shared" si="238"/>
        <v>9137</v>
      </c>
    </row>
    <row r="2202" spans="1:19" x14ac:dyDescent="0.2">
      <c r="A2202" s="57" t="s">
        <v>233</v>
      </c>
      <c r="B2202" s="57" t="s">
        <v>237</v>
      </c>
      <c r="C2202" s="57" t="s">
        <v>238</v>
      </c>
      <c r="D2202" s="58">
        <v>165.05</v>
      </c>
      <c r="E2202" s="59">
        <v>41094</v>
      </c>
      <c r="F2202" s="58">
        <v>9137</v>
      </c>
      <c r="G2202" s="58">
        <v>3279</v>
      </c>
      <c r="H2202" s="58">
        <v>1574</v>
      </c>
      <c r="I2202" s="58">
        <v>10731</v>
      </c>
      <c r="J2202" s="58">
        <v>0</v>
      </c>
      <c r="K2202" s="1">
        <f t="shared" si="239"/>
        <v>259788.7</v>
      </c>
      <c r="L2202" s="1">
        <f t="shared" si="240"/>
        <v>1574</v>
      </c>
      <c r="M2202" s="1">
        <f>VLOOKUP(B2202,'[1]Срок Годности'!$A$2:$B$4,2,0)</f>
        <v>1000</v>
      </c>
      <c r="N2202" s="60">
        <f t="shared" si="241"/>
        <v>3279</v>
      </c>
      <c r="O2202" s="1" t="str">
        <f t="shared" si="242"/>
        <v>27 2012</v>
      </c>
      <c r="P2202" s="1">
        <f t="shared" si="243"/>
        <v>22</v>
      </c>
      <c r="Q2202" s="1">
        <f t="shared" ca="1" si="244"/>
        <v>4039</v>
      </c>
      <c r="S2202" s="1">
        <f t="shared" si="238"/>
        <v>10731</v>
      </c>
    </row>
    <row r="2203" spans="1:19" x14ac:dyDescent="0.2">
      <c r="A2203" s="57" t="s">
        <v>233</v>
      </c>
      <c r="B2203" s="57" t="s">
        <v>237</v>
      </c>
      <c r="C2203" s="57" t="s">
        <v>238</v>
      </c>
      <c r="D2203" s="58">
        <v>165.05</v>
      </c>
      <c r="E2203" s="59">
        <v>41095</v>
      </c>
      <c r="F2203" s="58">
        <v>10731</v>
      </c>
      <c r="G2203" s="58">
        <v>3356</v>
      </c>
      <c r="H2203" s="58">
        <v>1888</v>
      </c>
      <c r="I2203" s="58">
        <v>12149</v>
      </c>
      <c r="J2203" s="58">
        <v>0</v>
      </c>
      <c r="K2203" s="1">
        <f t="shared" si="239"/>
        <v>311614.40000000002</v>
      </c>
      <c r="L2203" s="1">
        <f t="shared" si="240"/>
        <v>1888</v>
      </c>
      <c r="M2203" s="1">
        <f>VLOOKUP(B2203,'[1]Срок Годности'!$A$2:$B$4,2,0)</f>
        <v>1000</v>
      </c>
      <c r="N2203" s="60">
        <f t="shared" si="241"/>
        <v>3356</v>
      </c>
      <c r="O2203" s="1" t="str">
        <f t="shared" si="242"/>
        <v>27 2012</v>
      </c>
      <c r="P2203" s="1">
        <f t="shared" si="243"/>
        <v>22</v>
      </c>
      <c r="Q2203" s="1">
        <f t="shared" ca="1" si="244"/>
        <v>4038</v>
      </c>
      <c r="S2203" s="1">
        <f t="shared" si="238"/>
        <v>12149</v>
      </c>
    </row>
    <row r="2204" spans="1:19" x14ac:dyDescent="0.2">
      <c r="A2204" s="57" t="s">
        <v>233</v>
      </c>
      <c r="B2204" s="57" t="s">
        <v>237</v>
      </c>
      <c r="C2204" s="57" t="s">
        <v>238</v>
      </c>
      <c r="D2204" s="58">
        <v>165.05</v>
      </c>
      <c r="E2204" s="59">
        <v>41096</v>
      </c>
      <c r="F2204" s="58">
        <v>12149</v>
      </c>
      <c r="G2204" s="58">
        <v>2709</v>
      </c>
      <c r="H2204" s="58">
        <v>2053</v>
      </c>
      <c r="I2204" s="58">
        <v>12728</v>
      </c>
      <c r="J2204" s="58">
        <v>0</v>
      </c>
      <c r="K2204" s="1">
        <f t="shared" si="239"/>
        <v>338847.65</v>
      </c>
      <c r="L2204" s="1">
        <f t="shared" si="240"/>
        <v>2053</v>
      </c>
      <c r="M2204" s="1">
        <f>VLOOKUP(B2204,'[1]Срок Годности'!$A$2:$B$4,2,0)</f>
        <v>1000</v>
      </c>
      <c r="N2204" s="60">
        <f t="shared" si="241"/>
        <v>2709</v>
      </c>
      <c r="O2204" s="1" t="str">
        <f t="shared" si="242"/>
        <v>27 2012</v>
      </c>
      <c r="P2204" s="1">
        <f t="shared" si="243"/>
        <v>22</v>
      </c>
      <c r="Q2204" s="1">
        <f t="shared" ca="1" si="244"/>
        <v>4037</v>
      </c>
      <c r="S2204" s="1">
        <f t="shared" si="238"/>
        <v>12728</v>
      </c>
    </row>
    <row r="2205" spans="1:19" x14ac:dyDescent="0.2">
      <c r="A2205" s="57" t="s">
        <v>233</v>
      </c>
      <c r="B2205" s="57" t="s">
        <v>237</v>
      </c>
      <c r="C2205" s="57" t="s">
        <v>238</v>
      </c>
      <c r="D2205" s="58">
        <v>165.05</v>
      </c>
      <c r="E2205" s="59">
        <v>41097</v>
      </c>
      <c r="F2205" s="58">
        <v>12728</v>
      </c>
      <c r="G2205" s="58">
        <v>2421</v>
      </c>
      <c r="H2205" s="58">
        <v>2466</v>
      </c>
      <c r="I2205" s="58">
        <v>12613</v>
      </c>
      <c r="J2205" s="58">
        <v>0</v>
      </c>
      <c r="K2205" s="1">
        <f t="shared" si="239"/>
        <v>407013.30000000005</v>
      </c>
      <c r="L2205" s="1">
        <f t="shared" si="240"/>
        <v>2466</v>
      </c>
      <c r="M2205" s="1">
        <f>VLOOKUP(B2205,'[1]Срок Годности'!$A$2:$B$4,2,0)</f>
        <v>1000</v>
      </c>
      <c r="N2205" s="60">
        <f t="shared" si="241"/>
        <v>2421</v>
      </c>
      <c r="O2205" s="1" t="str">
        <f t="shared" si="242"/>
        <v>27 2012</v>
      </c>
      <c r="P2205" s="1">
        <f t="shared" si="243"/>
        <v>22</v>
      </c>
      <c r="Q2205" s="1">
        <f t="shared" ca="1" si="244"/>
        <v>4036</v>
      </c>
      <c r="S2205" s="1">
        <f t="shared" si="238"/>
        <v>12613</v>
      </c>
    </row>
    <row r="2206" spans="1:19" x14ac:dyDescent="0.2">
      <c r="A2206" s="57" t="s">
        <v>233</v>
      </c>
      <c r="B2206" s="57" t="s">
        <v>237</v>
      </c>
      <c r="C2206" s="57" t="s">
        <v>238</v>
      </c>
      <c r="D2206" s="58">
        <v>165.05</v>
      </c>
      <c r="E2206" s="59">
        <v>41098</v>
      </c>
      <c r="F2206" s="58">
        <v>12613</v>
      </c>
      <c r="G2206" s="58">
        <v>2177</v>
      </c>
      <c r="H2206" s="58">
        <v>2908</v>
      </c>
      <c r="I2206" s="58">
        <v>11811</v>
      </c>
      <c r="J2206" s="58">
        <v>0</v>
      </c>
      <c r="K2206" s="1">
        <f t="shared" si="239"/>
        <v>479965.4</v>
      </c>
      <c r="L2206" s="1">
        <f t="shared" si="240"/>
        <v>2908</v>
      </c>
      <c r="M2206" s="1">
        <f>VLOOKUP(B2206,'[1]Срок Годности'!$A$2:$B$4,2,0)</f>
        <v>1000</v>
      </c>
      <c r="N2206" s="60">
        <f t="shared" si="241"/>
        <v>0</v>
      </c>
      <c r="O2206" s="1" t="str">
        <f t="shared" si="242"/>
        <v>28 2012</v>
      </c>
      <c r="P2206" s="1">
        <f t="shared" si="243"/>
        <v>22</v>
      </c>
      <c r="Q2206" s="1">
        <f t="shared" ca="1" si="244"/>
        <v>4035</v>
      </c>
      <c r="S2206" s="1">
        <f t="shared" si="238"/>
        <v>11811</v>
      </c>
    </row>
    <row r="2207" spans="1:19" x14ac:dyDescent="0.2">
      <c r="A2207" s="57" t="s">
        <v>233</v>
      </c>
      <c r="B2207" s="57" t="s">
        <v>237</v>
      </c>
      <c r="C2207" s="57" t="s">
        <v>238</v>
      </c>
      <c r="D2207" s="58">
        <v>165.05</v>
      </c>
      <c r="E2207" s="59">
        <v>41099</v>
      </c>
      <c r="F2207" s="58">
        <v>11811</v>
      </c>
      <c r="G2207" s="58">
        <v>2049</v>
      </c>
      <c r="H2207" s="58">
        <v>2801</v>
      </c>
      <c r="I2207" s="58">
        <v>10808</v>
      </c>
      <c r="J2207" s="58">
        <v>0</v>
      </c>
      <c r="K2207" s="1">
        <f t="shared" si="239"/>
        <v>462305.05000000005</v>
      </c>
      <c r="L2207" s="1">
        <f t="shared" si="240"/>
        <v>2801</v>
      </c>
      <c r="M2207" s="1">
        <f>VLOOKUP(B2207,'[1]Срок Годности'!$A$2:$B$4,2,0)</f>
        <v>1000</v>
      </c>
      <c r="N2207" s="60">
        <f t="shared" si="241"/>
        <v>2049</v>
      </c>
      <c r="O2207" s="1" t="str">
        <f t="shared" si="242"/>
        <v>28 2012</v>
      </c>
      <c r="P2207" s="1">
        <f t="shared" si="243"/>
        <v>22</v>
      </c>
      <c r="Q2207" s="1">
        <f t="shared" ca="1" si="244"/>
        <v>4034</v>
      </c>
      <c r="S2207" s="1">
        <f t="shared" si="238"/>
        <v>10808</v>
      </c>
    </row>
    <row r="2208" spans="1:19" x14ac:dyDescent="0.2">
      <c r="A2208" s="57" t="s">
        <v>233</v>
      </c>
      <c r="B2208" s="57" t="s">
        <v>237</v>
      </c>
      <c r="C2208" s="57" t="s">
        <v>238</v>
      </c>
      <c r="D2208" s="58">
        <v>165.05</v>
      </c>
      <c r="E2208" s="59">
        <v>41100</v>
      </c>
      <c r="F2208" s="58">
        <v>10808</v>
      </c>
      <c r="G2208" s="58">
        <v>3349</v>
      </c>
      <c r="H2208" s="58">
        <v>2616</v>
      </c>
      <c r="I2208" s="58">
        <v>11386</v>
      </c>
      <c r="J2208" s="58">
        <v>0</v>
      </c>
      <c r="K2208" s="1">
        <f t="shared" si="239"/>
        <v>431770.80000000005</v>
      </c>
      <c r="L2208" s="1">
        <f t="shared" si="240"/>
        <v>2616</v>
      </c>
      <c r="M2208" s="1">
        <f>VLOOKUP(B2208,'[1]Срок Годности'!$A$2:$B$4,2,0)</f>
        <v>1000</v>
      </c>
      <c r="N2208" s="60">
        <f t="shared" si="241"/>
        <v>3349</v>
      </c>
      <c r="O2208" s="1" t="str">
        <f t="shared" si="242"/>
        <v>28 2012</v>
      </c>
      <c r="P2208" s="1">
        <f t="shared" si="243"/>
        <v>22</v>
      </c>
      <c r="Q2208" s="1">
        <f t="shared" ca="1" si="244"/>
        <v>4033</v>
      </c>
      <c r="S2208" s="1">
        <f t="shared" si="238"/>
        <v>11386</v>
      </c>
    </row>
    <row r="2209" spans="1:19" x14ac:dyDescent="0.2">
      <c r="A2209" s="57" t="s">
        <v>233</v>
      </c>
      <c r="B2209" s="57" t="s">
        <v>237</v>
      </c>
      <c r="C2209" s="57" t="s">
        <v>238</v>
      </c>
      <c r="D2209" s="58">
        <v>165.05</v>
      </c>
      <c r="E2209" s="59">
        <v>41101</v>
      </c>
      <c r="F2209" s="58">
        <v>11386</v>
      </c>
      <c r="G2209" s="58">
        <v>1748</v>
      </c>
      <c r="H2209" s="58">
        <v>2571</v>
      </c>
      <c r="I2209" s="58">
        <v>10474</v>
      </c>
      <c r="J2209" s="58">
        <v>0</v>
      </c>
      <c r="K2209" s="1">
        <f t="shared" si="239"/>
        <v>424343.55000000005</v>
      </c>
      <c r="L2209" s="1">
        <f t="shared" si="240"/>
        <v>2571</v>
      </c>
      <c r="M2209" s="1">
        <f>VLOOKUP(B2209,'[1]Срок Годности'!$A$2:$B$4,2,0)</f>
        <v>1000</v>
      </c>
      <c r="N2209" s="60">
        <f t="shared" si="241"/>
        <v>1748</v>
      </c>
      <c r="O2209" s="1" t="str">
        <f t="shared" si="242"/>
        <v>28 2012</v>
      </c>
      <c r="P2209" s="1">
        <f t="shared" si="243"/>
        <v>22</v>
      </c>
      <c r="Q2209" s="1">
        <f t="shared" ca="1" si="244"/>
        <v>4032</v>
      </c>
      <c r="S2209" s="1">
        <f t="shared" si="238"/>
        <v>10474</v>
      </c>
    </row>
    <row r="2210" spans="1:19" x14ac:dyDescent="0.2">
      <c r="A2210" s="57" t="s">
        <v>233</v>
      </c>
      <c r="B2210" s="57" t="s">
        <v>237</v>
      </c>
      <c r="C2210" s="57" t="s">
        <v>238</v>
      </c>
      <c r="D2210" s="58">
        <v>165.05</v>
      </c>
      <c r="E2210" s="59">
        <v>41102</v>
      </c>
      <c r="F2210" s="58">
        <v>10474</v>
      </c>
      <c r="G2210" s="58">
        <v>90</v>
      </c>
      <c r="H2210" s="58">
        <v>2444</v>
      </c>
      <c r="I2210" s="58">
        <v>7963</v>
      </c>
      <c r="J2210" s="58">
        <v>0</v>
      </c>
      <c r="K2210" s="1">
        <f t="shared" si="239"/>
        <v>403382.2</v>
      </c>
      <c r="L2210" s="1">
        <f t="shared" si="240"/>
        <v>2444</v>
      </c>
      <c r="M2210" s="1">
        <f>VLOOKUP(B2210,'[1]Срок Годности'!$A$2:$B$4,2,0)</f>
        <v>1000</v>
      </c>
      <c r="N2210" s="60">
        <f t="shared" si="241"/>
        <v>90</v>
      </c>
      <c r="O2210" s="1" t="str">
        <f t="shared" si="242"/>
        <v>28 2012</v>
      </c>
      <c r="P2210" s="1">
        <f t="shared" si="243"/>
        <v>22</v>
      </c>
      <c r="Q2210" s="1">
        <f t="shared" ca="1" si="244"/>
        <v>4031</v>
      </c>
      <c r="S2210" s="1">
        <f t="shared" si="238"/>
        <v>7963</v>
      </c>
    </row>
    <row r="2211" spans="1:19" x14ac:dyDescent="0.2">
      <c r="A2211" s="57" t="s">
        <v>233</v>
      </c>
      <c r="B2211" s="57" t="s">
        <v>237</v>
      </c>
      <c r="C2211" s="57" t="s">
        <v>238</v>
      </c>
      <c r="D2211" s="58">
        <v>165.05</v>
      </c>
      <c r="E2211" s="59">
        <v>41103</v>
      </c>
      <c r="F2211" s="58">
        <v>7963</v>
      </c>
      <c r="G2211" s="58">
        <v>3888</v>
      </c>
      <c r="H2211" s="58">
        <v>2157</v>
      </c>
      <c r="I2211" s="58">
        <v>9541</v>
      </c>
      <c r="J2211" s="58">
        <v>0</v>
      </c>
      <c r="K2211" s="1">
        <f t="shared" si="239"/>
        <v>356012.85000000003</v>
      </c>
      <c r="L2211" s="1">
        <f t="shared" si="240"/>
        <v>2157</v>
      </c>
      <c r="M2211" s="1">
        <f>VLOOKUP(B2211,'[1]Срок Годности'!$A$2:$B$4,2,0)</f>
        <v>1000</v>
      </c>
      <c r="N2211" s="60">
        <f t="shared" si="241"/>
        <v>3888</v>
      </c>
      <c r="O2211" s="1" t="str">
        <f t="shared" si="242"/>
        <v>28 2012</v>
      </c>
      <c r="P2211" s="1">
        <f t="shared" si="243"/>
        <v>22</v>
      </c>
      <c r="Q2211" s="1">
        <f t="shared" ca="1" si="244"/>
        <v>4030</v>
      </c>
      <c r="S2211" s="1">
        <f t="shared" si="238"/>
        <v>9541</v>
      </c>
    </row>
    <row r="2212" spans="1:19" x14ac:dyDescent="0.2">
      <c r="A2212" s="57" t="s">
        <v>233</v>
      </c>
      <c r="B2212" s="57" t="s">
        <v>237</v>
      </c>
      <c r="C2212" s="57" t="s">
        <v>238</v>
      </c>
      <c r="D2212" s="58">
        <v>165.05</v>
      </c>
      <c r="E2212" s="59">
        <v>41104</v>
      </c>
      <c r="F2212" s="58">
        <v>9541</v>
      </c>
      <c r="G2212" s="58">
        <v>3910</v>
      </c>
      <c r="H2212" s="58">
        <v>2210</v>
      </c>
      <c r="I2212" s="58">
        <v>11181</v>
      </c>
      <c r="J2212" s="58">
        <v>0</v>
      </c>
      <c r="K2212" s="1">
        <f t="shared" si="239"/>
        <v>364760.5</v>
      </c>
      <c r="L2212" s="1">
        <f t="shared" si="240"/>
        <v>2210</v>
      </c>
      <c r="M2212" s="1">
        <f>VLOOKUP(B2212,'[1]Срок Годности'!$A$2:$B$4,2,0)</f>
        <v>1000</v>
      </c>
      <c r="N2212" s="60">
        <f t="shared" si="241"/>
        <v>3910</v>
      </c>
      <c r="O2212" s="1" t="str">
        <f t="shared" si="242"/>
        <v>28 2012</v>
      </c>
      <c r="P2212" s="1">
        <f t="shared" si="243"/>
        <v>22</v>
      </c>
      <c r="Q2212" s="1">
        <f t="shared" ca="1" si="244"/>
        <v>4029</v>
      </c>
      <c r="S2212" s="1">
        <f t="shared" si="238"/>
        <v>11181</v>
      </c>
    </row>
    <row r="2213" spans="1:19" x14ac:dyDescent="0.2">
      <c r="A2213" s="57" t="s">
        <v>233</v>
      </c>
      <c r="B2213" s="57" t="s">
        <v>237</v>
      </c>
      <c r="C2213" s="57" t="s">
        <v>238</v>
      </c>
      <c r="D2213" s="58">
        <v>165.05</v>
      </c>
      <c r="E2213" s="59">
        <v>41105</v>
      </c>
      <c r="F2213" s="58">
        <v>11181</v>
      </c>
      <c r="G2213" s="58">
        <v>1768</v>
      </c>
      <c r="H2213" s="58">
        <v>2948</v>
      </c>
      <c r="I2213" s="58">
        <v>9931</v>
      </c>
      <c r="J2213" s="58">
        <v>0</v>
      </c>
      <c r="K2213" s="1">
        <f t="shared" si="239"/>
        <v>486567.4</v>
      </c>
      <c r="L2213" s="1">
        <f t="shared" si="240"/>
        <v>2948</v>
      </c>
      <c r="M2213" s="1">
        <f>VLOOKUP(B2213,'[1]Срок Годности'!$A$2:$B$4,2,0)</f>
        <v>1000</v>
      </c>
      <c r="N2213" s="60">
        <f t="shared" si="241"/>
        <v>0</v>
      </c>
      <c r="O2213" s="1" t="str">
        <f t="shared" si="242"/>
        <v>29 2012</v>
      </c>
      <c r="P2213" s="1">
        <f t="shared" si="243"/>
        <v>22</v>
      </c>
      <c r="Q2213" s="1">
        <f t="shared" ca="1" si="244"/>
        <v>4028</v>
      </c>
      <c r="S2213" s="1">
        <f t="shared" si="238"/>
        <v>9931</v>
      </c>
    </row>
    <row r="2214" spans="1:19" x14ac:dyDescent="0.2">
      <c r="A2214" s="57" t="s">
        <v>233</v>
      </c>
      <c r="B2214" s="57" t="s">
        <v>237</v>
      </c>
      <c r="C2214" s="57" t="s">
        <v>238</v>
      </c>
      <c r="D2214" s="58">
        <v>165.05</v>
      </c>
      <c r="E2214" s="59">
        <v>41106</v>
      </c>
      <c r="F2214" s="58">
        <v>9931</v>
      </c>
      <c r="G2214" s="58">
        <v>-5</v>
      </c>
      <c r="H2214" s="58">
        <v>2714</v>
      </c>
      <c r="I2214" s="58">
        <v>7190</v>
      </c>
      <c r="J2214" s="58">
        <v>0</v>
      </c>
      <c r="K2214" s="1">
        <f t="shared" si="239"/>
        <v>447945.7</v>
      </c>
      <c r="L2214" s="1">
        <f t="shared" si="240"/>
        <v>2714</v>
      </c>
      <c r="M2214" s="1">
        <f>VLOOKUP(B2214,'[1]Срок Годности'!$A$2:$B$4,2,0)</f>
        <v>1000</v>
      </c>
      <c r="N2214" s="60">
        <f t="shared" si="241"/>
        <v>-5</v>
      </c>
      <c r="O2214" s="1" t="str">
        <f t="shared" si="242"/>
        <v>29 2012</v>
      </c>
      <c r="P2214" s="1">
        <f t="shared" si="243"/>
        <v>22</v>
      </c>
      <c r="Q2214" s="1">
        <f t="shared" ca="1" si="244"/>
        <v>4027</v>
      </c>
      <c r="S2214" s="1">
        <f t="shared" si="238"/>
        <v>7190</v>
      </c>
    </row>
    <row r="2215" spans="1:19" x14ac:dyDescent="0.2">
      <c r="A2215" s="57" t="s">
        <v>233</v>
      </c>
      <c r="B2215" s="57" t="s">
        <v>237</v>
      </c>
      <c r="C2215" s="57" t="s">
        <v>238</v>
      </c>
      <c r="D2215" s="58">
        <v>165.05</v>
      </c>
      <c r="E2215" s="59">
        <v>41107</v>
      </c>
      <c r="F2215" s="58">
        <v>7190</v>
      </c>
      <c r="G2215" s="58">
        <v>115</v>
      </c>
      <c r="H2215" s="58">
        <v>1751</v>
      </c>
      <c r="I2215" s="58">
        <v>5468</v>
      </c>
      <c r="J2215" s="58">
        <v>0</v>
      </c>
      <c r="K2215" s="1">
        <f t="shared" si="239"/>
        <v>289002.55000000005</v>
      </c>
      <c r="L2215" s="1">
        <f t="shared" si="240"/>
        <v>1751</v>
      </c>
      <c r="M2215" s="1">
        <f>VLOOKUP(B2215,'[1]Срок Годности'!$A$2:$B$4,2,0)</f>
        <v>1000</v>
      </c>
      <c r="N2215" s="60">
        <f t="shared" si="241"/>
        <v>115</v>
      </c>
      <c r="O2215" s="1" t="str">
        <f t="shared" si="242"/>
        <v>29 2012</v>
      </c>
      <c r="P2215" s="1">
        <f t="shared" si="243"/>
        <v>22</v>
      </c>
      <c r="Q2215" s="1">
        <f t="shared" ca="1" si="244"/>
        <v>4026</v>
      </c>
      <c r="S2215" s="1">
        <f t="shared" si="238"/>
        <v>5468</v>
      </c>
    </row>
    <row r="2216" spans="1:19" x14ac:dyDescent="0.2">
      <c r="A2216" s="57" t="s">
        <v>240</v>
      </c>
      <c r="B2216" s="57" t="s">
        <v>225</v>
      </c>
      <c r="C2216" s="57" t="s">
        <v>226</v>
      </c>
      <c r="D2216" s="58">
        <v>317.08</v>
      </c>
      <c r="E2216" s="59">
        <v>41061</v>
      </c>
      <c r="F2216" s="58">
        <v>3156</v>
      </c>
      <c r="G2216" s="58">
        <v>405</v>
      </c>
      <c r="H2216" s="58">
        <v>510</v>
      </c>
      <c r="I2216" s="58">
        <v>3041</v>
      </c>
      <c r="J2216" s="58">
        <v>0</v>
      </c>
      <c r="K2216" s="1">
        <f t="shared" si="239"/>
        <v>161710.79999999999</v>
      </c>
      <c r="L2216" s="1" t="str">
        <f t="shared" si="240"/>
        <v/>
      </c>
      <c r="M2216" s="1">
        <f>VLOOKUP(B2216,'[1]Срок Годности'!$A$2:$B$4,2,0)</f>
        <v>500</v>
      </c>
      <c r="N2216" s="60">
        <f t="shared" si="241"/>
        <v>405</v>
      </c>
      <c r="O2216" s="1" t="str">
        <f t="shared" si="242"/>
        <v>22 2012</v>
      </c>
      <c r="P2216" s="1">
        <f t="shared" si="243"/>
        <v>23</v>
      </c>
      <c r="Q2216" s="1">
        <f t="shared" ca="1" si="244"/>
        <v>4072</v>
      </c>
      <c r="S2216" s="1">
        <f t="shared" si="238"/>
        <v>3041</v>
      </c>
    </row>
    <row r="2217" spans="1:19" x14ac:dyDescent="0.2">
      <c r="A2217" s="57" t="s">
        <v>240</v>
      </c>
      <c r="B2217" s="57" t="s">
        <v>225</v>
      </c>
      <c r="C2217" s="57" t="s">
        <v>226</v>
      </c>
      <c r="D2217" s="58">
        <v>317.08</v>
      </c>
      <c r="E2217" s="59">
        <v>41062</v>
      </c>
      <c r="F2217" s="58">
        <v>3041</v>
      </c>
      <c r="G2217" s="58">
        <v>343</v>
      </c>
      <c r="H2217" s="58">
        <v>654</v>
      </c>
      <c r="I2217" s="58">
        <v>2716</v>
      </c>
      <c r="J2217" s="58">
        <v>0</v>
      </c>
      <c r="K2217" s="1">
        <f t="shared" si="239"/>
        <v>207370.31999999998</v>
      </c>
      <c r="L2217" s="1" t="str">
        <f t="shared" si="240"/>
        <v/>
      </c>
      <c r="M2217" s="1">
        <f>VLOOKUP(B2217,'[1]Срок Годности'!$A$2:$B$4,2,0)</f>
        <v>500</v>
      </c>
      <c r="N2217" s="60">
        <f t="shared" si="241"/>
        <v>343</v>
      </c>
      <c r="O2217" s="1" t="str">
        <f t="shared" si="242"/>
        <v>22 2012</v>
      </c>
      <c r="P2217" s="1">
        <f t="shared" si="243"/>
        <v>23</v>
      </c>
      <c r="Q2217" s="1">
        <f t="shared" ca="1" si="244"/>
        <v>4071</v>
      </c>
      <c r="S2217" s="1">
        <f t="shared" si="238"/>
        <v>2716</v>
      </c>
    </row>
    <row r="2218" spans="1:19" x14ac:dyDescent="0.2">
      <c r="A2218" s="57" t="s">
        <v>240</v>
      </c>
      <c r="B2218" s="57" t="s">
        <v>225</v>
      </c>
      <c r="C2218" s="57" t="s">
        <v>226</v>
      </c>
      <c r="D2218" s="58">
        <v>317.08</v>
      </c>
      <c r="E2218" s="59">
        <v>41063</v>
      </c>
      <c r="F2218" s="58">
        <v>2716</v>
      </c>
      <c r="G2218" s="58">
        <v>655</v>
      </c>
      <c r="H2218" s="58">
        <v>746</v>
      </c>
      <c r="I2218" s="58">
        <v>2623</v>
      </c>
      <c r="J2218" s="58">
        <v>0</v>
      </c>
      <c r="K2218" s="1">
        <f t="shared" si="239"/>
        <v>236541.68</v>
      </c>
      <c r="L2218" s="1" t="str">
        <f t="shared" si="240"/>
        <v/>
      </c>
      <c r="M2218" s="1">
        <f>VLOOKUP(B2218,'[1]Срок Годности'!$A$2:$B$4,2,0)</f>
        <v>500</v>
      </c>
      <c r="N2218" s="60">
        <f t="shared" si="241"/>
        <v>0</v>
      </c>
      <c r="O2218" s="1" t="str">
        <f t="shared" si="242"/>
        <v>23 2012</v>
      </c>
      <c r="P2218" s="1">
        <f t="shared" si="243"/>
        <v>23</v>
      </c>
      <c r="Q2218" s="1">
        <f t="shared" ca="1" si="244"/>
        <v>4070</v>
      </c>
      <c r="S2218" s="1">
        <f t="shared" si="238"/>
        <v>2623</v>
      </c>
    </row>
    <row r="2219" spans="1:19" x14ac:dyDescent="0.2">
      <c r="A2219" s="57" t="s">
        <v>240</v>
      </c>
      <c r="B2219" s="57" t="s">
        <v>225</v>
      </c>
      <c r="C2219" s="57" t="s">
        <v>226</v>
      </c>
      <c r="D2219" s="58">
        <v>317.08</v>
      </c>
      <c r="E2219" s="59">
        <v>41064</v>
      </c>
      <c r="F2219" s="58">
        <v>2623</v>
      </c>
      <c r="G2219" s="58">
        <v>703</v>
      </c>
      <c r="H2219" s="58">
        <v>649</v>
      </c>
      <c r="I2219" s="58">
        <v>2662</v>
      </c>
      <c r="J2219" s="58">
        <v>0</v>
      </c>
      <c r="K2219" s="1">
        <f t="shared" si="239"/>
        <v>205784.91999999998</v>
      </c>
      <c r="L2219" s="1" t="str">
        <f t="shared" si="240"/>
        <v/>
      </c>
      <c r="M2219" s="1">
        <f>VLOOKUP(B2219,'[1]Срок Годности'!$A$2:$B$4,2,0)</f>
        <v>500</v>
      </c>
      <c r="N2219" s="60">
        <f t="shared" si="241"/>
        <v>703</v>
      </c>
      <c r="O2219" s="1" t="str">
        <f t="shared" si="242"/>
        <v>23 2012</v>
      </c>
      <c r="P2219" s="1">
        <f t="shared" si="243"/>
        <v>23</v>
      </c>
      <c r="Q2219" s="1">
        <f t="shared" ca="1" si="244"/>
        <v>4069</v>
      </c>
      <c r="S2219" s="1">
        <f t="shared" si="238"/>
        <v>2662</v>
      </c>
    </row>
    <row r="2220" spans="1:19" x14ac:dyDescent="0.2">
      <c r="A2220" s="57" t="s">
        <v>240</v>
      </c>
      <c r="B2220" s="57" t="s">
        <v>225</v>
      </c>
      <c r="C2220" s="57" t="s">
        <v>226</v>
      </c>
      <c r="D2220" s="58">
        <v>317.08</v>
      </c>
      <c r="E2220" s="59">
        <v>41065</v>
      </c>
      <c r="F2220" s="58">
        <v>2662</v>
      </c>
      <c r="G2220" s="58">
        <v>1081</v>
      </c>
      <c r="H2220" s="58">
        <v>744</v>
      </c>
      <c r="I2220" s="58">
        <v>2990</v>
      </c>
      <c r="J2220" s="58">
        <v>0</v>
      </c>
      <c r="K2220" s="1">
        <f t="shared" si="239"/>
        <v>235907.52</v>
      </c>
      <c r="L2220" s="1" t="str">
        <f t="shared" si="240"/>
        <v/>
      </c>
      <c r="M2220" s="1">
        <f>VLOOKUP(B2220,'[1]Срок Годности'!$A$2:$B$4,2,0)</f>
        <v>500</v>
      </c>
      <c r="N2220" s="60">
        <f t="shared" si="241"/>
        <v>1081</v>
      </c>
      <c r="O2220" s="1" t="str">
        <f t="shared" si="242"/>
        <v>23 2012</v>
      </c>
      <c r="P2220" s="1">
        <f t="shared" si="243"/>
        <v>23</v>
      </c>
      <c r="Q2220" s="1">
        <f t="shared" ca="1" si="244"/>
        <v>4068</v>
      </c>
      <c r="S2220" s="1">
        <f t="shared" si="238"/>
        <v>2990</v>
      </c>
    </row>
    <row r="2221" spans="1:19" x14ac:dyDescent="0.2">
      <c r="A2221" s="57" t="s">
        <v>240</v>
      </c>
      <c r="B2221" s="57" t="s">
        <v>225</v>
      </c>
      <c r="C2221" s="57" t="s">
        <v>226</v>
      </c>
      <c r="D2221" s="58">
        <v>317.08</v>
      </c>
      <c r="E2221" s="59">
        <v>41066</v>
      </c>
      <c r="F2221" s="58">
        <v>2990</v>
      </c>
      <c r="G2221" s="58">
        <v>871</v>
      </c>
      <c r="H2221" s="58">
        <v>1005</v>
      </c>
      <c r="I2221" s="58">
        <v>2833</v>
      </c>
      <c r="J2221" s="58">
        <v>0</v>
      </c>
      <c r="K2221" s="1">
        <f t="shared" si="239"/>
        <v>318665.39999999997</v>
      </c>
      <c r="L2221" s="1">
        <f t="shared" si="240"/>
        <v>1005</v>
      </c>
      <c r="M2221" s="1">
        <f>VLOOKUP(B2221,'[1]Срок Годности'!$A$2:$B$4,2,0)</f>
        <v>500</v>
      </c>
      <c r="N2221" s="60">
        <f t="shared" si="241"/>
        <v>871</v>
      </c>
      <c r="O2221" s="1" t="str">
        <f t="shared" si="242"/>
        <v>23 2012</v>
      </c>
      <c r="P2221" s="1">
        <f t="shared" si="243"/>
        <v>23</v>
      </c>
      <c r="Q2221" s="1">
        <f t="shared" ca="1" si="244"/>
        <v>4067</v>
      </c>
      <c r="S2221" s="1">
        <f t="shared" si="238"/>
        <v>2833</v>
      </c>
    </row>
    <row r="2222" spans="1:19" x14ac:dyDescent="0.2">
      <c r="A2222" s="57" t="s">
        <v>240</v>
      </c>
      <c r="B2222" s="57" t="s">
        <v>225</v>
      </c>
      <c r="C2222" s="57" t="s">
        <v>226</v>
      </c>
      <c r="D2222" s="58">
        <v>317.08</v>
      </c>
      <c r="E2222" s="59">
        <v>41067</v>
      </c>
      <c r="F2222" s="58">
        <v>2833</v>
      </c>
      <c r="G2222" s="58">
        <v>1071</v>
      </c>
      <c r="H2222" s="58">
        <v>1038</v>
      </c>
      <c r="I2222" s="58">
        <v>2831</v>
      </c>
      <c r="J2222" s="58">
        <v>0</v>
      </c>
      <c r="K2222" s="1">
        <f t="shared" si="239"/>
        <v>329129.03999999998</v>
      </c>
      <c r="L2222" s="1">
        <f t="shared" si="240"/>
        <v>1038</v>
      </c>
      <c r="M2222" s="1">
        <f>VLOOKUP(B2222,'[1]Срок Годности'!$A$2:$B$4,2,0)</f>
        <v>500</v>
      </c>
      <c r="N2222" s="60">
        <f t="shared" si="241"/>
        <v>1071</v>
      </c>
      <c r="O2222" s="1" t="str">
        <f t="shared" si="242"/>
        <v>23 2012</v>
      </c>
      <c r="P2222" s="1">
        <f t="shared" si="243"/>
        <v>23</v>
      </c>
      <c r="Q2222" s="1">
        <f t="shared" ca="1" si="244"/>
        <v>4066</v>
      </c>
      <c r="S2222" s="1">
        <f t="shared" si="238"/>
        <v>2831</v>
      </c>
    </row>
    <row r="2223" spans="1:19" x14ac:dyDescent="0.2">
      <c r="A2223" s="57" t="s">
        <v>240</v>
      </c>
      <c r="B2223" s="57" t="s">
        <v>225</v>
      </c>
      <c r="C2223" s="57" t="s">
        <v>226</v>
      </c>
      <c r="D2223" s="58">
        <v>317.08</v>
      </c>
      <c r="E2223" s="59">
        <v>41068</v>
      </c>
      <c r="F2223" s="58">
        <v>2831</v>
      </c>
      <c r="G2223" s="58">
        <v>1244</v>
      </c>
      <c r="H2223" s="58">
        <v>1182</v>
      </c>
      <c r="I2223" s="58">
        <v>2878</v>
      </c>
      <c r="J2223" s="58">
        <v>0</v>
      </c>
      <c r="K2223" s="1">
        <f t="shared" si="239"/>
        <v>374788.56</v>
      </c>
      <c r="L2223" s="1">
        <f t="shared" si="240"/>
        <v>1182</v>
      </c>
      <c r="M2223" s="1">
        <f>VLOOKUP(B2223,'[1]Срок Годности'!$A$2:$B$4,2,0)</f>
        <v>500</v>
      </c>
      <c r="N2223" s="60">
        <f t="shared" si="241"/>
        <v>1244</v>
      </c>
      <c r="O2223" s="1" t="str">
        <f t="shared" si="242"/>
        <v>23 2012</v>
      </c>
      <c r="P2223" s="1">
        <f t="shared" si="243"/>
        <v>23</v>
      </c>
      <c r="Q2223" s="1">
        <f t="shared" ca="1" si="244"/>
        <v>4065</v>
      </c>
      <c r="S2223" s="1">
        <f t="shared" si="238"/>
        <v>2878</v>
      </c>
    </row>
    <row r="2224" spans="1:19" x14ac:dyDescent="0.2">
      <c r="A2224" s="57" t="s">
        <v>240</v>
      </c>
      <c r="B2224" s="57" t="s">
        <v>225</v>
      </c>
      <c r="C2224" s="57" t="s">
        <v>226</v>
      </c>
      <c r="D2224" s="58">
        <v>317.08</v>
      </c>
      <c r="E2224" s="59">
        <v>41069</v>
      </c>
      <c r="F2224" s="58">
        <v>2878</v>
      </c>
      <c r="G2224" s="58">
        <v>1623</v>
      </c>
      <c r="H2224" s="58">
        <v>1391</v>
      </c>
      <c r="I2224" s="58">
        <v>3069</v>
      </c>
      <c r="J2224" s="58">
        <v>0</v>
      </c>
      <c r="K2224" s="1">
        <f t="shared" si="239"/>
        <v>441058.27999999997</v>
      </c>
      <c r="L2224" s="1">
        <f t="shared" si="240"/>
        <v>1391</v>
      </c>
      <c r="M2224" s="1">
        <f>VLOOKUP(B2224,'[1]Срок Годности'!$A$2:$B$4,2,0)</f>
        <v>500</v>
      </c>
      <c r="N2224" s="60">
        <f t="shared" si="241"/>
        <v>1623</v>
      </c>
      <c r="O2224" s="1" t="str">
        <f t="shared" si="242"/>
        <v>23 2012</v>
      </c>
      <c r="P2224" s="1">
        <f t="shared" si="243"/>
        <v>23</v>
      </c>
      <c r="Q2224" s="1">
        <f t="shared" ca="1" si="244"/>
        <v>4064</v>
      </c>
      <c r="S2224" s="1">
        <f t="shared" si="238"/>
        <v>3069</v>
      </c>
    </row>
    <row r="2225" spans="1:19" x14ac:dyDescent="0.2">
      <c r="A2225" s="57" t="s">
        <v>240</v>
      </c>
      <c r="B2225" s="57" t="s">
        <v>225</v>
      </c>
      <c r="C2225" s="57" t="s">
        <v>226</v>
      </c>
      <c r="D2225" s="58">
        <v>317.08</v>
      </c>
      <c r="E2225" s="59">
        <v>41070</v>
      </c>
      <c r="F2225" s="58">
        <v>3069</v>
      </c>
      <c r="G2225" s="58">
        <v>883</v>
      </c>
      <c r="H2225" s="58">
        <v>1159</v>
      </c>
      <c r="I2225" s="58">
        <v>2762</v>
      </c>
      <c r="J2225" s="58">
        <v>0</v>
      </c>
      <c r="K2225" s="1">
        <f t="shared" si="239"/>
        <v>367495.72</v>
      </c>
      <c r="L2225" s="1">
        <f t="shared" si="240"/>
        <v>1159</v>
      </c>
      <c r="M2225" s="1">
        <f>VLOOKUP(B2225,'[1]Срок Годности'!$A$2:$B$4,2,0)</f>
        <v>500</v>
      </c>
      <c r="N2225" s="60">
        <f t="shared" si="241"/>
        <v>0</v>
      </c>
      <c r="O2225" s="1" t="str">
        <f t="shared" si="242"/>
        <v>24 2012</v>
      </c>
      <c r="P2225" s="1">
        <f t="shared" si="243"/>
        <v>23</v>
      </c>
      <c r="Q2225" s="1">
        <f t="shared" ca="1" si="244"/>
        <v>4063</v>
      </c>
      <c r="S2225" s="1">
        <f t="shared" si="238"/>
        <v>2762</v>
      </c>
    </row>
    <row r="2226" spans="1:19" x14ac:dyDescent="0.2">
      <c r="A2226" s="57" t="s">
        <v>240</v>
      </c>
      <c r="B2226" s="57" t="s">
        <v>225</v>
      </c>
      <c r="C2226" s="57" t="s">
        <v>226</v>
      </c>
      <c r="D2226" s="58">
        <v>317.08</v>
      </c>
      <c r="E2226" s="59">
        <v>41071</v>
      </c>
      <c r="F2226" s="58">
        <v>2762</v>
      </c>
      <c r="G2226" s="58">
        <v>1078</v>
      </c>
      <c r="H2226" s="58">
        <v>1015</v>
      </c>
      <c r="I2226" s="58">
        <v>2795</v>
      </c>
      <c r="J2226" s="58">
        <v>0</v>
      </c>
      <c r="K2226" s="1">
        <f t="shared" si="239"/>
        <v>321836.2</v>
      </c>
      <c r="L2226" s="1">
        <f t="shared" si="240"/>
        <v>1015</v>
      </c>
      <c r="M2226" s="1">
        <f>VLOOKUP(B2226,'[1]Срок Годности'!$A$2:$B$4,2,0)</f>
        <v>500</v>
      </c>
      <c r="N2226" s="60">
        <f t="shared" si="241"/>
        <v>1078</v>
      </c>
      <c r="O2226" s="1" t="str">
        <f t="shared" si="242"/>
        <v>24 2012</v>
      </c>
      <c r="P2226" s="1">
        <f t="shared" si="243"/>
        <v>23</v>
      </c>
      <c r="Q2226" s="1">
        <f t="shared" ca="1" si="244"/>
        <v>4062</v>
      </c>
      <c r="S2226" s="1">
        <f t="shared" si="238"/>
        <v>2795</v>
      </c>
    </row>
    <row r="2227" spans="1:19" x14ac:dyDescent="0.2">
      <c r="A2227" s="57" t="s">
        <v>240</v>
      </c>
      <c r="B2227" s="57" t="s">
        <v>225</v>
      </c>
      <c r="C2227" s="57" t="s">
        <v>226</v>
      </c>
      <c r="D2227" s="58">
        <v>317.08</v>
      </c>
      <c r="E2227" s="59">
        <v>41072</v>
      </c>
      <c r="F2227" s="58">
        <v>2795</v>
      </c>
      <c r="G2227" s="58">
        <v>939</v>
      </c>
      <c r="H2227" s="58">
        <v>1028</v>
      </c>
      <c r="I2227" s="58">
        <v>2695</v>
      </c>
      <c r="J2227" s="58">
        <v>0</v>
      </c>
      <c r="K2227" s="1">
        <f t="shared" si="239"/>
        <v>325958.24</v>
      </c>
      <c r="L2227" s="1">
        <f t="shared" si="240"/>
        <v>1028</v>
      </c>
      <c r="M2227" s="1">
        <f>VLOOKUP(B2227,'[1]Срок Годности'!$A$2:$B$4,2,0)</f>
        <v>500</v>
      </c>
      <c r="N2227" s="60">
        <f t="shared" si="241"/>
        <v>939</v>
      </c>
      <c r="O2227" s="1" t="str">
        <f t="shared" si="242"/>
        <v>24 2012</v>
      </c>
      <c r="P2227" s="1">
        <f t="shared" si="243"/>
        <v>23</v>
      </c>
      <c r="Q2227" s="1">
        <f t="shared" ca="1" si="244"/>
        <v>4061</v>
      </c>
      <c r="S2227" s="1">
        <f t="shared" si="238"/>
        <v>2695</v>
      </c>
    </row>
    <row r="2228" spans="1:19" x14ac:dyDescent="0.2">
      <c r="A2228" s="57" t="s">
        <v>240</v>
      </c>
      <c r="B2228" s="57" t="s">
        <v>225</v>
      </c>
      <c r="C2228" s="57" t="s">
        <v>226</v>
      </c>
      <c r="D2228" s="58">
        <v>317.08</v>
      </c>
      <c r="E2228" s="59">
        <v>41073</v>
      </c>
      <c r="F2228" s="58">
        <v>2695</v>
      </c>
      <c r="G2228" s="58">
        <v>1228</v>
      </c>
      <c r="H2228" s="58">
        <v>966</v>
      </c>
      <c r="I2228" s="58">
        <v>2922</v>
      </c>
      <c r="J2228" s="58">
        <v>0</v>
      </c>
      <c r="K2228" s="1">
        <f t="shared" si="239"/>
        <v>306299.27999999997</v>
      </c>
      <c r="L2228" s="1" t="str">
        <f t="shared" si="240"/>
        <v/>
      </c>
      <c r="M2228" s="1">
        <f>VLOOKUP(B2228,'[1]Срок Годности'!$A$2:$B$4,2,0)</f>
        <v>500</v>
      </c>
      <c r="N2228" s="60">
        <f t="shared" si="241"/>
        <v>1228</v>
      </c>
      <c r="O2228" s="1" t="str">
        <f t="shared" si="242"/>
        <v>24 2012</v>
      </c>
      <c r="P2228" s="1">
        <f t="shared" si="243"/>
        <v>23</v>
      </c>
      <c r="Q2228" s="1">
        <f t="shared" ca="1" si="244"/>
        <v>4060</v>
      </c>
      <c r="S2228" s="1">
        <f t="shared" si="238"/>
        <v>2922</v>
      </c>
    </row>
    <row r="2229" spans="1:19" x14ac:dyDescent="0.2">
      <c r="A2229" s="57" t="s">
        <v>240</v>
      </c>
      <c r="B2229" s="57" t="s">
        <v>225</v>
      </c>
      <c r="C2229" s="57" t="s">
        <v>226</v>
      </c>
      <c r="D2229" s="58">
        <v>317.08</v>
      </c>
      <c r="E2229" s="59">
        <v>41074</v>
      </c>
      <c r="F2229" s="58">
        <v>2922</v>
      </c>
      <c r="G2229" s="58">
        <v>903</v>
      </c>
      <c r="H2229" s="58">
        <v>874</v>
      </c>
      <c r="I2229" s="58">
        <v>2930</v>
      </c>
      <c r="J2229" s="58">
        <v>0</v>
      </c>
      <c r="K2229" s="1">
        <f t="shared" si="239"/>
        <v>277127.92</v>
      </c>
      <c r="L2229" s="1" t="str">
        <f t="shared" si="240"/>
        <v/>
      </c>
      <c r="M2229" s="1">
        <f>VLOOKUP(B2229,'[1]Срок Годности'!$A$2:$B$4,2,0)</f>
        <v>500</v>
      </c>
      <c r="N2229" s="60">
        <f t="shared" si="241"/>
        <v>903</v>
      </c>
      <c r="O2229" s="1" t="str">
        <f t="shared" si="242"/>
        <v>24 2012</v>
      </c>
      <c r="P2229" s="1">
        <f t="shared" si="243"/>
        <v>23</v>
      </c>
      <c r="Q2229" s="1">
        <f t="shared" ca="1" si="244"/>
        <v>4059</v>
      </c>
      <c r="S2229" s="1">
        <f t="shared" si="238"/>
        <v>2930</v>
      </c>
    </row>
    <row r="2230" spans="1:19" x14ac:dyDescent="0.2">
      <c r="A2230" s="57" t="s">
        <v>240</v>
      </c>
      <c r="B2230" s="57" t="s">
        <v>225</v>
      </c>
      <c r="C2230" s="57" t="s">
        <v>226</v>
      </c>
      <c r="D2230" s="58">
        <v>317.08</v>
      </c>
      <c r="E2230" s="59">
        <v>41075</v>
      </c>
      <c r="F2230" s="58">
        <v>2930</v>
      </c>
      <c r="G2230" s="58">
        <v>1090</v>
      </c>
      <c r="H2230" s="58">
        <v>962</v>
      </c>
      <c r="I2230" s="58">
        <v>3042</v>
      </c>
      <c r="J2230" s="58">
        <v>0</v>
      </c>
      <c r="K2230" s="1">
        <f t="shared" si="239"/>
        <v>305030.95999999996</v>
      </c>
      <c r="L2230" s="1" t="str">
        <f t="shared" si="240"/>
        <v/>
      </c>
      <c r="M2230" s="1">
        <f>VLOOKUP(B2230,'[1]Срок Годности'!$A$2:$B$4,2,0)</f>
        <v>500</v>
      </c>
      <c r="N2230" s="60">
        <f t="shared" si="241"/>
        <v>1090</v>
      </c>
      <c r="O2230" s="1" t="str">
        <f t="shared" si="242"/>
        <v>24 2012</v>
      </c>
      <c r="P2230" s="1">
        <f t="shared" si="243"/>
        <v>23</v>
      </c>
      <c r="Q2230" s="1">
        <f t="shared" ca="1" si="244"/>
        <v>4058</v>
      </c>
      <c r="S2230" s="1">
        <f t="shared" si="238"/>
        <v>3042</v>
      </c>
    </row>
    <row r="2231" spans="1:19" x14ac:dyDescent="0.2">
      <c r="A2231" s="57" t="s">
        <v>240</v>
      </c>
      <c r="B2231" s="57" t="s">
        <v>225</v>
      </c>
      <c r="C2231" s="57" t="s">
        <v>226</v>
      </c>
      <c r="D2231" s="58">
        <v>317.08</v>
      </c>
      <c r="E2231" s="59">
        <v>41076</v>
      </c>
      <c r="F2231" s="58">
        <v>3042</v>
      </c>
      <c r="G2231" s="58">
        <v>724</v>
      </c>
      <c r="H2231" s="58">
        <v>1034</v>
      </c>
      <c r="I2231" s="58">
        <v>2690</v>
      </c>
      <c r="J2231" s="58">
        <v>0</v>
      </c>
      <c r="K2231" s="1">
        <f t="shared" si="239"/>
        <v>327860.71999999997</v>
      </c>
      <c r="L2231" s="1">
        <f t="shared" si="240"/>
        <v>1034</v>
      </c>
      <c r="M2231" s="1">
        <f>VLOOKUP(B2231,'[1]Срок Годности'!$A$2:$B$4,2,0)</f>
        <v>500</v>
      </c>
      <c r="N2231" s="60">
        <f t="shared" si="241"/>
        <v>724</v>
      </c>
      <c r="O2231" s="1" t="str">
        <f t="shared" si="242"/>
        <v>24 2012</v>
      </c>
      <c r="P2231" s="1">
        <f t="shared" si="243"/>
        <v>23</v>
      </c>
      <c r="Q2231" s="1">
        <f t="shared" ca="1" si="244"/>
        <v>4057</v>
      </c>
      <c r="S2231" s="1">
        <f t="shared" si="238"/>
        <v>2690</v>
      </c>
    </row>
    <row r="2232" spans="1:19" x14ac:dyDescent="0.2">
      <c r="A2232" s="57" t="s">
        <v>240</v>
      </c>
      <c r="B2232" s="57" t="s">
        <v>225</v>
      </c>
      <c r="C2232" s="57" t="s">
        <v>226</v>
      </c>
      <c r="D2232" s="58">
        <v>317.08</v>
      </c>
      <c r="E2232" s="59">
        <v>41077</v>
      </c>
      <c r="F2232" s="58">
        <v>2690</v>
      </c>
      <c r="G2232" s="58">
        <v>1023</v>
      </c>
      <c r="H2232" s="58">
        <v>1064</v>
      </c>
      <c r="I2232" s="58">
        <v>2622</v>
      </c>
      <c r="J2232" s="58">
        <v>0</v>
      </c>
      <c r="K2232" s="1">
        <f t="shared" si="239"/>
        <v>337373.12</v>
      </c>
      <c r="L2232" s="1">
        <f t="shared" si="240"/>
        <v>1064</v>
      </c>
      <c r="M2232" s="1">
        <f>VLOOKUP(B2232,'[1]Срок Годности'!$A$2:$B$4,2,0)</f>
        <v>500</v>
      </c>
      <c r="N2232" s="60">
        <f t="shared" si="241"/>
        <v>0</v>
      </c>
      <c r="O2232" s="1" t="str">
        <f t="shared" si="242"/>
        <v>25 2012</v>
      </c>
      <c r="P2232" s="1">
        <f t="shared" si="243"/>
        <v>23</v>
      </c>
      <c r="Q2232" s="1">
        <f t="shared" ca="1" si="244"/>
        <v>4056</v>
      </c>
      <c r="S2232" s="1">
        <f t="shared" si="238"/>
        <v>2622</v>
      </c>
    </row>
    <row r="2233" spans="1:19" x14ac:dyDescent="0.2">
      <c r="A2233" s="57" t="s">
        <v>240</v>
      </c>
      <c r="B2233" s="57" t="s">
        <v>225</v>
      </c>
      <c r="C2233" s="57" t="s">
        <v>226</v>
      </c>
      <c r="D2233" s="58">
        <v>317.08</v>
      </c>
      <c r="E2233" s="59">
        <v>41078</v>
      </c>
      <c r="F2233" s="58">
        <v>2622</v>
      </c>
      <c r="G2233" s="58">
        <v>1053</v>
      </c>
      <c r="H2233" s="58">
        <v>875</v>
      </c>
      <c r="I2233" s="58">
        <v>2823</v>
      </c>
      <c r="J2233" s="58">
        <v>0</v>
      </c>
      <c r="K2233" s="1">
        <f t="shared" si="239"/>
        <v>277445</v>
      </c>
      <c r="L2233" s="1" t="str">
        <f t="shared" si="240"/>
        <v/>
      </c>
      <c r="M2233" s="1">
        <f>VLOOKUP(B2233,'[1]Срок Годности'!$A$2:$B$4,2,0)</f>
        <v>500</v>
      </c>
      <c r="N2233" s="60">
        <f t="shared" si="241"/>
        <v>1053</v>
      </c>
      <c r="O2233" s="1" t="str">
        <f t="shared" si="242"/>
        <v>25 2012</v>
      </c>
      <c r="P2233" s="1">
        <f t="shared" si="243"/>
        <v>23</v>
      </c>
      <c r="Q2233" s="1">
        <f t="shared" ca="1" si="244"/>
        <v>4055</v>
      </c>
      <c r="S2233" s="1">
        <f t="shared" si="238"/>
        <v>2823</v>
      </c>
    </row>
    <row r="2234" spans="1:19" x14ac:dyDescent="0.2">
      <c r="A2234" s="57" t="s">
        <v>240</v>
      </c>
      <c r="B2234" s="57" t="s">
        <v>225</v>
      </c>
      <c r="C2234" s="57" t="s">
        <v>226</v>
      </c>
      <c r="D2234" s="58">
        <v>317.08</v>
      </c>
      <c r="E2234" s="59">
        <v>41079</v>
      </c>
      <c r="F2234" s="58">
        <v>2823</v>
      </c>
      <c r="G2234" s="58">
        <v>1926</v>
      </c>
      <c r="H2234" s="58">
        <v>1009</v>
      </c>
      <c r="I2234" s="58">
        <v>3710</v>
      </c>
      <c r="J2234" s="58">
        <v>0</v>
      </c>
      <c r="K2234" s="1">
        <f t="shared" si="239"/>
        <v>319933.71999999997</v>
      </c>
      <c r="L2234" s="1">
        <f t="shared" si="240"/>
        <v>1009</v>
      </c>
      <c r="M2234" s="1">
        <f>VLOOKUP(B2234,'[1]Срок Годности'!$A$2:$B$4,2,0)</f>
        <v>500</v>
      </c>
      <c r="N2234" s="60">
        <f t="shared" si="241"/>
        <v>1926</v>
      </c>
      <c r="O2234" s="1" t="str">
        <f t="shared" si="242"/>
        <v>25 2012</v>
      </c>
      <c r="P2234" s="1">
        <f t="shared" si="243"/>
        <v>23</v>
      </c>
      <c r="Q2234" s="1">
        <f t="shared" ca="1" si="244"/>
        <v>4054</v>
      </c>
      <c r="S2234" s="1">
        <f t="shared" si="238"/>
        <v>3710</v>
      </c>
    </row>
    <row r="2235" spans="1:19" x14ac:dyDescent="0.2">
      <c r="A2235" s="57" t="s">
        <v>240</v>
      </c>
      <c r="B2235" s="57" t="s">
        <v>225</v>
      </c>
      <c r="C2235" s="57" t="s">
        <v>226</v>
      </c>
      <c r="D2235" s="58">
        <v>317.08</v>
      </c>
      <c r="E2235" s="59">
        <v>41080</v>
      </c>
      <c r="F2235" s="58">
        <v>3710</v>
      </c>
      <c r="G2235" s="58">
        <v>1193</v>
      </c>
      <c r="H2235" s="58">
        <v>944</v>
      </c>
      <c r="I2235" s="58">
        <v>3936</v>
      </c>
      <c r="J2235" s="58">
        <v>0</v>
      </c>
      <c r="K2235" s="1">
        <f t="shared" si="239"/>
        <v>299323.51999999996</v>
      </c>
      <c r="L2235" s="1" t="str">
        <f t="shared" si="240"/>
        <v/>
      </c>
      <c r="M2235" s="1">
        <f>VLOOKUP(B2235,'[1]Срок Годности'!$A$2:$B$4,2,0)</f>
        <v>500</v>
      </c>
      <c r="N2235" s="60">
        <f t="shared" si="241"/>
        <v>1193</v>
      </c>
      <c r="O2235" s="1" t="str">
        <f t="shared" si="242"/>
        <v>25 2012</v>
      </c>
      <c r="P2235" s="1">
        <f t="shared" si="243"/>
        <v>23</v>
      </c>
      <c r="Q2235" s="1">
        <f t="shared" ca="1" si="244"/>
        <v>4053</v>
      </c>
      <c r="S2235" s="1">
        <f t="shared" si="238"/>
        <v>3936</v>
      </c>
    </row>
    <row r="2236" spans="1:19" x14ac:dyDescent="0.2">
      <c r="A2236" s="57" t="s">
        <v>240</v>
      </c>
      <c r="B2236" s="57" t="s">
        <v>225</v>
      </c>
      <c r="C2236" s="57" t="s">
        <v>226</v>
      </c>
      <c r="D2236" s="58">
        <v>317.08</v>
      </c>
      <c r="E2236" s="59">
        <v>41081</v>
      </c>
      <c r="F2236" s="58">
        <v>3936</v>
      </c>
      <c r="G2236" s="58">
        <v>1481</v>
      </c>
      <c r="H2236" s="58">
        <v>899</v>
      </c>
      <c r="I2236" s="58">
        <v>4493</v>
      </c>
      <c r="J2236" s="58">
        <v>0</v>
      </c>
      <c r="K2236" s="1">
        <f t="shared" si="239"/>
        <v>285054.92</v>
      </c>
      <c r="L2236" s="1" t="str">
        <f t="shared" si="240"/>
        <v/>
      </c>
      <c r="M2236" s="1">
        <f>VLOOKUP(B2236,'[1]Срок Годности'!$A$2:$B$4,2,0)</f>
        <v>500</v>
      </c>
      <c r="N2236" s="60">
        <f t="shared" si="241"/>
        <v>1481</v>
      </c>
      <c r="O2236" s="1" t="str">
        <f t="shared" si="242"/>
        <v>25 2012</v>
      </c>
      <c r="P2236" s="1">
        <f t="shared" si="243"/>
        <v>23</v>
      </c>
      <c r="Q2236" s="1">
        <f t="shared" ca="1" si="244"/>
        <v>4052</v>
      </c>
      <c r="S2236" s="1">
        <f t="shared" si="238"/>
        <v>4493</v>
      </c>
    </row>
    <row r="2237" spans="1:19" x14ac:dyDescent="0.2">
      <c r="A2237" s="57" t="s">
        <v>240</v>
      </c>
      <c r="B2237" s="57" t="s">
        <v>225</v>
      </c>
      <c r="C2237" s="57" t="s">
        <v>226</v>
      </c>
      <c r="D2237" s="58">
        <v>317.08</v>
      </c>
      <c r="E2237" s="59">
        <v>41082</v>
      </c>
      <c r="F2237" s="58">
        <v>4493</v>
      </c>
      <c r="G2237" s="58">
        <v>1125</v>
      </c>
      <c r="H2237" s="58">
        <v>972</v>
      </c>
      <c r="I2237" s="58">
        <v>4612</v>
      </c>
      <c r="J2237" s="58">
        <v>0</v>
      </c>
      <c r="K2237" s="1">
        <f t="shared" si="239"/>
        <v>308201.76</v>
      </c>
      <c r="L2237" s="1" t="str">
        <f t="shared" si="240"/>
        <v/>
      </c>
      <c r="M2237" s="1">
        <f>VLOOKUP(B2237,'[1]Срок Годности'!$A$2:$B$4,2,0)</f>
        <v>500</v>
      </c>
      <c r="N2237" s="60">
        <f t="shared" si="241"/>
        <v>1125</v>
      </c>
      <c r="O2237" s="1" t="str">
        <f t="shared" si="242"/>
        <v>25 2012</v>
      </c>
      <c r="P2237" s="1">
        <f t="shared" si="243"/>
        <v>23</v>
      </c>
      <c r="Q2237" s="1">
        <f t="shared" ca="1" si="244"/>
        <v>4051</v>
      </c>
      <c r="S2237" s="1">
        <f t="shared" si="238"/>
        <v>4612</v>
      </c>
    </row>
    <row r="2238" spans="1:19" x14ac:dyDescent="0.2">
      <c r="A2238" s="57" t="s">
        <v>240</v>
      </c>
      <c r="B2238" s="57" t="s">
        <v>225</v>
      </c>
      <c r="C2238" s="57" t="s">
        <v>226</v>
      </c>
      <c r="D2238" s="58">
        <v>317.08</v>
      </c>
      <c r="E2238" s="59">
        <v>41083</v>
      </c>
      <c r="F2238" s="58">
        <v>4612</v>
      </c>
      <c r="G2238" s="58">
        <v>909</v>
      </c>
      <c r="H2238" s="58">
        <v>1001</v>
      </c>
      <c r="I2238" s="58">
        <v>4490</v>
      </c>
      <c r="J2238" s="58">
        <v>0</v>
      </c>
      <c r="K2238" s="1">
        <f t="shared" si="239"/>
        <v>317397.07999999996</v>
      </c>
      <c r="L2238" s="1">
        <f t="shared" si="240"/>
        <v>1001</v>
      </c>
      <c r="M2238" s="1">
        <f>VLOOKUP(B2238,'[1]Срок Годности'!$A$2:$B$4,2,0)</f>
        <v>500</v>
      </c>
      <c r="N2238" s="60">
        <f t="shared" si="241"/>
        <v>909</v>
      </c>
      <c r="O2238" s="1" t="str">
        <f t="shared" si="242"/>
        <v>25 2012</v>
      </c>
      <c r="P2238" s="1">
        <f t="shared" si="243"/>
        <v>23</v>
      </c>
      <c r="Q2238" s="1">
        <f t="shared" ca="1" si="244"/>
        <v>4050</v>
      </c>
      <c r="S2238" s="1">
        <f t="shared" si="238"/>
        <v>4490</v>
      </c>
    </row>
    <row r="2239" spans="1:19" x14ac:dyDescent="0.2">
      <c r="A2239" s="57" t="s">
        <v>240</v>
      </c>
      <c r="B2239" s="57" t="s">
        <v>225</v>
      </c>
      <c r="C2239" s="57" t="s">
        <v>226</v>
      </c>
      <c r="D2239" s="58">
        <v>317.08</v>
      </c>
      <c r="E2239" s="59">
        <v>41084</v>
      </c>
      <c r="F2239" s="58">
        <v>4490</v>
      </c>
      <c r="G2239" s="58">
        <v>846</v>
      </c>
      <c r="H2239" s="58">
        <v>1053</v>
      </c>
      <c r="I2239" s="58">
        <v>4268</v>
      </c>
      <c r="J2239" s="58">
        <v>0</v>
      </c>
      <c r="K2239" s="1">
        <f t="shared" si="239"/>
        <v>333885.24</v>
      </c>
      <c r="L2239" s="1">
        <f t="shared" si="240"/>
        <v>1053</v>
      </c>
      <c r="M2239" s="1">
        <f>VLOOKUP(B2239,'[1]Срок Годности'!$A$2:$B$4,2,0)</f>
        <v>500</v>
      </c>
      <c r="N2239" s="60">
        <f t="shared" si="241"/>
        <v>0</v>
      </c>
      <c r="O2239" s="1" t="str">
        <f t="shared" si="242"/>
        <v>26 2012</v>
      </c>
      <c r="P2239" s="1">
        <f t="shared" si="243"/>
        <v>23</v>
      </c>
      <c r="Q2239" s="1">
        <f t="shared" ca="1" si="244"/>
        <v>4049</v>
      </c>
      <c r="S2239" s="1">
        <f t="shared" si="238"/>
        <v>4268</v>
      </c>
    </row>
    <row r="2240" spans="1:19" x14ac:dyDescent="0.2">
      <c r="A2240" s="57" t="s">
        <v>240</v>
      </c>
      <c r="B2240" s="57" t="s">
        <v>225</v>
      </c>
      <c r="C2240" s="57" t="s">
        <v>226</v>
      </c>
      <c r="D2240" s="58">
        <v>317.08</v>
      </c>
      <c r="E2240" s="59">
        <v>41085</v>
      </c>
      <c r="F2240" s="58">
        <v>4268</v>
      </c>
      <c r="G2240" s="58">
        <v>1093</v>
      </c>
      <c r="H2240" s="58">
        <v>1031</v>
      </c>
      <c r="I2240" s="58">
        <v>4316</v>
      </c>
      <c r="J2240" s="58">
        <v>0</v>
      </c>
      <c r="K2240" s="1">
        <f t="shared" si="239"/>
        <v>326909.48</v>
      </c>
      <c r="L2240" s="1">
        <f t="shared" si="240"/>
        <v>1031</v>
      </c>
      <c r="M2240" s="1">
        <f>VLOOKUP(B2240,'[1]Срок Годности'!$A$2:$B$4,2,0)</f>
        <v>500</v>
      </c>
      <c r="N2240" s="60">
        <f t="shared" si="241"/>
        <v>1093</v>
      </c>
      <c r="O2240" s="1" t="str">
        <f t="shared" si="242"/>
        <v>26 2012</v>
      </c>
      <c r="P2240" s="1">
        <f t="shared" si="243"/>
        <v>23</v>
      </c>
      <c r="Q2240" s="1">
        <f t="shared" ca="1" si="244"/>
        <v>4048</v>
      </c>
      <c r="S2240" s="1">
        <f t="shared" si="238"/>
        <v>4316</v>
      </c>
    </row>
    <row r="2241" spans="1:19" x14ac:dyDescent="0.2">
      <c r="A2241" s="57" t="s">
        <v>240</v>
      </c>
      <c r="B2241" s="57" t="s">
        <v>225</v>
      </c>
      <c r="C2241" s="57" t="s">
        <v>226</v>
      </c>
      <c r="D2241" s="58">
        <v>317.08</v>
      </c>
      <c r="E2241" s="59">
        <v>41086</v>
      </c>
      <c r="F2241" s="58">
        <v>4316</v>
      </c>
      <c r="G2241" s="58">
        <v>1260</v>
      </c>
      <c r="H2241" s="58">
        <v>1003</v>
      </c>
      <c r="I2241" s="58">
        <v>4561</v>
      </c>
      <c r="J2241" s="58">
        <v>0</v>
      </c>
      <c r="K2241" s="1">
        <f t="shared" si="239"/>
        <v>318031.24</v>
      </c>
      <c r="L2241" s="1">
        <f t="shared" si="240"/>
        <v>1003</v>
      </c>
      <c r="M2241" s="1">
        <f>VLOOKUP(B2241,'[1]Срок Годности'!$A$2:$B$4,2,0)</f>
        <v>500</v>
      </c>
      <c r="N2241" s="60">
        <f t="shared" si="241"/>
        <v>1260</v>
      </c>
      <c r="O2241" s="1" t="str">
        <f t="shared" si="242"/>
        <v>26 2012</v>
      </c>
      <c r="P2241" s="1">
        <f t="shared" si="243"/>
        <v>23</v>
      </c>
      <c r="Q2241" s="1">
        <f t="shared" ca="1" si="244"/>
        <v>4047</v>
      </c>
      <c r="S2241" s="1">
        <f t="shared" si="238"/>
        <v>4561</v>
      </c>
    </row>
    <row r="2242" spans="1:19" x14ac:dyDescent="0.2">
      <c r="A2242" s="57" t="s">
        <v>240</v>
      </c>
      <c r="B2242" s="57" t="s">
        <v>225</v>
      </c>
      <c r="C2242" s="57" t="s">
        <v>226</v>
      </c>
      <c r="D2242" s="58">
        <v>317.08</v>
      </c>
      <c r="E2242" s="59">
        <v>41087</v>
      </c>
      <c r="F2242" s="58">
        <v>4561</v>
      </c>
      <c r="G2242" s="58">
        <v>1623</v>
      </c>
      <c r="H2242" s="58">
        <v>881</v>
      </c>
      <c r="I2242" s="58">
        <v>5284</v>
      </c>
      <c r="J2242" s="58">
        <v>0</v>
      </c>
      <c r="K2242" s="1">
        <f t="shared" si="239"/>
        <v>279347.48</v>
      </c>
      <c r="L2242" s="1" t="str">
        <f t="shared" si="240"/>
        <v/>
      </c>
      <c r="M2242" s="1">
        <f>VLOOKUP(B2242,'[1]Срок Годности'!$A$2:$B$4,2,0)</f>
        <v>500</v>
      </c>
      <c r="N2242" s="60">
        <f t="shared" si="241"/>
        <v>1623</v>
      </c>
      <c r="O2242" s="1" t="str">
        <f t="shared" si="242"/>
        <v>26 2012</v>
      </c>
      <c r="P2242" s="1">
        <f t="shared" si="243"/>
        <v>23</v>
      </c>
      <c r="Q2242" s="1">
        <f t="shared" ca="1" si="244"/>
        <v>4046</v>
      </c>
      <c r="S2242" s="1">
        <f t="shared" si="238"/>
        <v>5284</v>
      </c>
    </row>
    <row r="2243" spans="1:19" x14ac:dyDescent="0.2">
      <c r="A2243" s="57" t="s">
        <v>240</v>
      </c>
      <c r="B2243" s="57" t="s">
        <v>225</v>
      </c>
      <c r="C2243" s="57" t="s">
        <v>226</v>
      </c>
      <c r="D2243" s="58">
        <v>317.08</v>
      </c>
      <c r="E2243" s="59">
        <v>41088</v>
      </c>
      <c r="F2243" s="58">
        <v>5284</v>
      </c>
      <c r="G2243" s="58">
        <v>1116</v>
      </c>
      <c r="H2243" s="58">
        <v>911</v>
      </c>
      <c r="I2243" s="58">
        <v>5474</v>
      </c>
      <c r="J2243" s="58">
        <v>0</v>
      </c>
      <c r="K2243" s="1">
        <f t="shared" si="239"/>
        <v>288859.88</v>
      </c>
      <c r="L2243" s="1" t="str">
        <f t="shared" si="240"/>
        <v/>
      </c>
      <c r="M2243" s="1">
        <f>VLOOKUP(B2243,'[1]Срок Годности'!$A$2:$B$4,2,0)</f>
        <v>500</v>
      </c>
      <c r="N2243" s="60">
        <f t="shared" si="241"/>
        <v>1116</v>
      </c>
      <c r="O2243" s="1" t="str">
        <f t="shared" si="242"/>
        <v>26 2012</v>
      </c>
      <c r="P2243" s="1">
        <f t="shared" si="243"/>
        <v>23</v>
      </c>
      <c r="Q2243" s="1">
        <f t="shared" ca="1" si="244"/>
        <v>4045</v>
      </c>
      <c r="S2243" s="1">
        <f t="shared" si="238"/>
        <v>5474</v>
      </c>
    </row>
    <row r="2244" spans="1:19" x14ac:dyDescent="0.2">
      <c r="A2244" s="57" t="s">
        <v>240</v>
      </c>
      <c r="B2244" s="57" t="s">
        <v>225</v>
      </c>
      <c r="C2244" s="57" t="s">
        <v>226</v>
      </c>
      <c r="D2244" s="58">
        <v>317.08</v>
      </c>
      <c r="E2244" s="59">
        <v>41089</v>
      </c>
      <c r="F2244" s="58">
        <v>5474</v>
      </c>
      <c r="G2244" s="58">
        <v>727</v>
      </c>
      <c r="H2244" s="58">
        <v>1003</v>
      </c>
      <c r="I2244" s="58">
        <v>5195</v>
      </c>
      <c r="J2244" s="58">
        <v>0</v>
      </c>
      <c r="K2244" s="1">
        <f t="shared" si="239"/>
        <v>318031.24</v>
      </c>
      <c r="L2244" s="1">
        <f t="shared" si="240"/>
        <v>1003</v>
      </c>
      <c r="M2244" s="1">
        <f>VLOOKUP(B2244,'[1]Срок Годности'!$A$2:$B$4,2,0)</f>
        <v>500</v>
      </c>
      <c r="N2244" s="60">
        <f t="shared" si="241"/>
        <v>727</v>
      </c>
      <c r="O2244" s="1" t="str">
        <f t="shared" si="242"/>
        <v>26 2012</v>
      </c>
      <c r="P2244" s="1">
        <f t="shared" si="243"/>
        <v>23</v>
      </c>
      <c r="Q2244" s="1">
        <f t="shared" ca="1" si="244"/>
        <v>4044</v>
      </c>
      <c r="S2244" s="1">
        <f t="shared" si="238"/>
        <v>5195</v>
      </c>
    </row>
    <row r="2245" spans="1:19" x14ac:dyDescent="0.2">
      <c r="A2245" s="57" t="s">
        <v>240</v>
      </c>
      <c r="B2245" s="57" t="s">
        <v>225</v>
      </c>
      <c r="C2245" s="57" t="s">
        <v>226</v>
      </c>
      <c r="D2245" s="58">
        <v>317.08</v>
      </c>
      <c r="E2245" s="59">
        <v>41090</v>
      </c>
      <c r="F2245" s="58">
        <v>5195</v>
      </c>
      <c r="G2245" s="58">
        <v>928</v>
      </c>
      <c r="H2245" s="58">
        <v>1264</v>
      </c>
      <c r="I2245" s="58">
        <v>4857</v>
      </c>
      <c r="J2245" s="58">
        <v>0</v>
      </c>
      <c r="K2245" s="1">
        <f t="shared" si="239"/>
        <v>400789.12</v>
      </c>
      <c r="L2245" s="1">
        <f t="shared" si="240"/>
        <v>1264</v>
      </c>
      <c r="M2245" s="1">
        <f>VLOOKUP(B2245,'[1]Срок Годности'!$A$2:$B$4,2,0)</f>
        <v>500</v>
      </c>
      <c r="N2245" s="60">
        <f t="shared" si="241"/>
        <v>928</v>
      </c>
      <c r="O2245" s="1" t="str">
        <f t="shared" si="242"/>
        <v>26 2012</v>
      </c>
      <c r="P2245" s="1">
        <f t="shared" si="243"/>
        <v>23</v>
      </c>
      <c r="Q2245" s="1">
        <f t="shared" ca="1" si="244"/>
        <v>4043</v>
      </c>
      <c r="S2245" s="1">
        <f t="shared" si="238"/>
        <v>4857</v>
      </c>
    </row>
    <row r="2246" spans="1:19" x14ac:dyDescent="0.2">
      <c r="A2246" s="57" t="s">
        <v>240</v>
      </c>
      <c r="B2246" s="57" t="s">
        <v>225</v>
      </c>
      <c r="C2246" s="57" t="s">
        <v>226</v>
      </c>
      <c r="D2246" s="58">
        <v>317.08</v>
      </c>
      <c r="E2246" s="59">
        <v>41091</v>
      </c>
      <c r="F2246" s="58">
        <v>4857</v>
      </c>
      <c r="G2246" s="58">
        <v>918</v>
      </c>
      <c r="H2246" s="58">
        <v>1307</v>
      </c>
      <c r="I2246" s="58">
        <v>4447</v>
      </c>
      <c r="J2246" s="58">
        <v>0</v>
      </c>
      <c r="K2246" s="1">
        <f t="shared" si="239"/>
        <v>414423.56</v>
      </c>
      <c r="L2246" s="1">
        <f t="shared" si="240"/>
        <v>1307</v>
      </c>
      <c r="M2246" s="1">
        <f>VLOOKUP(B2246,'[1]Срок Годности'!$A$2:$B$4,2,0)</f>
        <v>500</v>
      </c>
      <c r="N2246" s="60">
        <f t="shared" si="241"/>
        <v>0</v>
      </c>
      <c r="O2246" s="1" t="str">
        <f t="shared" si="242"/>
        <v>27 2012</v>
      </c>
      <c r="P2246" s="1">
        <f t="shared" si="243"/>
        <v>23</v>
      </c>
      <c r="Q2246" s="1">
        <f t="shared" ca="1" si="244"/>
        <v>4042</v>
      </c>
      <c r="S2246" s="1">
        <f t="shared" si="238"/>
        <v>4447</v>
      </c>
    </row>
    <row r="2247" spans="1:19" x14ac:dyDescent="0.2">
      <c r="A2247" s="57" t="s">
        <v>240</v>
      </c>
      <c r="B2247" s="57" t="s">
        <v>225</v>
      </c>
      <c r="C2247" s="57" t="s">
        <v>226</v>
      </c>
      <c r="D2247" s="58">
        <v>317.08</v>
      </c>
      <c r="E2247" s="59">
        <v>41092</v>
      </c>
      <c r="F2247" s="58">
        <v>4447</v>
      </c>
      <c r="G2247" s="58">
        <v>1444</v>
      </c>
      <c r="H2247" s="58">
        <v>1350</v>
      </c>
      <c r="I2247" s="58">
        <v>4502</v>
      </c>
      <c r="J2247" s="58">
        <v>0</v>
      </c>
      <c r="K2247" s="1">
        <f t="shared" si="239"/>
        <v>428058</v>
      </c>
      <c r="L2247" s="1">
        <f t="shared" si="240"/>
        <v>1350</v>
      </c>
      <c r="M2247" s="1">
        <f>VLOOKUP(B2247,'[1]Срок Годности'!$A$2:$B$4,2,0)</f>
        <v>500</v>
      </c>
      <c r="N2247" s="60">
        <f t="shared" si="241"/>
        <v>1444</v>
      </c>
      <c r="O2247" s="1" t="str">
        <f t="shared" si="242"/>
        <v>27 2012</v>
      </c>
      <c r="P2247" s="1">
        <f t="shared" si="243"/>
        <v>23</v>
      </c>
      <c r="Q2247" s="1">
        <f t="shared" ca="1" si="244"/>
        <v>4041</v>
      </c>
      <c r="S2247" s="1">
        <f t="shared" ref="S2247:S2310" si="245">I2247-J2247</f>
        <v>4502</v>
      </c>
    </row>
    <row r="2248" spans="1:19" x14ac:dyDescent="0.2">
      <c r="A2248" s="57" t="s">
        <v>240</v>
      </c>
      <c r="B2248" s="57" t="s">
        <v>225</v>
      </c>
      <c r="C2248" s="57" t="s">
        <v>226</v>
      </c>
      <c r="D2248" s="58">
        <v>317.08</v>
      </c>
      <c r="E2248" s="59">
        <v>41093</v>
      </c>
      <c r="F2248" s="58">
        <v>4502</v>
      </c>
      <c r="G2248" s="58">
        <v>1625</v>
      </c>
      <c r="H2248" s="58">
        <v>1308</v>
      </c>
      <c r="I2248" s="58">
        <v>4793</v>
      </c>
      <c r="J2248" s="58">
        <v>0</v>
      </c>
      <c r="K2248" s="1">
        <f t="shared" ref="K2248:K2311" si="246">H2248*D2248</f>
        <v>414740.63999999996</v>
      </c>
      <c r="L2248" s="1">
        <f t="shared" ref="L2248:L2311" si="247">IF(H2248&gt;1000,H2248,"")</f>
        <v>1308</v>
      </c>
      <c r="M2248" s="1">
        <f>VLOOKUP(B2248,'[1]Срок Годности'!$A$2:$B$4,2,0)</f>
        <v>500</v>
      </c>
      <c r="N2248" s="60">
        <f t="shared" ref="N2248:N2311" si="248">IF(WEEKDAY(E2248) = 1, 0, G2248)</f>
        <v>1625</v>
      </c>
      <c r="O2248" s="1" t="str">
        <f t="shared" ref="O2248:O2311" si="249">WEEKNUM(E2248) &amp; " " &amp; YEAR(E2248)</f>
        <v>27 2012</v>
      </c>
      <c r="P2248" s="1">
        <f t="shared" ref="P2248:P2311" si="250">LEN(C2248)</f>
        <v>23</v>
      </c>
      <c r="Q2248" s="1">
        <f t="shared" ref="Q2248:Q2311" ca="1" si="251">DATEDIF(E2248,NOW(),"D")</f>
        <v>4040</v>
      </c>
      <c r="S2248" s="1">
        <f t="shared" si="245"/>
        <v>4793</v>
      </c>
    </row>
    <row r="2249" spans="1:19" x14ac:dyDescent="0.2">
      <c r="A2249" s="57" t="s">
        <v>240</v>
      </c>
      <c r="B2249" s="57" t="s">
        <v>225</v>
      </c>
      <c r="C2249" s="57" t="s">
        <v>226</v>
      </c>
      <c r="D2249" s="58">
        <v>317.08</v>
      </c>
      <c r="E2249" s="59">
        <v>41094</v>
      </c>
      <c r="F2249" s="58">
        <v>4793</v>
      </c>
      <c r="G2249" s="58">
        <v>1687</v>
      </c>
      <c r="H2249" s="58">
        <v>1177</v>
      </c>
      <c r="I2249" s="58">
        <v>5259</v>
      </c>
      <c r="J2249" s="58">
        <v>0</v>
      </c>
      <c r="K2249" s="1">
        <f t="shared" si="246"/>
        <v>373203.16</v>
      </c>
      <c r="L2249" s="1">
        <f t="shared" si="247"/>
        <v>1177</v>
      </c>
      <c r="M2249" s="1">
        <f>VLOOKUP(B2249,'[1]Срок Годности'!$A$2:$B$4,2,0)</f>
        <v>500</v>
      </c>
      <c r="N2249" s="60">
        <f t="shared" si="248"/>
        <v>1687</v>
      </c>
      <c r="O2249" s="1" t="str">
        <f t="shared" si="249"/>
        <v>27 2012</v>
      </c>
      <c r="P2249" s="1">
        <f t="shared" si="250"/>
        <v>23</v>
      </c>
      <c r="Q2249" s="1">
        <f t="shared" ca="1" si="251"/>
        <v>4039</v>
      </c>
      <c r="S2249" s="1">
        <f t="shared" si="245"/>
        <v>5259</v>
      </c>
    </row>
    <row r="2250" spans="1:19" x14ac:dyDescent="0.2">
      <c r="A2250" s="57" t="s">
        <v>240</v>
      </c>
      <c r="B2250" s="57" t="s">
        <v>225</v>
      </c>
      <c r="C2250" s="57" t="s">
        <v>226</v>
      </c>
      <c r="D2250" s="58">
        <v>317.08</v>
      </c>
      <c r="E2250" s="59">
        <v>41095</v>
      </c>
      <c r="F2250" s="58">
        <v>5259</v>
      </c>
      <c r="G2250" s="58">
        <v>1462</v>
      </c>
      <c r="H2250" s="58">
        <v>1184</v>
      </c>
      <c r="I2250" s="58">
        <v>5489</v>
      </c>
      <c r="J2250" s="58">
        <v>0</v>
      </c>
      <c r="K2250" s="1">
        <f t="shared" si="246"/>
        <v>375422.71999999997</v>
      </c>
      <c r="L2250" s="1">
        <f t="shared" si="247"/>
        <v>1184</v>
      </c>
      <c r="M2250" s="1">
        <f>VLOOKUP(B2250,'[1]Срок Годности'!$A$2:$B$4,2,0)</f>
        <v>500</v>
      </c>
      <c r="N2250" s="60">
        <f t="shared" si="248"/>
        <v>1462</v>
      </c>
      <c r="O2250" s="1" t="str">
        <f t="shared" si="249"/>
        <v>27 2012</v>
      </c>
      <c r="P2250" s="1">
        <f t="shared" si="250"/>
        <v>23</v>
      </c>
      <c r="Q2250" s="1">
        <f t="shared" ca="1" si="251"/>
        <v>4038</v>
      </c>
      <c r="S2250" s="1">
        <f t="shared" si="245"/>
        <v>5489</v>
      </c>
    </row>
    <row r="2251" spans="1:19" x14ac:dyDescent="0.2">
      <c r="A2251" s="57" t="s">
        <v>240</v>
      </c>
      <c r="B2251" s="57" t="s">
        <v>225</v>
      </c>
      <c r="C2251" s="57" t="s">
        <v>226</v>
      </c>
      <c r="D2251" s="58">
        <v>317.08</v>
      </c>
      <c r="E2251" s="59">
        <v>41096</v>
      </c>
      <c r="F2251" s="58">
        <v>5489</v>
      </c>
      <c r="G2251" s="58">
        <v>1520</v>
      </c>
      <c r="H2251" s="58">
        <v>1167</v>
      </c>
      <c r="I2251" s="58">
        <v>5809</v>
      </c>
      <c r="J2251" s="58">
        <v>0</v>
      </c>
      <c r="K2251" s="1">
        <f t="shared" si="246"/>
        <v>370032.36</v>
      </c>
      <c r="L2251" s="1">
        <f t="shared" si="247"/>
        <v>1167</v>
      </c>
      <c r="M2251" s="1">
        <f>VLOOKUP(B2251,'[1]Срок Годности'!$A$2:$B$4,2,0)</f>
        <v>500</v>
      </c>
      <c r="N2251" s="60">
        <f t="shared" si="248"/>
        <v>1520</v>
      </c>
      <c r="O2251" s="1" t="str">
        <f t="shared" si="249"/>
        <v>27 2012</v>
      </c>
      <c r="P2251" s="1">
        <f t="shared" si="250"/>
        <v>23</v>
      </c>
      <c r="Q2251" s="1">
        <f t="shared" ca="1" si="251"/>
        <v>4037</v>
      </c>
      <c r="S2251" s="1">
        <f t="shared" si="245"/>
        <v>5809</v>
      </c>
    </row>
    <row r="2252" spans="1:19" x14ac:dyDescent="0.2">
      <c r="A2252" s="57" t="s">
        <v>240</v>
      </c>
      <c r="B2252" s="57" t="s">
        <v>225</v>
      </c>
      <c r="C2252" s="57" t="s">
        <v>226</v>
      </c>
      <c r="D2252" s="58">
        <v>317.08</v>
      </c>
      <c r="E2252" s="59">
        <v>41097</v>
      </c>
      <c r="F2252" s="58">
        <v>5809</v>
      </c>
      <c r="G2252" s="58">
        <v>1331</v>
      </c>
      <c r="H2252" s="58">
        <v>1133</v>
      </c>
      <c r="I2252" s="58">
        <v>5956</v>
      </c>
      <c r="J2252" s="58">
        <v>0</v>
      </c>
      <c r="K2252" s="1">
        <f t="shared" si="246"/>
        <v>359251.63999999996</v>
      </c>
      <c r="L2252" s="1">
        <f t="shared" si="247"/>
        <v>1133</v>
      </c>
      <c r="M2252" s="1">
        <f>VLOOKUP(B2252,'[1]Срок Годности'!$A$2:$B$4,2,0)</f>
        <v>500</v>
      </c>
      <c r="N2252" s="60">
        <f t="shared" si="248"/>
        <v>1331</v>
      </c>
      <c r="O2252" s="1" t="str">
        <f t="shared" si="249"/>
        <v>27 2012</v>
      </c>
      <c r="P2252" s="1">
        <f t="shared" si="250"/>
        <v>23</v>
      </c>
      <c r="Q2252" s="1">
        <f t="shared" ca="1" si="251"/>
        <v>4036</v>
      </c>
      <c r="S2252" s="1">
        <f t="shared" si="245"/>
        <v>5956</v>
      </c>
    </row>
    <row r="2253" spans="1:19" x14ac:dyDescent="0.2">
      <c r="A2253" s="57" t="s">
        <v>240</v>
      </c>
      <c r="B2253" s="57" t="s">
        <v>225</v>
      </c>
      <c r="C2253" s="57" t="s">
        <v>226</v>
      </c>
      <c r="D2253" s="58">
        <v>317.08</v>
      </c>
      <c r="E2253" s="59">
        <v>41098</v>
      </c>
      <c r="F2253" s="58">
        <v>5956</v>
      </c>
      <c r="G2253" s="58">
        <v>392</v>
      </c>
      <c r="H2253" s="58">
        <v>1161</v>
      </c>
      <c r="I2253" s="58">
        <v>5146</v>
      </c>
      <c r="J2253" s="58">
        <v>0</v>
      </c>
      <c r="K2253" s="1">
        <f t="shared" si="246"/>
        <v>368129.88</v>
      </c>
      <c r="L2253" s="1">
        <f t="shared" si="247"/>
        <v>1161</v>
      </c>
      <c r="M2253" s="1">
        <f>VLOOKUP(B2253,'[1]Срок Годности'!$A$2:$B$4,2,0)</f>
        <v>500</v>
      </c>
      <c r="N2253" s="60">
        <f t="shared" si="248"/>
        <v>0</v>
      </c>
      <c r="O2253" s="1" t="str">
        <f t="shared" si="249"/>
        <v>28 2012</v>
      </c>
      <c r="P2253" s="1">
        <f t="shared" si="250"/>
        <v>23</v>
      </c>
      <c r="Q2253" s="1">
        <f t="shared" ca="1" si="251"/>
        <v>4035</v>
      </c>
      <c r="S2253" s="1">
        <f t="shared" si="245"/>
        <v>5146</v>
      </c>
    </row>
    <row r="2254" spans="1:19" x14ac:dyDescent="0.2">
      <c r="A2254" s="57" t="s">
        <v>240</v>
      </c>
      <c r="B2254" s="57" t="s">
        <v>225</v>
      </c>
      <c r="C2254" s="57" t="s">
        <v>226</v>
      </c>
      <c r="D2254" s="58">
        <v>317.08</v>
      </c>
      <c r="E2254" s="59">
        <v>41099</v>
      </c>
      <c r="F2254" s="58">
        <v>5146</v>
      </c>
      <c r="G2254" s="58">
        <v>1425</v>
      </c>
      <c r="H2254" s="58">
        <v>1020</v>
      </c>
      <c r="I2254" s="58">
        <v>5498</v>
      </c>
      <c r="J2254" s="58">
        <v>0</v>
      </c>
      <c r="K2254" s="1">
        <f t="shared" si="246"/>
        <v>323421.59999999998</v>
      </c>
      <c r="L2254" s="1">
        <f t="shared" si="247"/>
        <v>1020</v>
      </c>
      <c r="M2254" s="1">
        <f>VLOOKUP(B2254,'[1]Срок Годности'!$A$2:$B$4,2,0)</f>
        <v>500</v>
      </c>
      <c r="N2254" s="60">
        <f t="shared" si="248"/>
        <v>1425</v>
      </c>
      <c r="O2254" s="1" t="str">
        <f t="shared" si="249"/>
        <v>28 2012</v>
      </c>
      <c r="P2254" s="1">
        <f t="shared" si="250"/>
        <v>23</v>
      </c>
      <c r="Q2254" s="1">
        <f t="shared" ca="1" si="251"/>
        <v>4034</v>
      </c>
      <c r="S2254" s="1">
        <f t="shared" si="245"/>
        <v>5498</v>
      </c>
    </row>
    <row r="2255" spans="1:19" x14ac:dyDescent="0.2">
      <c r="A2255" s="57" t="s">
        <v>240</v>
      </c>
      <c r="B2255" s="57" t="s">
        <v>225</v>
      </c>
      <c r="C2255" s="57" t="s">
        <v>226</v>
      </c>
      <c r="D2255" s="58">
        <v>317.08</v>
      </c>
      <c r="E2255" s="59">
        <v>41100</v>
      </c>
      <c r="F2255" s="58">
        <v>5498</v>
      </c>
      <c r="G2255" s="58">
        <v>0</v>
      </c>
      <c r="H2255" s="58">
        <v>951</v>
      </c>
      <c r="I2255" s="58">
        <v>4480</v>
      </c>
      <c r="J2255" s="58">
        <v>0</v>
      </c>
      <c r="K2255" s="1">
        <f t="shared" si="246"/>
        <v>301543.07999999996</v>
      </c>
      <c r="L2255" s="1" t="str">
        <f t="shared" si="247"/>
        <v/>
      </c>
      <c r="M2255" s="1">
        <f>VLOOKUP(B2255,'[1]Срок Годности'!$A$2:$B$4,2,0)</f>
        <v>500</v>
      </c>
      <c r="N2255" s="60">
        <f t="shared" si="248"/>
        <v>0</v>
      </c>
      <c r="O2255" s="1" t="str">
        <f t="shared" si="249"/>
        <v>28 2012</v>
      </c>
      <c r="P2255" s="1">
        <f t="shared" si="250"/>
        <v>23</v>
      </c>
      <c r="Q2255" s="1">
        <f t="shared" ca="1" si="251"/>
        <v>4033</v>
      </c>
      <c r="S2255" s="1">
        <f t="shared" si="245"/>
        <v>4480</v>
      </c>
    </row>
    <row r="2256" spans="1:19" x14ac:dyDescent="0.2">
      <c r="A2256" s="57" t="s">
        <v>240</v>
      </c>
      <c r="B2256" s="57" t="s">
        <v>225</v>
      </c>
      <c r="C2256" s="57" t="s">
        <v>226</v>
      </c>
      <c r="D2256" s="58">
        <v>317.08</v>
      </c>
      <c r="E2256" s="59">
        <v>41101</v>
      </c>
      <c r="F2256" s="58">
        <v>4480</v>
      </c>
      <c r="G2256" s="58">
        <v>8</v>
      </c>
      <c r="H2256" s="58">
        <v>810</v>
      </c>
      <c r="I2256" s="58">
        <v>3650</v>
      </c>
      <c r="J2256" s="58">
        <v>0</v>
      </c>
      <c r="K2256" s="1">
        <f t="shared" si="246"/>
        <v>256834.8</v>
      </c>
      <c r="L2256" s="1" t="str">
        <f t="shared" si="247"/>
        <v/>
      </c>
      <c r="M2256" s="1">
        <f>VLOOKUP(B2256,'[1]Срок Годности'!$A$2:$B$4,2,0)</f>
        <v>500</v>
      </c>
      <c r="N2256" s="60">
        <f t="shared" si="248"/>
        <v>8</v>
      </c>
      <c r="O2256" s="1" t="str">
        <f t="shared" si="249"/>
        <v>28 2012</v>
      </c>
      <c r="P2256" s="1">
        <f t="shared" si="250"/>
        <v>23</v>
      </c>
      <c r="Q2256" s="1">
        <f t="shared" ca="1" si="251"/>
        <v>4032</v>
      </c>
      <c r="S2256" s="1">
        <f t="shared" si="245"/>
        <v>3650</v>
      </c>
    </row>
    <row r="2257" spans="1:19" x14ac:dyDescent="0.2">
      <c r="A2257" s="57" t="s">
        <v>240</v>
      </c>
      <c r="B2257" s="57" t="s">
        <v>225</v>
      </c>
      <c r="C2257" s="57" t="s">
        <v>226</v>
      </c>
      <c r="D2257" s="58">
        <v>317.08</v>
      </c>
      <c r="E2257" s="59">
        <v>41102</v>
      </c>
      <c r="F2257" s="58">
        <v>3650</v>
      </c>
      <c r="G2257" s="58">
        <v>1758</v>
      </c>
      <c r="H2257" s="58">
        <v>710</v>
      </c>
      <c r="I2257" s="58">
        <v>4646</v>
      </c>
      <c r="J2257" s="58">
        <v>0</v>
      </c>
      <c r="K2257" s="1">
        <f t="shared" si="246"/>
        <v>225126.8</v>
      </c>
      <c r="L2257" s="1" t="str">
        <f t="shared" si="247"/>
        <v/>
      </c>
      <c r="M2257" s="1">
        <f>VLOOKUP(B2257,'[1]Срок Годности'!$A$2:$B$4,2,0)</f>
        <v>500</v>
      </c>
      <c r="N2257" s="60">
        <f t="shared" si="248"/>
        <v>1758</v>
      </c>
      <c r="O2257" s="1" t="str">
        <f t="shared" si="249"/>
        <v>28 2012</v>
      </c>
      <c r="P2257" s="1">
        <f t="shared" si="250"/>
        <v>23</v>
      </c>
      <c r="Q2257" s="1">
        <f t="shared" ca="1" si="251"/>
        <v>4031</v>
      </c>
      <c r="S2257" s="1">
        <f t="shared" si="245"/>
        <v>4646</v>
      </c>
    </row>
    <row r="2258" spans="1:19" x14ac:dyDescent="0.2">
      <c r="A2258" s="57" t="s">
        <v>240</v>
      </c>
      <c r="B2258" s="57" t="s">
        <v>225</v>
      </c>
      <c r="C2258" s="57" t="s">
        <v>226</v>
      </c>
      <c r="D2258" s="58">
        <v>317.08</v>
      </c>
      <c r="E2258" s="59">
        <v>41103</v>
      </c>
      <c r="F2258" s="58">
        <v>4646</v>
      </c>
      <c r="G2258" s="58">
        <v>0</v>
      </c>
      <c r="H2258" s="58">
        <v>788</v>
      </c>
      <c r="I2258" s="58">
        <v>3831</v>
      </c>
      <c r="J2258" s="58">
        <v>0</v>
      </c>
      <c r="K2258" s="1">
        <f t="shared" si="246"/>
        <v>249859.03999999998</v>
      </c>
      <c r="L2258" s="1" t="str">
        <f t="shared" si="247"/>
        <v/>
      </c>
      <c r="M2258" s="1">
        <f>VLOOKUP(B2258,'[1]Срок Годности'!$A$2:$B$4,2,0)</f>
        <v>500</v>
      </c>
      <c r="N2258" s="60">
        <f t="shared" si="248"/>
        <v>0</v>
      </c>
      <c r="O2258" s="1" t="str">
        <f t="shared" si="249"/>
        <v>28 2012</v>
      </c>
      <c r="P2258" s="1">
        <f t="shared" si="250"/>
        <v>23</v>
      </c>
      <c r="Q2258" s="1">
        <f t="shared" ca="1" si="251"/>
        <v>4030</v>
      </c>
      <c r="S2258" s="1">
        <f t="shared" si="245"/>
        <v>3831</v>
      </c>
    </row>
    <row r="2259" spans="1:19" x14ac:dyDescent="0.2">
      <c r="A2259" s="57" t="s">
        <v>240</v>
      </c>
      <c r="B2259" s="57" t="s">
        <v>225</v>
      </c>
      <c r="C2259" s="57" t="s">
        <v>226</v>
      </c>
      <c r="D2259" s="58">
        <v>317.08</v>
      </c>
      <c r="E2259" s="59">
        <v>41104</v>
      </c>
      <c r="F2259" s="58">
        <v>3831</v>
      </c>
      <c r="G2259" s="58">
        <v>1858</v>
      </c>
      <c r="H2259" s="58">
        <v>805</v>
      </c>
      <c r="I2259" s="58">
        <v>4862</v>
      </c>
      <c r="J2259" s="58">
        <v>0</v>
      </c>
      <c r="K2259" s="1">
        <f t="shared" si="246"/>
        <v>255249.4</v>
      </c>
      <c r="L2259" s="1" t="str">
        <f t="shared" si="247"/>
        <v/>
      </c>
      <c r="M2259" s="1">
        <f>VLOOKUP(B2259,'[1]Срок Годности'!$A$2:$B$4,2,0)</f>
        <v>500</v>
      </c>
      <c r="N2259" s="60">
        <f t="shared" si="248"/>
        <v>1858</v>
      </c>
      <c r="O2259" s="1" t="str">
        <f t="shared" si="249"/>
        <v>28 2012</v>
      </c>
      <c r="P2259" s="1">
        <f t="shared" si="250"/>
        <v>23</v>
      </c>
      <c r="Q2259" s="1">
        <f t="shared" ca="1" si="251"/>
        <v>4029</v>
      </c>
      <c r="S2259" s="1">
        <f t="shared" si="245"/>
        <v>4862</v>
      </c>
    </row>
    <row r="2260" spans="1:19" x14ac:dyDescent="0.2">
      <c r="A2260" s="57" t="s">
        <v>240</v>
      </c>
      <c r="B2260" s="57" t="s">
        <v>225</v>
      </c>
      <c r="C2260" s="57" t="s">
        <v>226</v>
      </c>
      <c r="D2260" s="58">
        <v>317.08</v>
      </c>
      <c r="E2260" s="59">
        <v>41105</v>
      </c>
      <c r="F2260" s="58">
        <v>4862</v>
      </c>
      <c r="G2260" s="58">
        <v>0</v>
      </c>
      <c r="H2260" s="58">
        <v>799</v>
      </c>
      <c r="I2260" s="58">
        <v>4050</v>
      </c>
      <c r="J2260" s="58">
        <v>0</v>
      </c>
      <c r="K2260" s="1">
        <f t="shared" si="246"/>
        <v>253346.91999999998</v>
      </c>
      <c r="L2260" s="1" t="str">
        <f t="shared" si="247"/>
        <v/>
      </c>
      <c r="M2260" s="1">
        <f>VLOOKUP(B2260,'[1]Срок Годности'!$A$2:$B$4,2,0)</f>
        <v>500</v>
      </c>
      <c r="N2260" s="60">
        <f t="shared" si="248"/>
        <v>0</v>
      </c>
      <c r="O2260" s="1" t="str">
        <f t="shared" si="249"/>
        <v>29 2012</v>
      </c>
      <c r="P2260" s="1">
        <f t="shared" si="250"/>
        <v>23</v>
      </c>
      <c r="Q2260" s="1">
        <f t="shared" ca="1" si="251"/>
        <v>4028</v>
      </c>
      <c r="S2260" s="1">
        <f t="shared" si="245"/>
        <v>4050</v>
      </c>
    </row>
    <row r="2261" spans="1:19" x14ac:dyDescent="0.2">
      <c r="A2261" s="57" t="s">
        <v>240</v>
      </c>
      <c r="B2261" s="57" t="s">
        <v>225</v>
      </c>
      <c r="C2261" s="57" t="s">
        <v>226</v>
      </c>
      <c r="D2261" s="58">
        <v>317.08</v>
      </c>
      <c r="E2261" s="59">
        <v>41106</v>
      </c>
      <c r="F2261" s="58">
        <v>4050</v>
      </c>
      <c r="G2261" s="58">
        <v>0</v>
      </c>
      <c r="H2261" s="58">
        <v>705</v>
      </c>
      <c r="I2261" s="58">
        <v>3349</v>
      </c>
      <c r="J2261" s="58">
        <v>0</v>
      </c>
      <c r="K2261" s="1">
        <f t="shared" si="246"/>
        <v>223541.4</v>
      </c>
      <c r="L2261" s="1" t="str">
        <f t="shared" si="247"/>
        <v/>
      </c>
      <c r="M2261" s="1">
        <f>VLOOKUP(B2261,'[1]Срок Годности'!$A$2:$B$4,2,0)</f>
        <v>500</v>
      </c>
      <c r="N2261" s="60">
        <f t="shared" si="248"/>
        <v>0</v>
      </c>
      <c r="O2261" s="1" t="str">
        <f t="shared" si="249"/>
        <v>29 2012</v>
      </c>
      <c r="P2261" s="1">
        <f t="shared" si="250"/>
        <v>23</v>
      </c>
      <c r="Q2261" s="1">
        <f t="shared" ca="1" si="251"/>
        <v>4027</v>
      </c>
      <c r="S2261" s="1">
        <f t="shared" si="245"/>
        <v>3349</v>
      </c>
    </row>
    <row r="2262" spans="1:19" x14ac:dyDescent="0.2">
      <c r="A2262" s="57" t="s">
        <v>240</v>
      </c>
      <c r="B2262" s="57" t="s">
        <v>225</v>
      </c>
      <c r="C2262" s="57" t="s">
        <v>226</v>
      </c>
      <c r="D2262" s="58">
        <v>317.08</v>
      </c>
      <c r="E2262" s="59">
        <v>41107</v>
      </c>
      <c r="F2262" s="58">
        <v>3349</v>
      </c>
      <c r="G2262" s="58">
        <v>0</v>
      </c>
      <c r="H2262" s="58">
        <v>498</v>
      </c>
      <c r="I2262" s="58">
        <v>2851</v>
      </c>
      <c r="J2262" s="58">
        <v>0</v>
      </c>
      <c r="K2262" s="1">
        <f t="shared" si="246"/>
        <v>157905.84</v>
      </c>
      <c r="L2262" s="1" t="str">
        <f t="shared" si="247"/>
        <v/>
      </c>
      <c r="M2262" s="1">
        <f>VLOOKUP(B2262,'[1]Срок Годности'!$A$2:$B$4,2,0)</f>
        <v>500</v>
      </c>
      <c r="N2262" s="60">
        <f t="shared" si="248"/>
        <v>0</v>
      </c>
      <c r="O2262" s="1" t="str">
        <f t="shared" si="249"/>
        <v>29 2012</v>
      </c>
      <c r="P2262" s="1">
        <f t="shared" si="250"/>
        <v>23</v>
      </c>
      <c r="Q2262" s="1">
        <f t="shared" ca="1" si="251"/>
        <v>4026</v>
      </c>
      <c r="S2262" s="1">
        <f t="shared" si="245"/>
        <v>2851</v>
      </c>
    </row>
    <row r="2263" spans="1:19" x14ac:dyDescent="0.2">
      <c r="A2263" s="57" t="s">
        <v>240</v>
      </c>
      <c r="B2263" s="57" t="s">
        <v>244</v>
      </c>
      <c r="C2263" s="57" t="s">
        <v>245</v>
      </c>
      <c r="D2263" s="58">
        <v>33.659999999999997</v>
      </c>
      <c r="E2263" s="59">
        <v>41061</v>
      </c>
      <c r="F2263" s="58">
        <v>62639</v>
      </c>
      <c r="G2263" s="58">
        <v>9694</v>
      </c>
      <c r="H2263" s="58">
        <v>10613</v>
      </c>
      <c r="I2263" s="58">
        <v>61636</v>
      </c>
      <c r="J2263" s="58">
        <v>0</v>
      </c>
      <c r="K2263" s="1">
        <f t="shared" si="246"/>
        <v>357233.57999999996</v>
      </c>
      <c r="L2263" s="1">
        <f t="shared" si="247"/>
        <v>10613</v>
      </c>
      <c r="M2263" s="1">
        <f>VLOOKUP(B2263,'[1]Срок Годности'!$A$2:$B$4,2,0)</f>
        <v>1500</v>
      </c>
      <c r="N2263" s="60">
        <f t="shared" si="248"/>
        <v>9694</v>
      </c>
      <c r="O2263" s="1" t="str">
        <f t="shared" si="249"/>
        <v>22 2012</v>
      </c>
      <c r="P2263" s="1">
        <f t="shared" si="250"/>
        <v>21</v>
      </c>
      <c r="Q2263" s="1">
        <f t="shared" ca="1" si="251"/>
        <v>4072</v>
      </c>
      <c r="S2263" s="1">
        <f t="shared" si="245"/>
        <v>61636</v>
      </c>
    </row>
    <row r="2264" spans="1:19" x14ac:dyDescent="0.2">
      <c r="A2264" s="57" t="s">
        <v>240</v>
      </c>
      <c r="B2264" s="57" t="s">
        <v>244</v>
      </c>
      <c r="C2264" s="57" t="s">
        <v>245</v>
      </c>
      <c r="D2264" s="58">
        <v>33.659999999999997</v>
      </c>
      <c r="E2264" s="59">
        <v>41062</v>
      </c>
      <c r="F2264" s="58">
        <v>61636</v>
      </c>
      <c r="G2264" s="58">
        <v>8424</v>
      </c>
      <c r="H2264" s="58">
        <v>10737</v>
      </c>
      <c r="I2264" s="58">
        <v>59136</v>
      </c>
      <c r="J2264" s="58">
        <v>0</v>
      </c>
      <c r="K2264" s="1">
        <f t="shared" si="246"/>
        <v>361407.42</v>
      </c>
      <c r="L2264" s="1">
        <f t="shared" si="247"/>
        <v>10737</v>
      </c>
      <c r="M2264" s="1">
        <f>VLOOKUP(B2264,'[1]Срок Годности'!$A$2:$B$4,2,0)</f>
        <v>1500</v>
      </c>
      <c r="N2264" s="60">
        <f t="shared" si="248"/>
        <v>8424</v>
      </c>
      <c r="O2264" s="1" t="str">
        <f t="shared" si="249"/>
        <v>22 2012</v>
      </c>
      <c r="P2264" s="1">
        <f t="shared" si="250"/>
        <v>21</v>
      </c>
      <c r="Q2264" s="1">
        <f t="shared" ca="1" si="251"/>
        <v>4071</v>
      </c>
      <c r="S2264" s="1">
        <f t="shared" si="245"/>
        <v>59136</v>
      </c>
    </row>
    <row r="2265" spans="1:19" x14ac:dyDescent="0.2">
      <c r="A2265" s="57" t="s">
        <v>240</v>
      </c>
      <c r="B2265" s="57" t="s">
        <v>244</v>
      </c>
      <c r="C2265" s="57" t="s">
        <v>245</v>
      </c>
      <c r="D2265" s="58">
        <v>33.659999999999997</v>
      </c>
      <c r="E2265" s="59">
        <v>41063</v>
      </c>
      <c r="F2265" s="58">
        <v>59136</v>
      </c>
      <c r="G2265" s="58">
        <v>13428</v>
      </c>
      <c r="H2265" s="58">
        <v>11703</v>
      </c>
      <c r="I2265" s="58">
        <v>60719</v>
      </c>
      <c r="J2265" s="58">
        <v>0</v>
      </c>
      <c r="K2265" s="1">
        <f t="shared" si="246"/>
        <v>393922.98</v>
      </c>
      <c r="L2265" s="1">
        <f t="shared" si="247"/>
        <v>11703</v>
      </c>
      <c r="M2265" s="1">
        <f>VLOOKUP(B2265,'[1]Срок Годности'!$A$2:$B$4,2,0)</f>
        <v>1500</v>
      </c>
      <c r="N2265" s="60">
        <f t="shared" si="248"/>
        <v>0</v>
      </c>
      <c r="O2265" s="1" t="str">
        <f t="shared" si="249"/>
        <v>23 2012</v>
      </c>
      <c r="P2265" s="1">
        <f t="shared" si="250"/>
        <v>21</v>
      </c>
      <c r="Q2265" s="1">
        <f t="shared" ca="1" si="251"/>
        <v>4070</v>
      </c>
      <c r="S2265" s="1">
        <f t="shared" si="245"/>
        <v>60719</v>
      </c>
    </row>
    <row r="2266" spans="1:19" x14ac:dyDescent="0.2">
      <c r="A2266" s="57" t="s">
        <v>240</v>
      </c>
      <c r="B2266" s="57" t="s">
        <v>244</v>
      </c>
      <c r="C2266" s="57" t="s">
        <v>245</v>
      </c>
      <c r="D2266" s="58">
        <v>33.659999999999997</v>
      </c>
      <c r="E2266" s="59">
        <v>41064</v>
      </c>
      <c r="F2266" s="58">
        <v>60719</v>
      </c>
      <c r="G2266" s="58">
        <v>12684</v>
      </c>
      <c r="H2266" s="58">
        <v>13485</v>
      </c>
      <c r="I2266" s="58">
        <v>59594</v>
      </c>
      <c r="J2266" s="58">
        <v>0</v>
      </c>
      <c r="K2266" s="1">
        <f t="shared" si="246"/>
        <v>453905.1</v>
      </c>
      <c r="L2266" s="1">
        <f t="shared" si="247"/>
        <v>13485</v>
      </c>
      <c r="M2266" s="1">
        <f>VLOOKUP(B2266,'[1]Срок Годности'!$A$2:$B$4,2,0)</f>
        <v>1500</v>
      </c>
      <c r="N2266" s="60">
        <f t="shared" si="248"/>
        <v>12684</v>
      </c>
      <c r="O2266" s="1" t="str">
        <f t="shared" si="249"/>
        <v>23 2012</v>
      </c>
      <c r="P2266" s="1">
        <f t="shared" si="250"/>
        <v>21</v>
      </c>
      <c r="Q2266" s="1">
        <f t="shared" ca="1" si="251"/>
        <v>4069</v>
      </c>
      <c r="S2266" s="1">
        <f t="shared" si="245"/>
        <v>59594</v>
      </c>
    </row>
    <row r="2267" spans="1:19" x14ac:dyDescent="0.2">
      <c r="A2267" s="57" t="s">
        <v>240</v>
      </c>
      <c r="B2267" s="57" t="s">
        <v>244</v>
      </c>
      <c r="C2267" s="57" t="s">
        <v>245</v>
      </c>
      <c r="D2267" s="58">
        <v>33.659999999999997</v>
      </c>
      <c r="E2267" s="59">
        <v>41065</v>
      </c>
      <c r="F2267" s="58">
        <v>59594</v>
      </c>
      <c r="G2267" s="58">
        <v>14227</v>
      </c>
      <c r="H2267" s="58">
        <v>13156</v>
      </c>
      <c r="I2267" s="58">
        <v>60672</v>
      </c>
      <c r="J2267" s="58">
        <v>0</v>
      </c>
      <c r="K2267" s="1">
        <f t="shared" si="246"/>
        <v>442830.95999999996</v>
      </c>
      <c r="L2267" s="1">
        <f t="shared" si="247"/>
        <v>13156</v>
      </c>
      <c r="M2267" s="1">
        <f>VLOOKUP(B2267,'[1]Срок Годности'!$A$2:$B$4,2,0)</f>
        <v>1500</v>
      </c>
      <c r="N2267" s="60">
        <f t="shared" si="248"/>
        <v>14227</v>
      </c>
      <c r="O2267" s="1" t="str">
        <f t="shared" si="249"/>
        <v>23 2012</v>
      </c>
      <c r="P2267" s="1">
        <f t="shared" si="250"/>
        <v>21</v>
      </c>
      <c r="Q2267" s="1">
        <f t="shared" ca="1" si="251"/>
        <v>4068</v>
      </c>
      <c r="S2267" s="1">
        <f t="shared" si="245"/>
        <v>60672</v>
      </c>
    </row>
    <row r="2268" spans="1:19" x14ac:dyDescent="0.2">
      <c r="A2268" s="57" t="s">
        <v>240</v>
      </c>
      <c r="B2268" s="57" t="s">
        <v>244</v>
      </c>
      <c r="C2268" s="57" t="s">
        <v>245</v>
      </c>
      <c r="D2268" s="58">
        <v>33.659999999999997</v>
      </c>
      <c r="E2268" s="59">
        <v>41066</v>
      </c>
      <c r="F2268" s="58">
        <v>60672</v>
      </c>
      <c r="G2268" s="58">
        <v>582</v>
      </c>
      <c r="H2268" s="58">
        <v>12580</v>
      </c>
      <c r="I2268" s="58">
        <v>48575</v>
      </c>
      <c r="J2268" s="58">
        <v>0</v>
      </c>
      <c r="K2268" s="1">
        <f t="shared" si="246"/>
        <v>423442.79999999993</v>
      </c>
      <c r="L2268" s="1">
        <f t="shared" si="247"/>
        <v>12580</v>
      </c>
      <c r="M2268" s="1">
        <f>VLOOKUP(B2268,'[1]Срок Годности'!$A$2:$B$4,2,0)</f>
        <v>1500</v>
      </c>
      <c r="N2268" s="60">
        <f t="shared" si="248"/>
        <v>582</v>
      </c>
      <c r="O2268" s="1" t="str">
        <f t="shared" si="249"/>
        <v>23 2012</v>
      </c>
      <c r="P2268" s="1">
        <f t="shared" si="250"/>
        <v>21</v>
      </c>
      <c r="Q2268" s="1">
        <f t="shared" ca="1" si="251"/>
        <v>4067</v>
      </c>
      <c r="S2268" s="1">
        <f t="shared" si="245"/>
        <v>48575</v>
      </c>
    </row>
    <row r="2269" spans="1:19" x14ac:dyDescent="0.2">
      <c r="A2269" s="57" t="s">
        <v>240</v>
      </c>
      <c r="B2269" s="57" t="s">
        <v>244</v>
      </c>
      <c r="C2269" s="57" t="s">
        <v>245</v>
      </c>
      <c r="D2269" s="58">
        <v>33.659999999999997</v>
      </c>
      <c r="E2269" s="59">
        <v>41067</v>
      </c>
      <c r="F2269" s="58">
        <v>48575</v>
      </c>
      <c r="G2269" s="58">
        <v>28952</v>
      </c>
      <c r="H2269" s="58">
        <v>13483</v>
      </c>
      <c r="I2269" s="58">
        <v>63981</v>
      </c>
      <c r="J2269" s="58">
        <v>0</v>
      </c>
      <c r="K2269" s="1">
        <f t="shared" si="246"/>
        <v>453837.77999999997</v>
      </c>
      <c r="L2269" s="1">
        <f t="shared" si="247"/>
        <v>13483</v>
      </c>
      <c r="M2269" s="1">
        <f>VLOOKUP(B2269,'[1]Срок Годности'!$A$2:$B$4,2,0)</f>
        <v>1500</v>
      </c>
      <c r="N2269" s="60">
        <f t="shared" si="248"/>
        <v>28952</v>
      </c>
      <c r="O2269" s="1" t="str">
        <f t="shared" si="249"/>
        <v>23 2012</v>
      </c>
      <c r="P2269" s="1">
        <f t="shared" si="250"/>
        <v>21</v>
      </c>
      <c r="Q2269" s="1">
        <f t="shared" ca="1" si="251"/>
        <v>4066</v>
      </c>
      <c r="S2269" s="1">
        <f t="shared" si="245"/>
        <v>63981</v>
      </c>
    </row>
    <row r="2270" spans="1:19" x14ac:dyDescent="0.2">
      <c r="A2270" s="57" t="s">
        <v>240</v>
      </c>
      <c r="B2270" s="57" t="s">
        <v>244</v>
      </c>
      <c r="C2270" s="57" t="s">
        <v>245</v>
      </c>
      <c r="D2270" s="58">
        <v>33.659999999999997</v>
      </c>
      <c r="E2270" s="59">
        <v>41068</v>
      </c>
      <c r="F2270" s="58">
        <v>63981</v>
      </c>
      <c r="G2270" s="58">
        <v>23902</v>
      </c>
      <c r="H2270" s="58">
        <v>15209</v>
      </c>
      <c r="I2270" s="58">
        <v>72383</v>
      </c>
      <c r="J2270" s="58">
        <v>0</v>
      </c>
      <c r="K2270" s="1">
        <f t="shared" si="246"/>
        <v>511934.93999999994</v>
      </c>
      <c r="L2270" s="1">
        <f t="shared" si="247"/>
        <v>15209</v>
      </c>
      <c r="M2270" s="1">
        <f>VLOOKUP(B2270,'[1]Срок Годности'!$A$2:$B$4,2,0)</f>
        <v>1500</v>
      </c>
      <c r="N2270" s="60">
        <f t="shared" si="248"/>
        <v>23902</v>
      </c>
      <c r="O2270" s="1" t="str">
        <f t="shared" si="249"/>
        <v>23 2012</v>
      </c>
      <c r="P2270" s="1">
        <f t="shared" si="250"/>
        <v>21</v>
      </c>
      <c r="Q2270" s="1">
        <f t="shared" ca="1" si="251"/>
        <v>4065</v>
      </c>
      <c r="S2270" s="1">
        <f t="shared" si="245"/>
        <v>72383</v>
      </c>
    </row>
    <row r="2271" spans="1:19" x14ac:dyDescent="0.2">
      <c r="A2271" s="57" t="s">
        <v>240</v>
      </c>
      <c r="B2271" s="57" t="s">
        <v>244</v>
      </c>
      <c r="C2271" s="57" t="s">
        <v>245</v>
      </c>
      <c r="D2271" s="58">
        <v>33.659999999999997</v>
      </c>
      <c r="E2271" s="59">
        <v>41069</v>
      </c>
      <c r="F2271" s="58">
        <v>72383</v>
      </c>
      <c r="G2271" s="58">
        <v>16564</v>
      </c>
      <c r="H2271" s="58">
        <v>15681</v>
      </c>
      <c r="I2271" s="58">
        <v>73122</v>
      </c>
      <c r="J2271" s="58">
        <v>1</v>
      </c>
      <c r="K2271" s="1">
        <f t="shared" si="246"/>
        <v>527822.46</v>
      </c>
      <c r="L2271" s="1">
        <f t="shared" si="247"/>
        <v>15681</v>
      </c>
      <c r="M2271" s="1">
        <f>VLOOKUP(B2271,'[1]Срок Годности'!$A$2:$B$4,2,0)</f>
        <v>1500</v>
      </c>
      <c r="N2271" s="60">
        <f t="shared" si="248"/>
        <v>16564</v>
      </c>
      <c r="O2271" s="1" t="str">
        <f t="shared" si="249"/>
        <v>23 2012</v>
      </c>
      <c r="P2271" s="1">
        <f t="shared" si="250"/>
        <v>21</v>
      </c>
      <c r="Q2271" s="1">
        <f t="shared" ca="1" si="251"/>
        <v>4064</v>
      </c>
      <c r="S2271" s="1">
        <f t="shared" si="245"/>
        <v>73121</v>
      </c>
    </row>
    <row r="2272" spans="1:19" x14ac:dyDescent="0.2">
      <c r="A2272" s="57" t="s">
        <v>240</v>
      </c>
      <c r="B2272" s="57" t="s">
        <v>244</v>
      </c>
      <c r="C2272" s="57" t="s">
        <v>245</v>
      </c>
      <c r="D2272" s="58">
        <v>33.659999999999997</v>
      </c>
      <c r="E2272" s="59">
        <v>41070</v>
      </c>
      <c r="F2272" s="58">
        <v>73122</v>
      </c>
      <c r="G2272" s="58">
        <v>13408</v>
      </c>
      <c r="H2272" s="58">
        <v>16087</v>
      </c>
      <c r="I2272" s="58">
        <v>71496</v>
      </c>
      <c r="J2272" s="58">
        <v>0</v>
      </c>
      <c r="K2272" s="1">
        <f t="shared" si="246"/>
        <v>541488.41999999993</v>
      </c>
      <c r="L2272" s="1">
        <f t="shared" si="247"/>
        <v>16087</v>
      </c>
      <c r="M2272" s="1">
        <f>VLOOKUP(B2272,'[1]Срок Годности'!$A$2:$B$4,2,0)</f>
        <v>1500</v>
      </c>
      <c r="N2272" s="60">
        <f t="shared" si="248"/>
        <v>0</v>
      </c>
      <c r="O2272" s="1" t="str">
        <f t="shared" si="249"/>
        <v>24 2012</v>
      </c>
      <c r="P2272" s="1">
        <f t="shared" si="250"/>
        <v>21</v>
      </c>
      <c r="Q2272" s="1">
        <f t="shared" ca="1" si="251"/>
        <v>4063</v>
      </c>
      <c r="S2272" s="1">
        <f t="shared" si="245"/>
        <v>71496</v>
      </c>
    </row>
    <row r="2273" spans="1:19" x14ac:dyDescent="0.2">
      <c r="A2273" s="57" t="s">
        <v>240</v>
      </c>
      <c r="B2273" s="57" t="s">
        <v>244</v>
      </c>
      <c r="C2273" s="57" t="s">
        <v>245</v>
      </c>
      <c r="D2273" s="58">
        <v>33.659999999999997</v>
      </c>
      <c r="E2273" s="59">
        <v>41071</v>
      </c>
      <c r="F2273" s="58">
        <v>71496</v>
      </c>
      <c r="G2273" s="58">
        <v>8672</v>
      </c>
      <c r="H2273" s="58">
        <v>15393</v>
      </c>
      <c r="I2273" s="58">
        <v>64543</v>
      </c>
      <c r="J2273" s="58">
        <v>1</v>
      </c>
      <c r="K2273" s="1">
        <f t="shared" si="246"/>
        <v>518128.37999999995</v>
      </c>
      <c r="L2273" s="1">
        <f t="shared" si="247"/>
        <v>15393</v>
      </c>
      <c r="M2273" s="1">
        <f>VLOOKUP(B2273,'[1]Срок Годности'!$A$2:$B$4,2,0)</f>
        <v>1500</v>
      </c>
      <c r="N2273" s="60">
        <f t="shared" si="248"/>
        <v>8672</v>
      </c>
      <c r="O2273" s="1" t="str">
        <f t="shared" si="249"/>
        <v>24 2012</v>
      </c>
      <c r="P2273" s="1">
        <f t="shared" si="250"/>
        <v>21</v>
      </c>
      <c r="Q2273" s="1">
        <f t="shared" ca="1" si="251"/>
        <v>4062</v>
      </c>
      <c r="S2273" s="1">
        <f t="shared" si="245"/>
        <v>64542</v>
      </c>
    </row>
    <row r="2274" spans="1:19" x14ac:dyDescent="0.2">
      <c r="A2274" s="57" t="s">
        <v>240</v>
      </c>
      <c r="B2274" s="57" t="s">
        <v>244</v>
      </c>
      <c r="C2274" s="57" t="s">
        <v>245</v>
      </c>
      <c r="D2274" s="58">
        <v>33.659999999999997</v>
      </c>
      <c r="E2274" s="59">
        <v>41072</v>
      </c>
      <c r="F2274" s="58">
        <v>64543</v>
      </c>
      <c r="G2274" s="58">
        <v>15320</v>
      </c>
      <c r="H2274" s="58">
        <v>15144</v>
      </c>
      <c r="I2274" s="58">
        <v>64574</v>
      </c>
      <c r="J2274" s="58">
        <v>0</v>
      </c>
      <c r="K2274" s="1">
        <f t="shared" si="246"/>
        <v>509747.03999999992</v>
      </c>
      <c r="L2274" s="1">
        <f t="shared" si="247"/>
        <v>15144</v>
      </c>
      <c r="M2274" s="1">
        <f>VLOOKUP(B2274,'[1]Срок Годности'!$A$2:$B$4,2,0)</f>
        <v>1500</v>
      </c>
      <c r="N2274" s="60">
        <f t="shared" si="248"/>
        <v>15320</v>
      </c>
      <c r="O2274" s="1" t="str">
        <f t="shared" si="249"/>
        <v>24 2012</v>
      </c>
      <c r="P2274" s="1">
        <f t="shared" si="250"/>
        <v>21</v>
      </c>
      <c r="Q2274" s="1">
        <f t="shared" ca="1" si="251"/>
        <v>4061</v>
      </c>
      <c r="S2274" s="1">
        <f t="shared" si="245"/>
        <v>64574</v>
      </c>
    </row>
    <row r="2275" spans="1:19" x14ac:dyDescent="0.2">
      <c r="A2275" s="57" t="s">
        <v>240</v>
      </c>
      <c r="B2275" s="57" t="s">
        <v>244</v>
      </c>
      <c r="C2275" s="57" t="s">
        <v>245</v>
      </c>
      <c r="D2275" s="58">
        <v>33.659999999999997</v>
      </c>
      <c r="E2275" s="59">
        <v>41073</v>
      </c>
      <c r="F2275" s="58">
        <v>64574</v>
      </c>
      <c r="G2275" s="58">
        <v>7950</v>
      </c>
      <c r="H2275" s="58">
        <v>16114</v>
      </c>
      <c r="I2275" s="58">
        <v>56254</v>
      </c>
      <c r="J2275" s="58">
        <v>0</v>
      </c>
      <c r="K2275" s="1">
        <f t="shared" si="246"/>
        <v>542397.24</v>
      </c>
      <c r="L2275" s="1">
        <f t="shared" si="247"/>
        <v>16114</v>
      </c>
      <c r="M2275" s="1">
        <f>VLOOKUP(B2275,'[1]Срок Годности'!$A$2:$B$4,2,0)</f>
        <v>1500</v>
      </c>
      <c r="N2275" s="60">
        <f t="shared" si="248"/>
        <v>7950</v>
      </c>
      <c r="O2275" s="1" t="str">
        <f t="shared" si="249"/>
        <v>24 2012</v>
      </c>
      <c r="P2275" s="1">
        <f t="shared" si="250"/>
        <v>21</v>
      </c>
      <c r="Q2275" s="1">
        <f t="shared" ca="1" si="251"/>
        <v>4060</v>
      </c>
      <c r="S2275" s="1">
        <f t="shared" si="245"/>
        <v>56254</v>
      </c>
    </row>
    <row r="2276" spans="1:19" x14ac:dyDescent="0.2">
      <c r="A2276" s="57" t="s">
        <v>240</v>
      </c>
      <c r="B2276" s="57" t="s">
        <v>244</v>
      </c>
      <c r="C2276" s="57" t="s">
        <v>245</v>
      </c>
      <c r="D2276" s="58">
        <v>33.659999999999997</v>
      </c>
      <c r="E2276" s="59">
        <v>41074</v>
      </c>
      <c r="F2276" s="58">
        <v>56254</v>
      </c>
      <c r="G2276" s="58">
        <v>18340</v>
      </c>
      <c r="H2276" s="58">
        <v>14857</v>
      </c>
      <c r="I2276" s="58">
        <v>59656</v>
      </c>
      <c r="J2276" s="58">
        <v>0</v>
      </c>
      <c r="K2276" s="1">
        <f t="shared" si="246"/>
        <v>500086.61999999994</v>
      </c>
      <c r="L2276" s="1">
        <f t="shared" si="247"/>
        <v>14857</v>
      </c>
      <c r="M2276" s="1">
        <f>VLOOKUP(B2276,'[1]Срок Годности'!$A$2:$B$4,2,0)</f>
        <v>1500</v>
      </c>
      <c r="N2276" s="60">
        <f t="shared" si="248"/>
        <v>18340</v>
      </c>
      <c r="O2276" s="1" t="str">
        <f t="shared" si="249"/>
        <v>24 2012</v>
      </c>
      <c r="P2276" s="1">
        <f t="shared" si="250"/>
        <v>21</v>
      </c>
      <c r="Q2276" s="1">
        <f t="shared" ca="1" si="251"/>
        <v>4059</v>
      </c>
      <c r="S2276" s="1">
        <f t="shared" si="245"/>
        <v>59656</v>
      </c>
    </row>
    <row r="2277" spans="1:19" x14ac:dyDescent="0.2">
      <c r="A2277" s="57" t="s">
        <v>240</v>
      </c>
      <c r="B2277" s="57" t="s">
        <v>244</v>
      </c>
      <c r="C2277" s="57" t="s">
        <v>245</v>
      </c>
      <c r="D2277" s="58">
        <v>33.659999999999997</v>
      </c>
      <c r="E2277" s="59">
        <v>41075</v>
      </c>
      <c r="F2277" s="58">
        <v>59656</v>
      </c>
      <c r="G2277" s="58">
        <v>23124</v>
      </c>
      <c r="H2277" s="58">
        <v>15027</v>
      </c>
      <c r="I2277" s="58">
        <v>67718</v>
      </c>
      <c r="J2277" s="58">
        <v>1</v>
      </c>
      <c r="K2277" s="1">
        <f t="shared" si="246"/>
        <v>505808.81999999995</v>
      </c>
      <c r="L2277" s="1">
        <f t="shared" si="247"/>
        <v>15027</v>
      </c>
      <c r="M2277" s="1">
        <f>VLOOKUP(B2277,'[1]Срок Годности'!$A$2:$B$4,2,0)</f>
        <v>1500</v>
      </c>
      <c r="N2277" s="60">
        <f t="shared" si="248"/>
        <v>23124</v>
      </c>
      <c r="O2277" s="1" t="str">
        <f t="shared" si="249"/>
        <v>24 2012</v>
      </c>
      <c r="P2277" s="1">
        <f t="shared" si="250"/>
        <v>21</v>
      </c>
      <c r="Q2277" s="1">
        <f t="shared" ca="1" si="251"/>
        <v>4058</v>
      </c>
      <c r="S2277" s="1">
        <f t="shared" si="245"/>
        <v>67717</v>
      </c>
    </row>
    <row r="2278" spans="1:19" x14ac:dyDescent="0.2">
      <c r="A2278" s="57" t="s">
        <v>240</v>
      </c>
      <c r="B2278" s="57" t="s">
        <v>244</v>
      </c>
      <c r="C2278" s="57" t="s">
        <v>245</v>
      </c>
      <c r="D2278" s="58">
        <v>33.659999999999997</v>
      </c>
      <c r="E2278" s="59">
        <v>41076</v>
      </c>
      <c r="F2278" s="58">
        <v>67718</v>
      </c>
      <c r="G2278" s="58">
        <v>13578</v>
      </c>
      <c r="H2278" s="58">
        <v>15246</v>
      </c>
      <c r="I2278" s="58">
        <v>65939</v>
      </c>
      <c r="J2278" s="58">
        <v>0</v>
      </c>
      <c r="K2278" s="1">
        <f t="shared" si="246"/>
        <v>513180.35999999993</v>
      </c>
      <c r="L2278" s="1">
        <f t="shared" si="247"/>
        <v>15246</v>
      </c>
      <c r="M2278" s="1">
        <f>VLOOKUP(B2278,'[1]Срок Годности'!$A$2:$B$4,2,0)</f>
        <v>1500</v>
      </c>
      <c r="N2278" s="60">
        <f t="shared" si="248"/>
        <v>13578</v>
      </c>
      <c r="O2278" s="1" t="str">
        <f t="shared" si="249"/>
        <v>24 2012</v>
      </c>
      <c r="P2278" s="1">
        <f t="shared" si="250"/>
        <v>21</v>
      </c>
      <c r="Q2278" s="1">
        <f t="shared" ca="1" si="251"/>
        <v>4057</v>
      </c>
      <c r="S2278" s="1">
        <f t="shared" si="245"/>
        <v>65939</v>
      </c>
    </row>
    <row r="2279" spans="1:19" x14ac:dyDescent="0.2">
      <c r="A2279" s="57" t="s">
        <v>240</v>
      </c>
      <c r="B2279" s="57" t="s">
        <v>244</v>
      </c>
      <c r="C2279" s="57" t="s">
        <v>245</v>
      </c>
      <c r="D2279" s="58">
        <v>33.659999999999997</v>
      </c>
      <c r="E2279" s="59">
        <v>41077</v>
      </c>
      <c r="F2279" s="58">
        <v>65939</v>
      </c>
      <c r="G2279" s="58">
        <v>13715</v>
      </c>
      <c r="H2279" s="58">
        <v>16876</v>
      </c>
      <c r="I2279" s="58">
        <v>62728</v>
      </c>
      <c r="J2279" s="58">
        <v>0</v>
      </c>
      <c r="K2279" s="1">
        <f t="shared" si="246"/>
        <v>568046.15999999992</v>
      </c>
      <c r="L2279" s="1">
        <f t="shared" si="247"/>
        <v>16876</v>
      </c>
      <c r="M2279" s="1">
        <f>VLOOKUP(B2279,'[1]Срок Годности'!$A$2:$B$4,2,0)</f>
        <v>1500</v>
      </c>
      <c r="N2279" s="60">
        <f t="shared" si="248"/>
        <v>0</v>
      </c>
      <c r="O2279" s="1" t="str">
        <f t="shared" si="249"/>
        <v>25 2012</v>
      </c>
      <c r="P2279" s="1">
        <f t="shared" si="250"/>
        <v>21</v>
      </c>
      <c r="Q2279" s="1">
        <f t="shared" ca="1" si="251"/>
        <v>4056</v>
      </c>
      <c r="S2279" s="1">
        <f t="shared" si="245"/>
        <v>62728</v>
      </c>
    </row>
    <row r="2280" spans="1:19" x14ac:dyDescent="0.2">
      <c r="A2280" s="57" t="s">
        <v>240</v>
      </c>
      <c r="B2280" s="57" t="s">
        <v>244</v>
      </c>
      <c r="C2280" s="57" t="s">
        <v>245</v>
      </c>
      <c r="D2280" s="58">
        <v>33.659999999999997</v>
      </c>
      <c r="E2280" s="59">
        <v>41078</v>
      </c>
      <c r="F2280" s="58">
        <v>62728</v>
      </c>
      <c r="G2280" s="58">
        <v>15576</v>
      </c>
      <c r="H2280" s="58">
        <v>17666</v>
      </c>
      <c r="I2280" s="58">
        <v>61317</v>
      </c>
      <c r="J2280" s="58">
        <v>1</v>
      </c>
      <c r="K2280" s="1">
        <f t="shared" si="246"/>
        <v>594637.55999999994</v>
      </c>
      <c r="L2280" s="1">
        <f t="shared" si="247"/>
        <v>17666</v>
      </c>
      <c r="M2280" s="1">
        <f>VLOOKUP(B2280,'[1]Срок Годности'!$A$2:$B$4,2,0)</f>
        <v>1500</v>
      </c>
      <c r="N2280" s="60">
        <f t="shared" si="248"/>
        <v>15576</v>
      </c>
      <c r="O2280" s="1" t="str">
        <f t="shared" si="249"/>
        <v>25 2012</v>
      </c>
      <c r="P2280" s="1">
        <f t="shared" si="250"/>
        <v>21</v>
      </c>
      <c r="Q2280" s="1">
        <f t="shared" ca="1" si="251"/>
        <v>4055</v>
      </c>
      <c r="S2280" s="1">
        <f t="shared" si="245"/>
        <v>61316</v>
      </c>
    </row>
    <row r="2281" spans="1:19" x14ac:dyDescent="0.2">
      <c r="A2281" s="57" t="s">
        <v>240</v>
      </c>
      <c r="B2281" s="57" t="s">
        <v>244</v>
      </c>
      <c r="C2281" s="57" t="s">
        <v>245</v>
      </c>
      <c r="D2281" s="58">
        <v>33.659999999999997</v>
      </c>
      <c r="E2281" s="59">
        <v>41079</v>
      </c>
      <c r="F2281" s="58">
        <v>61317</v>
      </c>
      <c r="G2281" s="58">
        <v>18750</v>
      </c>
      <c r="H2281" s="58">
        <v>14493</v>
      </c>
      <c r="I2281" s="58">
        <v>65753</v>
      </c>
      <c r="J2281" s="58">
        <v>0</v>
      </c>
      <c r="K2281" s="1">
        <f t="shared" si="246"/>
        <v>487834.37999999995</v>
      </c>
      <c r="L2281" s="1">
        <f t="shared" si="247"/>
        <v>14493</v>
      </c>
      <c r="M2281" s="1">
        <f>VLOOKUP(B2281,'[1]Срок Годности'!$A$2:$B$4,2,0)</f>
        <v>1500</v>
      </c>
      <c r="N2281" s="60">
        <f t="shared" si="248"/>
        <v>18750</v>
      </c>
      <c r="O2281" s="1" t="str">
        <f t="shared" si="249"/>
        <v>25 2012</v>
      </c>
      <c r="P2281" s="1">
        <f t="shared" si="250"/>
        <v>21</v>
      </c>
      <c r="Q2281" s="1">
        <f t="shared" ca="1" si="251"/>
        <v>4054</v>
      </c>
      <c r="S2281" s="1">
        <f t="shared" si="245"/>
        <v>65753</v>
      </c>
    </row>
    <row r="2282" spans="1:19" x14ac:dyDescent="0.2">
      <c r="A2282" s="57" t="s">
        <v>240</v>
      </c>
      <c r="B2282" s="57" t="s">
        <v>244</v>
      </c>
      <c r="C2282" s="57" t="s">
        <v>245</v>
      </c>
      <c r="D2282" s="58">
        <v>33.659999999999997</v>
      </c>
      <c r="E2282" s="59">
        <v>41080</v>
      </c>
      <c r="F2282" s="58">
        <v>65753</v>
      </c>
      <c r="G2282" s="58">
        <v>-92</v>
      </c>
      <c r="H2282" s="58">
        <v>14788</v>
      </c>
      <c r="I2282" s="58">
        <v>50788</v>
      </c>
      <c r="J2282" s="58">
        <v>0</v>
      </c>
      <c r="K2282" s="1">
        <f t="shared" si="246"/>
        <v>497764.07999999996</v>
      </c>
      <c r="L2282" s="1">
        <f t="shared" si="247"/>
        <v>14788</v>
      </c>
      <c r="M2282" s="1">
        <f>VLOOKUP(B2282,'[1]Срок Годности'!$A$2:$B$4,2,0)</f>
        <v>1500</v>
      </c>
      <c r="N2282" s="60">
        <f t="shared" si="248"/>
        <v>-92</v>
      </c>
      <c r="O2282" s="1" t="str">
        <f t="shared" si="249"/>
        <v>25 2012</v>
      </c>
      <c r="P2282" s="1">
        <f t="shared" si="250"/>
        <v>21</v>
      </c>
      <c r="Q2282" s="1">
        <f t="shared" ca="1" si="251"/>
        <v>4053</v>
      </c>
      <c r="S2282" s="1">
        <f t="shared" si="245"/>
        <v>50788</v>
      </c>
    </row>
    <row r="2283" spans="1:19" x14ac:dyDescent="0.2">
      <c r="A2283" s="57" t="s">
        <v>240</v>
      </c>
      <c r="B2283" s="57" t="s">
        <v>244</v>
      </c>
      <c r="C2283" s="57" t="s">
        <v>245</v>
      </c>
      <c r="D2283" s="58">
        <v>33.659999999999997</v>
      </c>
      <c r="E2283" s="59">
        <v>41081</v>
      </c>
      <c r="F2283" s="58">
        <v>50788</v>
      </c>
      <c r="G2283" s="58">
        <v>-25</v>
      </c>
      <c r="H2283" s="58">
        <v>13921</v>
      </c>
      <c r="I2283" s="58">
        <v>37301</v>
      </c>
      <c r="J2283" s="58">
        <v>0</v>
      </c>
      <c r="K2283" s="1">
        <f t="shared" si="246"/>
        <v>468580.85999999993</v>
      </c>
      <c r="L2283" s="1">
        <f t="shared" si="247"/>
        <v>13921</v>
      </c>
      <c r="M2283" s="1">
        <f>VLOOKUP(B2283,'[1]Срок Годности'!$A$2:$B$4,2,0)</f>
        <v>1500</v>
      </c>
      <c r="N2283" s="60">
        <f t="shared" si="248"/>
        <v>-25</v>
      </c>
      <c r="O2283" s="1" t="str">
        <f t="shared" si="249"/>
        <v>25 2012</v>
      </c>
      <c r="P2283" s="1">
        <f t="shared" si="250"/>
        <v>21</v>
      </c>
      <c r="Q2283" s="1">
        <f t="shared" ca="1" si="251"/>
        <v>4052</v>
      </c>
      <c r="S2283" s="1">
        <f t="shared" si="245"/>
        <v>37301</v>
      </c>
    </row>
    <row r="2284" spans="1:19" x14ac:dyDescent="0.2">
      <c r="A2284" s="57" t="s">
        <v>240</v>
      </c>
      <c r="B2284" s="57" t="s">
        <v>244</v>
      </c>
      <c r="C2284" s="57" t="s">
        <v>245</v>
      </c>
      <c r="D2284" s="58">
        <v>33.659999999999997</v>
      </c>
      <c r="E2284" s="59">
        <v>41082</v>
      </c>
      <c r="F2284" s="58">
        <v>37301</v>
      </c>
      <c r="G2284" s="58">
        <v>33736</v>
      </c>
      <c r="H2284" s="58">
        <v>13520</v>
      </c>
      <c r="I2284" s="58">
        <v>57768</v>
      </c>
      <c r="J2284" s="58">
        <v>0</v>
      </c>
      <c r="K2284" s="1">
        <f t="shared" si="246"/>
        <v>455083.19999999995</v>
      </c>
      <c r="L2284" s="1">
        <f t="shared" si="247"/>
        <v>13520</v>
      </c>
      <c r="M2284" s="1">
        <f>VLOOKUP(B2284,'[1]Срок Годности'!$A$2:$B$4,2,0)</f>
        <v>1500</v>
      </c>
      <c r="N2284" s="60">
        <f t="shared" si="248"/>
        <v>33736</v>
      </c>
      <c r="O2284" s="1" t="str">
        <f t="shared" si="249"/>
        <v>25 2012</v>
      </c>
      <c r="P2284" s="1">
        <f t="shared" si="250"/>
        <v>21</v>
      </c>
      <c r="Q2284" s="1">
        <f t="shared" ca="1" si="251"/>
        <v>4051</v>
      </c>
      <c r="S2284" s="1">
        <f t="shared" si="245"/>
        <v>57768</v>
      </c>
    </row>
    <row r="2285" spans="1:19" x14ac:dyDescent="0.2">
      <c r="A2285" s="57" t="s">
        <v>240</v>
      </c>
      <c r="B2285" s="57" t="s">
        <v>244</v>
      </c>
      <c r="C2285" s="57" t="s">
        <v>245</v>
      </c>
      <c r="D2285" s="58">
        <v>33.659999999999997</v>
      </c>
      <c r="E2285" s="59">
        <v>41083</v>
      </c>
      <c r="F2285" s="58">
        <v>57768</v>
      </c>
      <c r="G2285" s="58">
        <v>23159</v>
      </c>
      <c r="H2285" s="58">
        <v>13550</v>
      </c>
      <c r="I2285" s="58">
        <v>67276</v>
      </c>
      <c r="J2285" s="58">
        <v>0</v>
      </c>
      <c r="K2285" s="1">
        <f t="shared" si="246"/>
        <v>456092.99999999994</v>
      </c>
      <c r="L2285" s="1">
        <f t="shared" si="247"/>
        <v>13550</v>
      </c>
      <c r="M2285" s="1">
        <f>VLOOKUP(B2285,'[1]Срок Годности'!$A$2:$B$4,2,0)</f>
        <v>1500</v>
      </c>
      <c r="N2285" s="60">
        <f t="shared" si="248"/>
        <v>23159</v>
      </c>
      <c r="O2285" s="1" t="str">
        <f t="shared" si="249"/>
        <v>25 2012</v>
      </c>
      <c r="P2285" s="1">
        <f t="shared" si="250"/>
        <v>21</v>
      </c>
      <c r="Q2285" s="1">
        <f t="shared" ca="1" si="251"/>
        <v>4050</v>
      </c>
      <c r="S2285" s="1">
        <f t="shared" si="245"/>
        <v>67276</v>
      </c>
    </row>
    <row r="2286" spans="1:19" x14ac:dyDescent="0.2">
      <c r="A2286" s="57" t="s">
        <v>240</v>
      </c>
      <c r="B2286" s="57" t="s">
        <v>244</v>
      </c>
      <c r="C2286" s="57" t="s">
        <v>245</v>
      </c>
      <c r="D2286" s="58">
        <v>33.659999999999997</v>
      </c>
      <c r="E2286" s="59">
        <v>41084</v>
      </c>
      <c r="F2286" s="58">
        <v>67276</v>
      </c>
      <c r="G2286" s="58">
        <v>447</v>
      </c>
      <c r="H2286" s="58">
        <v>15303</v>
      </c>
      <c r="I2286" s="58">
        <v>52457</v>
      </c>
      <c r="J2286" s="58">
        <v>0</v>
      </c>
      <c r="K2286" s="1">
        <f t="shared" si="246"/>
        <v>515098.97999999992</v>
      </c>
      <c r="L2286" s="1">
        <f t="shared" si="247"/>
        <v>15303</v>
      </c>
      <c r="M2286" s="1">
        <f>VLOOKUP(B2286,'[1]Срок Годности'!$A$2:$B$4,2,0)</f>
        <v>1500</v>
      </c>
      <c r="N2286" s="60">
        <f t="shared" si="248"/>
        <v>0</v>
      </c>
      <c r="O2286" s="1" t="str">
        <f t="shared" si="249"/>
        <v>26 2012</v>
      </c>
      <c r="P2286" s="1">
        <f t="shared" si="250"/>
        <v>21</v>
      </c>
      <c r="Q2286" s="1">
        <f t="shared" ca="1" si="251"/>
        <v>4049</v>
      </c>
      <c r="S2286" s="1">
        <f t="shared" si="245"/>
        <v>52457</v>
      </c>
    </row>
    <row r="2287" spans="1:19" x14ac:dyDescent="0.2">
      <c r="A2287" s="57" t="s">
        <v>240</v>
      </c>
      <c r="B2287" s="57" t="s">
        <v>244</v>
      </c>
      <c r="C2287" s="57" t="s">
        <v>245</v>
      </c>
      <c r="D2287" s="58">
        <v>33.659999999999997</v>
      </c>
      <c r="E2287" s="59">
        <v>41085</v>
      </c>
      <c r="F2287" s="58">
        <v>52457</v>
      </c>
      <c r="G2287" s="58">
        <v>30886</v>
      </c>
      <c r="H2287" s="58">
        <v>17221</v>
      </c>
      <c r="I2287" s="58">
        <v>66008</v>
      </c>
      <c r="J2287" s="58">
        <v>0</v>
      </c>
      <c r="K2287" s="1">
        <f t="shared" si="246"/>
        <v>579658.86</v>
      </c>
      <c r="L2287" s="1">
        <f t="shared" si="247"/>
        <v>17221</v>
      </c>
      <c r="M2287" s="1">
        <f>VLOOKUP(B2287,'[1]Срок Годности'!$A$2:$B$4,2,0)</f>
        <v>1500</v>
      </c>
      <c r="N2287" s="60">
        <f t="shared" si="248"/>
        <v>30886</v>
      </c>
      <c r="O2287" s="1" t="str">
        <f t="shared" si="249"/>
        <v>26 2012</v>
      </c>
      <c r="P2287" s="1">
        <f t="shared" si="250"/>
        <v>21</v>
      </c>
      <c r="Q2287" s="1">
        <f t="shared" ca="1" si="251"/>
        <v>4048</v>
      </c>
      <c r="S2287" s="1">
        <f t="shared" si="245"/>
        <v>66008</v>
      </c>
    </row>
    <row r="2288" spans="1:19" x14ac:dyDescent="0.2">
      <c r="A2288" s="57" t="s">
        <v>240</v>
      </c>
      <c r="B2288" s="57" t="s">
        <v>244</v>
      </c>
      <c r="C2288" s="57" t="s">
        <v>245</v>
      </c>
      <c r="D2288" s="58">
        <v>33.659999999999997</v>
      </c>
      <c r="E2288" s="59">
        <v>41086</v>
      </c>
      <c r="F2288" s="58">
        <v>66008</v>
      </c>
      <c r="G2288" s="58">
        <v>37962</v>
      </c>
      <c r="H2288" s="58">
        <v>15374</v>
      </c>
      <c r="I2288" s="58">
        <v>88545</v>
      </c>
      <c r="J2288" s="58">
        <v>0</v>
      </c>
      <c r="K2288" s="1">
        <f t="shared" si="246"/>
        <v>517488.83999999997</v>
      </c>
      <c r="L2288" s="1">
        <f t="shared" si="247"/>
        <v>15374</v>
      </c>
      <c r="M2288" s="1">
        <f>VLOOKUP(B2288,'[1]Срок Годности'!$A$2:$B$4,2,0)</f>
        <v>1500</v>
      </c>
      <c r="N2288" s="60">
        <f t="shared" si="248"/>
        <v>37962</v>
      </c>
      <c r="O2288" s="1" t="str">
        <f t="shared" si="249"/>
        <v>26 2012</v>
      </c>
      <c r="P2288" s="1">
        <f t="shared" si="250"/>
        <v>21</v>
      </c>
      <c r="Q2288" s="1">
        <f t="shared" ca="1" si="251"/>
        <v>4047</v>
      </c>
      <c r="S2288" s="1">
        <f t="shared" si="245"/>
        <v>88545</v>
      </c>
    </row>
    <row r="2289" spans="1:19" x14ac:dyDescent="0.2">
      <c r="A2289" s="57" t="s">
        <v>240</v>
      </c>
      <c r="B2289" s="57" t="s">
        <v>244</v>
      </c>
      <c r="C2289" s="57" t="s">
        <v>245</v>
      </c>
      <c r="D2289" s="58">
        <v>33.659999999999997</v>
      </c>
      <c r="E2289" s="59">
        <v>41087</v>
      </c>
      <c r="F2289" s="58">
        <v>88545</v>
      </c>
      <c r="G2289" s="58">
        <v>27022</v>
      </c>
      <c r="H2289" s="58">
        <v>15710</v>
      </c>
      <c r="I2289" s="58">
        <v>99923</v>
      </c>
      <c r="J2289" s="58">
        <v>0</v>
      </c>
      <c r="K2289" s="1">
        <f t="shared" si="246"/>
        <v>528798.6</v>
      </c>
      <c r="L2289" s="1">
        <f t="shared" si="247"/>
        <v>15710</v>
      </c>
      <c r="M2289" s="1">
        <f>VLOOKUP(B2289,'[1]Срок Годности'!$A$2:$B$4,2,0)</f>
        <v>1500</v>
      </c>
      <c r="N2289" s="60">
        <f t="shared" si="248"/>
        <v>27022</v>
      </c>
      <c r="O2289" s="1" t="str">
        <f t="shared" si="249"/>
        <v>26 2012</v>
      </c>
      <c r="P2289" s="1">
        <f t="shared" si="250"/>
        <v>21</v>
      </c>
      <c r="Q2289" s="1">
        <f t="shared" ca="1" si="251"/>
        <v>4046</v>
      </c>
      <c r="S2289" s="1">
        <f t="shared" si="245"/>
        <v>99923</v>
      </c>
    </row>
    <row r="2290" spans="1:19" x14ac:dyDescent="0.2">
      <c r="A2290" s="57" t="s">
        <v>240</v>
      </c>
      <c r="B2290" s="57" t="s">
        <v>244</v>
      </c>
      <c r="C2290" s="57" t="s">
        <v>245</v>
      </c>
      <c r="D2290" s="58">
        <v>33.659999999999997</v>
      </c>
      <c r="E2290" s="59">
        <v>41088</v>
      </c>
      <c r="F2290" s="58">
        <v>99923</v>
      </c>
      <c r="G2290" s="58">
        <v>15188</v>
      </c>
      <c r="H2290" s="58">
        <v>16008</v>
      </c>
      <c r="I2290" s="58">
        <v>98930</v>
      </c>
      <c r="J2290" s="58">
        <v>0</v>
      </c>
      <c r="K2290" s="1">
        <f t="shared" si="246"/>
        <v>538829.27999999991</v>
      </c>
      <c r="L2290" s="1">
        <f t="shared" si="247"/>
        <v>16008</v>
      </c>
      <c r="M2290" s="1">
        <f>VLOOKUP(B2290,'[1]Срок Годности'!$A$2:$B$4,2,0)</f>
        <v>1500</v>
      </c>
      <c r="N2290" s="60">
        <f t="shared" si="248"/>
        <v>15188</v>
      </c>
      <c r="O2290" s="1" t="str">
        <f t="shared" si="249"/>
        <v>26 2012</v>
      </c>
      <c r="P2290" s="1">
        <f t="shared" si="250"/>
        <v>21</v>
      </c>
      <c r="Q2290" s="1">
        <f t="shared" ca="1" si="251"/>
        <v>4045</v>
      </c>
      <c r="S2290" s="1">
        <f t="shared" si="245"/>
        <v>98930</v>
      </c>
    </row>
    <row r="2291" spans="1:19" x14ac:dyDescent="0.2">
      <c r="A2291" s="57" t="s">
        <v>240</v>
      </c>
      <c r="B2291" s="57" t="s">
        <v>244</v>
      </c>
      <c r="C2291" s="57" t="s">
        <v>245</v>
      </c>
      <c r="D2291" s="58">
        <v>33.659999999999997</v>
      </c>
      <c r="E2291" s="59">
        <v>41089</v>
      </c>
      <c r="F2291" s="58">
        <v>98930</v>
      </c>
      <c r="G2291" s="58">
        <v>3501</v>
      </c>
      <c r="H2291" s="58">
        <v>16077</v>
      </c>
      <c r="I2291" s="58">
        <v>86579</v>
      </c>
      <c r="J2291" s="58">
        <v>0</v>
      </c>
      <c r="K2291" s="1">
        <f t="shared" si="246"/>
        <v>541151.81999999995</v>
      </c>
      <c r="L2291" s="1">
        <f t="shared" si="247"/>
        <v>16077</v>
      </c>
      <c r="M2291" s="1">
        <f>VLOOKUP(B2291,'[1]Срок Годности'!$A$2:$B$4,2,0)</f>
        <v>1500</v>
      </c>
      <c r="N2291" s="60">
        <f t="shared" si="248"/>
        <v>3501</v>
      </c>
      <c r="O2291" s="1" t="str">
        <f t="shared" si="249"/>
        <v>26 2012</v>
      </c>
      <c r="P2291" s="1">
        <f t="shared" si="250"/>
        <v>21</v>
      </c>
      <c r="Q2291" s="1">
        <f t="shared" ca="1" si="251"/>
        <v>4044</v>
      </c>
      <c r="S2291" s="1">
        <f t="shared" si="245"/>
        <v>86579</v>
      </c>
    </row>
    <row r="2292" spans="1:19" x14ac:dyDescent="0.2">
      <c r="A2292" s="57" t="s">
        <v>240</v>
      </c>
      <c r="B2292" s="57" t="s">
        <v>244</v>
      </c>
      <c r="C2292" s="57" t="s">
        <v>245</v>
      </c>
      <c r="D2292" s="58">
        <v>33.659999999999997</v>
      </c>
      <c r="E2292" s="59">
        <v>41090</v>
      </c>
      <c r="F2292" s="58">
        <v>86579</v>
      </c>
      <c r="G2292" s="58">
        <v>21074</v>
      </c>
      <c r="H2292" s="58">
        <v>17103</v>
      </c>
      <c r="I2292" s="58">
        <v>90657</v>
      </c>
      <c r="J2292" s="58">
        <v>0</v>
      </c>
      <c r="K2292" s="1">
        <f t="shared" si="246"/>
        <v>575686.98</v>
      </c>
      <c r="L2292" s="1">
        <f t="shared" si="247"/>
        <v>17103</v>
      </c>
      <c r="M2292" s="1">
        <f>VLOOKUP(B2292,'[1]Срок Годности'!$A$2:$B$4,2,0)</f>
        <v>1500</v>
      </c>
      <c r="N2292" s="60">
        <f t="shared" si="248"/>
        <v>21074</v>
      </c>
      <c r="O2292" s="1" t="str">
        <f t="shared" si="249"/>
        <v>26 2012</v>
      </c>
      <c r="P2292" s="1">
        <f t="shared" si="250"/>
        <v>21</v>
      </c>
      <c r="Q2292" s="1">
        <f t="shared" ca="1" si="251"/>
        <v>4043</v>
      </c>
      <c r="S2292" s="1">
        <f t="shared" si="245"/>
        <v>90657</v>
      </c>
    </row>
    <row r="2293" spans="1:19" x14ac:dyDescent="0.2">
      <c r="A2293" s="57" t="s">
        <v>240</v>
      </c>
      <c r="B2293" s="57" t="s">
        <v>244</v>
      </c>
      <c r="C2293" s="57" t="s">
        <v>245</v>
      </c>
      <c r="D2293" s="58">
        <v>33.659999999999997</v>
      </c>
      <c r="E2293" s="59">
        <v>41091</v>
      </c>
      <c r="F2293" s="58">
        <v>90657</v>
      </c>
      <c r="G2293" s="58">
        <v>23669</v>
      </c>
      <c r="H2293" s="58">
        <v>16166</v>
      </c>
      <c r="I2293" s="58">
        <v>98030</v>
      </c>
      <c r="J2293" s="58">
        <v>0</v>
      </c>
      <c r="K2293" s="1">
        <f t="shared" si="246"/>
        <v>544147.55999999994</v>
      </c>
      <c r="L2293" s="1">
        <f t="shared" si="247"/>
        <v>16166</v>
      </c>
      <c r="M2293" s="1">
        <f>VLOOKUP(B2293,'[1]Срок Годности'!$A$2:$B$4,2,0)</f>
        <v>1500</v>
      </c>
      <c r="N2293" s="60">
        <f t="shared" si="248"/>
        <v>0</v>
      </c>
      <c r="O2293" s="1" t="str">
        <f t="shared" si="249"/>
        <v>27 2012</v>
      </c>
      <c r="P2293" s="1">
        <f t="shared" si="250"/>
        <v>21</v>
      </c>
      <c r="Q2293" s="1">
        <f t="shared" ca="1" si="251"/>
        <v>4042</v>
      </c>
      <c r="S2293" s="1">
        <f t="shared" si="245"/>
        <v>98030</v>
      </c>
    </row>
    <row r="2294" spans="1:19" x14ac:dyDescent="0.2">
      <c r="A2294" s="57" t="s">
        <v>240</v>
      </c>
      <c r="B2294" s="57" t="s">
        <v>244</v>
      </c>
      <c r="C2294" s="57" t="s">
        <v>245</v>
      </c>
      <c r="D2294" s="58">
        <v>33.659999999999997</v>
      </c>
      <c r="E2294" s="59">
        <v>41092</v>
      </c>
      <c r="F2294" s="58">
        <v>98030</v>
      </c>
      <c r="G2294" s="58">
        <v>20216</v>
      </c>
      <c r="H2294" s="58">
        <v>19316</v>
      </c>
      <c r="I2294" s="58">
        <v>98634</v>
      </c>
      <c r="J2294" s="58">
        <v>3</v>
      </c>
      <c r="K2294" s="1">
        <f t="shared" si="246"/>
        <v>650176.55999999994</v>
      </c>
      <c r="L2294" s="1">
        <f t="shared" si="247"/>
        <v>19316</v>
      </c>
      <c r="M2294" s="1">
        <f>VLOOKUP(B2294,'[1]Срок Годности'!$A$2:$B$4,2,0)</f>
        <v>1500</v>
      </c>
      <c r="N2294" s="60">
        <f t="shared" si="248"/>
        <v>20216</v>
      </c>
      <c r="O2294" s="1" t="str">
        <f t="shared" si="249"/>
        <v>27 2012</v>
      </c>
      <c r="P2294" s="1">
        <f t="shared" si="250"/>
        <v>21</v>
      </c>
      <c r="Q2294" s="1">
        <f t="shared" ca="1" si="251"/>
        <v>4041</v>
      </c>
      <c r="S2294" s="1">
        <f t="shared" si="245"/>
        <v>98631</v>
      </c>
    </row>
    <row r="2295" spans="1:19" x14ac:dyDescent="0.2">
      <c r="A2295" s="57" t="s">
        <v>240</v>
      </c>
      <c r="B2295" s="57" t="s">
        <v>244</v>
      </c>
      <c r="C2295" s="57" t="s">
        <v>245</v>
      </c>
      <c r="D2295" s="58">
        <v>33.659999999999997</v>
      </c>
      <c r="E2295" s="59">
        <v>41093</v>
      </c>
      <c r="F2295" s="58">
        <v>98634</v>
      </c>
      <c r="G2295" s="58">
        <v>18770</v>
      </c>
      <c r="H2295" s="58">
        <v>17780</v>
      </c>
      <c r="I2295" s="58">
        <v>99405</v>
      </c>
      <c r="J2295" s="58">
        <v>2</v>
      </c>
      <c r="K2295" s="1">
        <f t="shared" si="246"/>
        <v>598474.79999999993</v>
      </c>
      <c r="L2295" s="1">
        <f t="shared" si="247"/>
        <v>17780</v>
      </c>
      <c r="M2295" s="1">
        <f>VLOOKUP(B2295,'[1]Срок Годности'!$A$2:$B$4,2,0)</f>
        <v>1500</v>
      </c>
      <c r="N2295" s="60">
        <f t="shared" si="248"/>
        <v>18770</v>
      </c>
      <c r="O2295" s="1" t="str">
        <f t="shared" si="249"/>
        <v>27 2012</v>
      </c>
      <c r="P2295" s="1">
        <f t="shared" si="250"/>
        <v>21</v>
      </c>
      <c r="Q2295" s="1">
        <f t="shared" ca="1" si="251"/>
        <v>4040</v>
      </c>
      <c r="S2295" s="1">
        <f t="shared" si="245"/>
        <v>99403</v>
      </c>
    </row>
    <row r="2296" spans="1:19" x14ac:dyDescent="0.2">
      <c r="A2296" s="57" t="s">
        <v>240</v>
      </c>
      <c r="B2296" s="57" t="s">
        <v>244</v>
      </c>
      <c r="C2296" s="57" t="s">
        <v>245</v>
      </c>
      <c r="D2296" s="58">
        <v>33.659999999999997</v>
      </c>
      <c r="E2296" s="59">
        <v>41094</v>
      </c>
      <c r="F2296" s="58">
        <v>99405</v>
      </c>
      <c r="G2296" s="58">
        <v>3462</v>
      </c>
      <c r="H2296" s="58">
        <v>15912</v>
      </c>
      <c r="I2296" s="58">
        <v>86788</v>
      </c>
      <c r="J2296" s="58">
        <v>0</v>
      </c>
      <c r="K2296" s="1">
        <f t="shared" si="246"/>
        <v>535597.91999999993</v>
      </c>
      <c r="L2296" s="1">
        <f t="shared" si="247"/>
        <v>15912</v>
      </c>
      <c r="M2296" s="1">
        <f>VLOOKUP(B2296,'[1]Срок Годности'!$A$2:$B$4,2,0)</f>
        <v>1500</v>
      </c>
      <c r="N2296" s="60">
        <f t="shared" si="248"/>
        <v>3462</v>
      </c>
      <c r="O2296" s="1" t="str">
        <f t="shared" si="249"/>
        <v>27 2012</v>
      </c>
      <c r="P2296" s="1">
        <f t="shared" si="250"/>
        <v>21</v>
      </c>
      <c r="Q2296" s="1">
        <f t="shared" ca="1" si="251"/>
        <v>4039</v>
      </c>
      <c r="S2296" s="1">
        <f t="shared" si="245"/>
        <v>86788</v>
      </c>
    </row>
    <row r="2297" spans="1:19" x14ac:dyDescent="0.2">
      <c r="A2297" s="57" t="s">
        <v>240</v>
      </c>
      <c r="B2297" s="57" t="s">
        <v>244</v>
      </c>
      <c r="C2297" s="57" t="s">
        <v>245</v>
      </c>
      <c r="D2297" s="58">
        <v>33.659999999999997</v>
      </c>
      <c r="E2297" s="59">
        <v>41095</v>
      </c>
      <c r="F2297" s="58">
        <v>86788</v>
      </c>
      <c r="G2297" s="58">
        <v>18432</v>
      </c>
      <c r="H2297" s="58">
        <v>15433</v>
      </c>
      <c r="I2297" s="58">
        <v>89536</v>
      </c>
      <c r="J2297" s="58">
        <v>0</v>
      </c>
      <c r="K2297" s="1">
        <f t="shared" si="246"/>
        <v>519474.77999999997</v>
      </c>
      <c r="L2297" s="1">
        <f t="shared" si="247"/>
        <v>15433</v>
      </c>
      <c r="M2297" s="1">
        <f>VLOOKUP(B2297,'[1]Срок Годности'!$A$2:$B$4,2,0)</f>
        <v>1500</v>
      </c>
      <c r="N2297" s="60">
        <f t="shared" si="248"/>
        <v>18432</v>
      </c>
      <c r="O2297" s="1" t="str">
        <f t="shared" si="249"/>
        <v>27 2012</v>
      </c>
      <c r="P2297" s="1">
        <f t="shared" si="250"/>
        <v>21</v>
      </c>
      <c r="Q2297" s="1">
        <f t="shared" ca="1" si="251"/>
        <v>4038</v>
      </c>
      <c r="S2297" s="1">
        <f t="shared" si="245"/>
        <v>89536</v>
      </c>
    </row>
    <row r="2298" spans="1:19" x14ac:dyDescent="0.2">
      <c r="A2298" s="57" t="s">
        <v>240</v>
      </c>
      <c r="B2298" s="57" t="s">
        <v>244</v>
      </c>
      <c r="C2298" s="57" t="s">
        <v>245</v>
      </c>
      <c r="D2298" s="58">
        <v>33.659999999999997</v>
      </c>
      <c r="E2298" s="59">
        <v>41096</v>
      </c>
      <c r="F2298" s="58">
        <v>89536</v>
      </c>
      <c r="G2298" s="58">
        <v>12967</v>
      </c>
      <c r="H2298" s="58">
        <v>14672</v>
      </c>
      <c r="I2298" s="58">
        <v>87704</v>
      </c>
      <c r="J2298" s="58">
        <v>0</v>
      </c>
      <c r="K2298" s="1">
        <f t="shared" si="246"/>
        <v>493859.51999999996</v>
      </c>
      <c r="L2298" s="1">
        <f t="shared" si="247"/>
        <v>14672</v>
      </c>
      <c r="M2298" s="1">
        <f>VLOOKUP(B2298,'[1]Срок Годности'!$A$2:$B$4,2,0)</f>
        <v>1500</v>
      </c>
      <c r="N2298" s="60">
        <f t="shared" si="248"/>
        <v>12967</v>
      </c>
      <c r="O2298" s="1" t="str">
        <f t="shared" si="249"/>
        <v>27 2012</v>
      </c>
      <c r="P2298" s="1">
        <f t="shared" si="250"/>
        <v>21</v>
      </c>
      <c r="Q2298" s="1">
        <f t="shared" ca="1" si="251"/>
        <v>4037</v>
      </c>
      <c r="S2298" s="1">
        <f t="shared" si="245"/>
        <v>87704</v>
      </c>
    </row>
    <row r="2299" spans="1:19" x14ac:dyDescent="0.2">
      <c r="A2299" s="57" t="s">
        <v>240</v>
      </c>
      <c r="B2299" s="57" t="s">
        <v>244</v>
      </c>
      <c r="C2299" s="57" t="s">
        <v>245</v>
      </c>
      <c r="D2299" s="58">
        <v>33.659999999999997</v>
      </c>
      <c r="E2299" s="59">
        <v>41097</v>
      </c>
      <c r="F2299" s="58">
        <v>87704</v>
      </c>
      <c r="G2299" s="58">
        <v>25564</v>
      </c>
      <c r="H2299" s="58">
        <v>13331</v>
      </c>
      <c r="I2299" s="58">
        <v>99675</v>
      </c>
      <c r="J2299" s="58">
        <v>0</v>
      </c>
      <c r="K2299" s="1">
        <f t="shared" si="246"/>
        <v>448721.45999999996</v>
      </c>
      <c r="L2299" s="1">
        <f t="shared" si="247"/>
        <v>13331</v>
      </c>
      <c r="M2299" s="1">
        <f>VLOOKUP(B2299,'[1]Срок Годности'!$A$2:$B$4,2,0)</f>
        <v>1500</v>
      </c>
      <c r="N2299" s="60">
        <f t="shared" si="248"/>
        <v>25564</v>
      </c>
      <c r="O2299" s="1" t="str">
        <f t="shared" si="249"/>
        <v>27 2012</v>
      </c>
      <c r="P2299" s="1">
        <f t="shared" si="250"/>
        <v>21</v>
      </c>
      <c r="Q2299" s="1">
        <f t="shared" ca="1" si="251"/>
        <v>4036</v>
      </c>
      <c r="S2299" s="1">
        <f t="shared" si="245"/>
        <v>99675</v>
      </c>
    </row>
    <row r="2300" spans="1:19" x14ac:dyDescent="0.2">
      <c r="A2300" s="57" t="s">
        <v>240</v>
      </c>
      <c r="B2300" s="57" t="s">
        <v>244</v>
      </c>
      <c r="C2300" s="57" t="s">
        <v>245</v>
      </c>
      <c r="D2300" s="58">
        <v>33.659999999999997</v>
      </c>
      <c r="E2300" s="59">
        <v>41098</v>
      </c>
      <c r="F2300" s="58">
        <v>99675</v>
      </c>
      <c r="G2300" s="58">
        <v>13748</v>
      </c>
      <c r="H2300" s="58">
        <v>13135</v>
      </c>
      <c r="I2300" s="58">
        <v>99989</v>
      </c>
      <c r="J2300" s="58">
        <v>0</v>
      </c>
      <c r="K2300" s="1">
        <f t="shared" si="246"/>
        <v>442124.1</v>
      </c>
      <c r="L2300" s="1">
        <f t="shared" si="247"/>
        <v>13135</v>
      </c>
      <c r="M2300" s="1">
        <f>VLOOKUP(B2300,'[1]Срок Годности'!$A$2:$B$4,2,0)</f>
        <v>1500</v>
      </c>
      <c r="N2300" s="60">
        <f t="shared" si="248"/>
        <v>0</v>
      </c>
      <c r="O2300" s="1" t="str">
        <f t="shared" si="249"/>
        <v>28 2012</v>
      </c>
      <c r="P2300" s="1">
        <f t="shared" si="250"/>
        <v>21</v>
      </c>
      <c r="Q2300" s="1">
        <f t="shared" ca="1" si="251"/>
        <v>4035</v>
      </c>
      <c r="S2300" s="1">
        <f t="shared" si="245"/>
        <v>99989</v>
      </c>
    </row>
    <row r="2301" spans="1:19" x14ac:dyDescent="0.2">
      <c r="A2301" s="57" t="s">
        <v>240</v>
      </c>
      <c r="B2301" s="57" t="s">
        <v>244</v>
      </c>
      <c r="C2301" s="57" t="s">
        <v>245</v>
      </c>
      <c r="D2301" s="58">
        <v>33.659999999999997</v>
      </c>
      <c r="E2301" s="59">
        <v>41099</v>
      </c>
      <c r="F2301" s="58">
        <v>99989</v>
      </c>
      <c r="G2301" s="58">
        <v>14267</v>
      </c>
      <c r="H2301" s="58">
        <v>14575</v>
      </c>
      <c r="I2301" s="58">
        <v>99546</v>
      </c>
      <c r="J2301" s="58">
        <v>0</v>
      </c>
      <c r="K2301" s="1">
        <f t="shared" si="246"/>
        <v>490594.49999999994</v>
      </c>
      <c r="L2301" s="1">
        <f t="shared" si="247"/>
        <v>14575</v>
      </c>
      <c r="M2301" s="1">
        <f>VLOOKUP(B2301,'[1]Срок Годности'!$A$2:$B$4,2,0)</f>
        <v>1500</v>
      </c>
      <c r="N2301" s="60">
        <f t="shared" si="248"/>
        <v>14267</v>
      </c>
      <c r="O2301" s="1" t="str">
        <f t="shared" si="249"/>
        <v>28 2012</v>
      </c>
      <c r="P2301" s="1">
        <f t="shared" si="250"/>
        <v>21</v>
      </c>
      <c r="Q2301" s="1">
        <f t="shared" ca="1" si="251"/>
        <v>4034</v>
      </c>
      <c r="S2301" s="1">
        <f t="shared" si="245"/>
        <v>99546</v>
      </c>
    </row>
    <row r="2302" spans="1:19" x14ac:dyDescent="0.2">
      <c r="A2302" s="57" t="s">
        <v>240</v>
      </c>
      <c r="B2302" s="57" t="s">
        <v>244</v>
      </c>
      <c r="C2302" s="57" t="s">
        <v>245</v>
      </c>
      <c r="D2302" s="58">
        <v>33.659999999999997</v>
      </c>
      <c r="E2302" s="59">
        <v>41100</v>
      </c>
      <c r="F2302" s="58">
        <v>99546</v>
      </c>
      <c r="G2302" s="58">
        <v>19895</v>
      </c>
      <c r="H2302" s="58">
        <v>13770</v>
      </c>
      <c r="I2302" s="58">
        <v>105480</v>
      </c>
      <c r="J2302" s="58">
        <v>0</v>
      </c>
      <c r="K2302" s="1">
        <f t="shared" si="246"/>
        <v>463498.19999999995</v>
      </c>
      <c r="L2302" s="1">
        <f t="shared" si="247"/>
        <v>13770</v>
      </c>
      <c r="M2302" s="1">
        <f>VLOOKUP(B2302,'[1]Срок Годности'!$A$2:$B$4,2,0)</f>
        <v>1500</v>
      </c>
      <c r="N2302" s="60">
        <f t="shared" si="248"/>
        <v>19895</v>
      </c>
      <c r="O2302" s="1" t="str">
        <f t="shared" si="249"/>
        <v>28 2012</v>
      </c>
      <c r="P2302" s="1">
        <f t="shared" si="250"/>
        <v>21</v>
      </c>
      <c r="Q2302" s="1">
        <f t="shared" ca="1" si="251"/>
        <v>4033</v>
      </c>
      <c r="S2302" s="1">
        <f t="shared" si="245"/>
        <v>105480</v>
      </c>
    </row>
    <row r="2303" spans="1:19" x14ac:dyDescent="0.2">
      <c r="A2303" s="57" t="s">
        <v>240</v>
      </c>
      <c r="B2303" s="57" t="s">
        <v>244</v>
      </c>
      <c r="C2303" s="57" t="s">
        <v>245</v>
      </c>
      <c r="D2303" s="58">
        <v>33.659999999999997</v>
      </c>
      <c r="E2303" s="59">
        <v>41101</v>
      </c>
      <c r="F2303" s="58">
        <v>105480</v>
      </c>
      <c r="G2303" s="58">
        <v>12153</v>
      </c>
      <c r="H2303" s="58">
        <v>13463</v>
      </c>
      <c r="I2303" s="58">
        <v>104048</v>
      </c>
      <c r="J2303" s="58">
        <v>0</v>
      </c>
      <c r="K2303" s="1">
        <f t="shared" si="246"/>
        <v>453164.57999999996</v>
      </c>
      <c r="L2303" s="1">
        <f t="shared" si="247"/>
        <v>13463</v>
      </c>
      <c r="M2303" s="1">
        <f>VLOOKUP(B2303,'[1]Срок Годности'!$A$2:$B$4,2,0)</f>
        <v>1500</v>
      </c>
      <c r="N2303" s="60">
        <f t="shared" si="248"/>
        <v>12153</v>
      </c>
      <c r="O2303" s="1" t="str">
        <f t="shared" si="249"/>
        <v>28 2012</v>
      </c>
      <c r="P2303" s="1">
        <f t="shared" si="250"/>
        <v>21</v>
      </c>
      <c r="Q2303" s="1">
        <f t="shared" ca="1" si="251"/>
        <v>4032</v>
      </c>
      <c r="S2303" s="1">
        <f t="shared" si="245"/>
        <v>104048</v>
      </c>
    </row>
    <row r="2304" spans="1:19" x14ac:dyDescent="0.2">
      <c r="A2304" s="57" t="s">
        <v>240</v>
      </c>
      <c r="B2304" s="57" t="s">
        <v>244</v>
      </c>
      <c r="C2304" s="57" t="s">
        <v>245</v>
      </c>
      <c r="D2304" s="58">
        <v>33.659999999999997</v>
      </c>
      <c r="E2304" s="59">
        <v>41102</v>
      </c>
      <c r="F2304" s="58">
        <v>104048</v>
      </c>
      <c r="G2304" s="58">
        <v>10722</v>
      </c>
      <c r="H2304" s="58">
        <v>12637</v>
      </c>
      <c r="I2304" s="58">
        <v>101832</v>
      </c>
      <c r="J2304" s="58">
        <v>0</v>
      </c>
      <c r="K2304" s="1">
        <f t="shared" si="246"/>
        <v>425361.42</v>
      </c>
      <c r="L2304" s="1">
        <f t="shared" si="247"/>
        <v>12637</v>
      </c>
      <c r="M2304" s="1">
        <f>VLOOKUP(B2304,'[1]Срок Годности'!$A$2:$B$4,2,0)</f>
        <v>1500</v>
      </c>
      <c r="N2304" s="60">
        <f t="shared" si="248"/>
        <v>10722</v>
      </c>
      <c r="O2304" s="1" t="str">
        <f t="shared" si="249"/>
        <v>28 2012</v>
      </c>
      <c r="P2304" s="1">
        <f t="shared" si="250"/>
        <v>21</v>
      </c>
      <c r="Q2304" s="1">
        <f t="shared" ca="1" si="251"/>
        <v>4031</v>
      </c>
      <c r="S2304" s="1">
        <f t="shared" si="245"/>
        <v>101832</v>
      </c>
    </row>
    <row r="2305" spans="1:19" x14ac:dyDescent="0.2">
      <c r="A2305" s="57" t="s">
        <v>240</v>
      </c>
      <c r="B2305" s="57" t="s">
        <v>244</v>
      </c>
      <c r="C2305" s="57" t="s">
        <v>245</v>
      </c>
      <c r="D2305" s="58">
        <v>33.659999999999997</v>
      </c>
      <c r="E2305" s="59">
        <v>41103</v>
      </c>
      <c r="F2305" s="58">
        <v>101832</v>
      </c>
      <c r="G2305" s="58">
        <v>8522</v>
      </c>
      <c r="H2305" s="58">
        <v>10932</v>
      </c>
      <c r="I2305" s="58">
        <v>99244</v>
      </c>
      <c r="J2305" s="58">
        <v>0</v>
      </c>
      <c r="K2305" s="1">
        <f t="shared" si="246"/>
        <v>367971.11999999994</v>
      </c>
      <c r="L2305" s="1">
        <f t="shared" si="247"/>
        <v>10932</v>
      </c>
      <c r="M2305" s="1">
        <f>VLOOKUP(B2305,'[1]Срок Годности'!$A$2:$B$4,2,0)</f>
        <v>1500</v>
      </c>
      <c r="N2305" s="60">
        <f t="shared" si="248"/>
        <v>8522</v>
      </c>
      <c r="O2305" s="1" t="str">
        <f t="shared" si="249"/>
        <v>28 2012</v>
      </c>
      <c r="P2305" s="1">
        <f t="shared" si="250"/>
        <v>21</v>
      </c>
      <c r="Q2305" s="1">
        <f t="shared" ca="1" si="251"/>
        <v>4030</v>
      </c>
      <c r="S2305" s="1">
        <f t="shared" si="245"/>
        <v>99244</v>
      </c>
    </row>
    <row r="2306" spans="1:19" x14ac:dyDescent="0.2">
      <c r="A2306" s="57" t="s">
        <v>240</v>
      </c>
      <c r="B2306" s="57" t="s">
        <v>244</v>
      </c>
      <c r="C2306" s="57" t="s">
        <v>245</v>
      </c>
      <c r="D2306" s="58">
        <v>33.659999999999997</v>
      </c>
      <c r="E2306" s="59">
        <v>41104</v>
      </c>
      <c r="F2306" s="58">
        <v>99244</v>
      </c>
      <c r="G2306" s="58">
        <v>11217</v>
      </c>
      <c r="H2306" s="58">
        <v>9640</v>
      </c>
      <c r="I2306" s="58">
        <v>100739</v>
      </c>
      <c r="J2306" s="58">
        <v>0</v>
      </c>
      <c r="K2306" s="1">
        <f t="shared" si="246"/>
        <v>324482.39999999997</v>
      </c>
      <c r="L2306" s="1">
        <f t="shared" si="247"/>
        <v>9640</v>
      </c>
      <c r="M2306" s="1">
        <f>VLOOKUP(B2306,'[1]Срок Годности'!$A$2:$B$4,2,0)</f>
        <v>1500</v>
      </c>
      <c r="N2306" s="60">
        <f t="shared" si="248"/>
        <v>11217</v>
      </c>
      <c r="O2306" s="1" t="str">
        <f t="shared" si="249"/>
        <v>28 2012</v>
      </c>
      <c r="P2306" s="1">
        <f t="shared" si="250"/>
        <v>21</v>
      </c>
      <c r="Q2306" s="1">
        <f t="shared" ca="1" si="251"/>
        <v>4029</v>
      </c>
      <c r="S2306" s="1">
        <f t="shared" si="245"/>
        <v>100739</v>
      </c>
    </row>
    <row r="2307" spans="1:19" x14ac:dyDescent="0.2">
      <c r="A2307" s="57" t="s">
        <v>240</v>
      </c>
      <c r="B2307" s="57" t="s">
        <v>244</v>
      </c>
      <c r="C2307" s="57" t="s">
        <v>245</v>
      </c>
      <c r="D2307" s="58">
        <v>33.659999999999997</v>
      </c>
      <c r="E2307" s="59">
        <v>41105</v>
      </c>
      <c r="F2307" s="58">
        <v>100739</v>
      </c>
      <c r="G2307" s="58">
        <v>6171</v>
      </c>
      <c r="H2307" s="58">
        <v>9525</v>
      </c>
      <c r="I2307" s="58">
        <v>97284</v>
      </c>
      <c r="J2307" s="58">
        <v>0</v>
      </c>
      <c r="K2307" s="1">
        <f t="shared" si="246"/>
        <v>320611.49999999994</v>
      </c>
      <c r="L2307" s="1">
        <f t="shared" si="247"/>
        <v>9525</v>
      </c>
      <c r="M2307" s="1">
        <f>VLOOKUP(B2307,'[1]Срок Годности'!$A$2:$B$4,2,0)</f>
        <v>1500</v>
      </c>
      <c r="N2307" s="60">
        <f t="shared" si="248"/>
        <v>0</v>
      </c>
      <c r="O2307" s="1" t="str">
        <f t="shared" si="249"/>
        <v>29 2012</v>
      </c>
      <c r="P2307" s="1">
        <f t="shared" si="250"/>
        <v>21</v>
      </c>
      <c r="Q2307" s="1">
        <f t="shared" ca="1" si="251"/>
        <v>4028</v>
      </c>
      <c r="S2307" s="1">
        <f t="shared" si="245"/>
        <v>97284</v>
      </c>
    </row>
    <row r="2308" spans="1:19" x14ac:dyDescent="0.2">
      <c r="A2308" s="57" t="s">
        <v>240</v>
      </c>
      <c r="B2308" s="57" t="s">
        <v>244</v>
      </c>
      <c r="C2308" s="57" t="s">
        <v>245</v>
      </c>
      <c r="D2308" s="58">
        <v>33.659999999999997</v>
      </c>
      <c r="E2308" s="59">
        <v>41106</v>
      </c>
      <c r="F2308" s="58">
        <v>97284</v>
      </c>
      <c r="G2308" s="58">
        <v>6060</v>
      </c>
      <c r="H2308" s="58">
        <v>10320</v>
      </c>
      <c r="I2308" s="58">
        <v>92988</v>
      </c>
      <c r="J2308" s="58">
        <v>0</v>
      </c>
      <c r="K2308" s="1">
        <f t="shared" si="246"/>
        <v>347371.19999999995</v>
      </c>
      <c r="L2308" s="1">
        <f t="shared" si="247"/>
        <v>10320</v>
      </c>
      <c r="M2308" s="1">
        <f>VLOOKUP(B2308,'[1]Срок Годности'!$A$2:$B$4,2,0)</f>
        <v>1500</v>
      </c>
      <c r="N2308" s="60">
        <f t="shared" si="248"/>
        <v>6060</v>
      </c>
      <c r="O2308" s="1" t="str">
        <f t="shared" si="249"/>
        <v>29 2012</v>
      </c>
      <c r="P2308" s="1">
        <f t="shared" si="250"/>
        <v>21</v>
      </c>
      <c r="Q2308" s="1">
        <f t="shared" ca="1" si="251"/>
        <v>4027</v>
      </c>
      <c r="S2308" s="1">
        <f t="shared" si="245"/>
        <v>92988</v>
      </c>
    </row>
    <row r="2309" spans="1:19" x14ac:dyDescent="0.2">
      <c r="A2309" s="57" t="s">
        <v>240</v>
      </c>
      <c r="B2309" s="57" t="s">
        <v>244</v>
      </c>
      <c r="C2309" s="57" t="s">
        <v>245</v>
      </c>
      <c r="D2309" s="58">
        <v>33.659999999999997</v>
      </c>
      <c r="E2309" s="59">
        <v>41107</v>
      </c>
      <c r="F2309" s="58">
        <v>92988</v>
      </c>
      <c r="G2309" s="58">
        <v>4914</v>
      </c>
      <c r="H2309" s="58">
        <v>8345</v>
      </c>
      <c r="I2309" s="58">
        <v>89502</v>
      </c>
      <c r="J2309" s="58">
        <v>0</v>
      </c>
      <c r="K2309" s="1">
        <f t="shared" si="246"/>
        <v>280892.69999999995</v>
      </c>
      <c r="L2309" s="1">
        <f t="shared" si="247"/>
        <v>8345</v>
      </c>
      <c r="M2309" s="1">
        <f>VLOOKUP(B2309,'[1]Срок Годности'!$A$2:$B$4,2,0)</f>
        <v>1500</v>
      </c>
      <c r="N2309" s="60">
        <f t="shared" si="248"/>
        <v>4914</v>
      </c>
      <c r="O2309" s="1" t="str">
        <f t="shared" si="249"/>
        <v>29 2012</v>
      </c>
      <c r="P2309" s="1">
        <f t="shared" si="250"/>
        <v>21</v>
      </c>
      <c r="Q2309" s="1">
        <f t="shared" ca="1" si="251"/>
        <v>4026</v>
      </c>
      <c r="S2309" s="1">
        <f t="shared" si="245"/>
        <v>89502</v>
      </c>
    </row>
    <row r="2310" spans="1:19" x14ac:dyDescent="0.2">
      <c r="A2310" s="57" t="s">
        <v>240</v>
      </c>
      <c r="B2310" s="57" t="s">
        <v>237</v>
      </c>
      <c r="C2310" s="57" t="s">
        <v>238</v>
      </c>
      <c r="D2310" s="58">
        <v>165.05</v>
      </c>
      <c r="E2310" s="59">
        <v>41061</v>
      </c>
      <c r="F2310" s="58">
        <v>11642</v>
      </c>
      <c r="G2310" s="58">
        <v>1403</v>
      </c>
      <c r="H2310" s="58">
        <v>2200</v>
      </c>
      <c r="I2310" s="58">
        <v>10829</v>
      </c>
      <c r="J2310" s="58">
        <v>0</v>
      </c>
      <c r="K2310" s="1">
        <f t="shared" si="246"/>
        <v>363110</v>
      </c>
      <c r="L2310" s="1">
        <f t="shared" si="247"/>
        <v>2200</v>
      </c>
      <c r="M2310" s="1">
        <f>VLOOKUP(B2310,'[1]Срок Годности'!$A$2:$B$4,2,0)</f>
        <v>1000</v>
      </c>
      <c r="N2310" s="60">
        <f t="shared" si="248"/>
        <v>1403</v>
      </c>
      <c r="O2310" s="1" t="str">
        <f t="shared" si="249"/>
        <v>22 2012</v>
      </c>
      <c r="P2310" s="1">
        <f t="shared" si="250"/>
        <v>22</v>
      </c>
      <c r="Q2310" s="1">
        <f t="shared" ca="1" si="251"/>
        <v>4072</v>
      </c>
      <c r="S2310" s="1">
        <f t="shared" si="245"/>
        <v>10829</v>
      </c>
    </row>
    <row r="2311" spans="1:19" x14ac:dyDescent="0.2">
      <c r="A2311" s="57" t="s">
        <v>240</v>
      </c>
      <c r="B2311" s="57" t="s">
        <v>237</v>
      </c>
      <c r="C2311" s="57" t="s">
        <v>238</v>
      </c>
      <c r="D2311" s="58">
        <v>165.05</v>
      </c>
      <c r="E2311" s="59">
        <v>41062</v>
      </c>
      <c r="F2311" s="58">
        <v>10829</v>
      </c>
      <c r="G2311" s="58">
        <v>1745</v>
      </c>
      <c r="H2311" s="58">
        <v>2621</v>
      </c>
      <c r="I2311" s="58">
        <v>9915</v>
      </c>
      <c r="J2311" s="58">
        <v>0</v>
      </c>
      <c r="K2311" s="1">
        <f t="shared" si="246"/>
        <v>432596.05000000005</v>
      </c>
      <c r="L2311" s="1">
        <f t="shared" si="247"/>
        <v>2621</v>
      </c>
      <c r="M2311" s="1">
        <f>VLOOKUP(B2311,'[1]Срок Годности'!$A$2:$B$4,2,0)</f>
        <v>1000</v>
      </c>
      <c r="N2311" s="60">
        <f t="shared" si="248"/>
        <v>1745</v>
      </c>
      <c r="O2311" s="1" t="str">
        <f t="shared" si="249"/>
        <v>22 2012</v>
      </c>
      <c r="P2311" s="1">
        <f t="shared" si="250"/>
        <v>22</v>
      </c>
      <c r="Q2311" s="1">
        <f t="shared" ca="1" si="251"/>
        <v>4071</v>
      </c>
      <c r="S2311" s="1">
        <f t="shared" ref="S2311:S2356" si="252">I2311-J2311</f>
        <v>9915</v>
      </c>
    </row>
    <row r="2312" spans="1:19" x14ac:dyDescent="0.2">
      <c r="A2312" s="57" t="s">
        <v>240</v>
      </c>
      <c r="B2312" s="57" t="s">
        <v>237</v>
      </c>
      <c r="C2312" s="57" t="s">
        <v>238</v>
      </c>
      <c r="D2312" s="58">
        <v>165.05</v>
      </c>
      <c r="E2312" s="59">
        <v>41063</v>
      </c>
      <c r="F2312" s="58">
        <v>9915</v>
      </c>
      <c r="G2312" s="58">
        <v>2644</v>
      </c>
      <c r="H2312" s="58">
        <v>2924</v>
      </c>
      <c r="I2312" s="58">
        <v>9595</v>
      </c>
      <c r="J2312" s="58">
        <v>0</v>
      </c>
      <c r="K2312" s="1">
        <f t="shared" ref="K2312:K2356" si="253">H2312*D2312</f>
        <v>482606.2</v>
      </c>
      <c r="L2312" s="1">
        <f t="shared" ref="L2312:L2356" si="254">IF(H2312&gt;1000,H2312,"")</f>
        <v>2924</v>
      </c>
      <c r="M2312" s="1">
        <f>VLOOKUP(B2312,'[1]Срок Годности'!$A$2:$B$4,2,0)</f>
        <v>1000</v>
      </c>
      <c r="N2312" s="60">
        <f t="shared" ref="N2312:N2356" si="255">IF(WEEKDAY(E2312) = 1, 0, G2312)</f>
        <v>0</v>
      </c>
      <c r="O2312" s="1" t="str">
        <f t="shared" ref="O2312:O2356" si="256">WEEKNUM(E2312) &amp; " " &amp; YEAR(E2312)</f>
        <v>23 2012</v>
      </c>
      <c r="P2312" s="1">
        <f t="shared" ref="P2312:P2356" si="257">LEN(C2312)</f>
        <v>22</v>
      </c>
      <c r="Q2312" s="1">
        <f t="shared" ref="Q2312:Q2356" ca="1" si="258">DATEDIF(E2312,NOW(),"D")</f>
        <v>4070</v>
      </c>
      <c r="S2312" s="1">
        <f t="shared" si="252"/>
        <v>9595</v>
      </c>
    </row>
    <row r="2313" spans="1:19" x14ac:dyDescent="0.2">
      <c r="A2313" s="57" t="s">
        <v>240</v>
      </c>
      <c r="B2313" s="57" t="s">
        <v>237</v>
      </c>
      <c r="C2313" s="57" t="s">
        <v>238</v>
      </c>
      <c r="D2313" s="58">
        <v>165.05</v>
      </c>
      <c r="E2313" s="59">
        <v>41064</v>
      </c>
      <c r="F2313" s="58">
        <v>9595</v>
      </c>
      <c r="G2313" s="58">
        <v>3066</v>
      </c>
      <c r="H2313" s="58">
        <v>3160</v>
      </c>
      <c r="I2313" s="58">
        <v>9455</v>
      </c>
      <c r="J2313" s="58">
        <v>0</v>
      </c>
      <c r="K2313" s="1">
        <f t="shared" si="253"/>
        <v>521558.00000000006</v>
      </c>
      <c r="L2313" s="1">
        <f t="shared" si="254"/>
        <v>3160</v>
      </c>
      <c r="M2313" s="1">
        <f>VLOOKUP(B2313,'[1]Срок Годности'!$A$2:$B$4,2,0)</f>
        <v>1000</v>
      </c>
      <c r="N2313" s="60">
        <f t="shared" si="255"/>
        <v>3066</v>
      </c>
      <c r="O2313" s="1" t="str">
        <f t="shared" si="256"/>
        <v>23 2012</v>
      </c>
      <c r="P2313" s="1">
        <f t="shared" si="257"/>
        <v>22</v>
      </c>
      <c r="Q2313" s="1">
        <f t="shared" ca="1" si="258"/>
        <v>4069</v>
      </c>
      <c r="S2313" s="1">
        <f t="shared" si="252"/>
        <v>9455</v>
      </c>
    </row>
    <row r="2314" spans="1:19" x14ac:dyDescent="0.2">
      <c r="A2314" s="57" t="s">
        <v>240</v>
      </c>
      <c r="B2314" s="57" t="s">
        <v>237</v>
      </c>
      <c r="C2314" s="57" t="s">
        <v>238</v>
      </c>
      <c r="D2314" s="58">
        <v>165.05</v>
      </c>
      <c r="E2314" s="59">
        <v>41065</v>
      </c>
      <c r="F2314" s="58">
        <v>9455</v>
      </c>
      <c r="G2314" s="58">
        <v>3671</v>
      </c>
      <c r="H2314" s="58">
        <v>3197</v>
      </c>
      <c r="I2314" s="58">
        <v>9929</v>
      </c>
      <c r="J2314" s="58">
        <v>0</v>
      </c>
      <c r="K2314" s="1">
        <f t="shared" si="253"/>
        <v>527664.85000000009</v>
      </c>
      <c r="L2314" s="1">
        <f t="shared" si="254"/>
        <v>3197</v>
      </c>
      <c r="M2314" s="1">
        <f>VLOOKUP(B2314,'[1]Срок Годности'!$A$2:$B$4,2,0)</f>
        <v>1000</v>
      </c>
      <c r="N2314" s="60">
        <f t="shared" si="255"/>
        <v>3671</v>
      </c>
      <c r="O2314" s="1" t="str">
        <f t="shared" si="256"/>
        <v>23 2012</v>
      </c>
      <c r="P2314" s="1">
        <f t="shared" si="257"/>
        <v>22</v>
      </c>
      <c r="Q2314" s="1">
        <f t="shared" ca="1" si="258"/>
        <v>4068</v>
      </c>
      <c r="S2314" s="1">
        <f t="shared" si="252"/>
        <v>9929</v>
      </c>
    </row>
    <row r="2315" spans="1:19" x14ac:dyDescent="0.2">
      <c r="A2315" s="57" t="s">
        <v>240</v>
      </c>
      <c r="B2315" s="57" t="s">
        <v>237</v>
      </c>
      <c r="C2315" s="57" t="s">
        <v>238</v>
      </c>
      <c r="D2315" s="58">
        <v>165.05</v>
      </c>
      <c r="E2315" s="59">
        <v>41066</v>
      </c>
      <c r="F2315" s="58">
        <v>9929</v>
      </c>
      <c r="G2315" s="58">
        <v>3790</v>
      </c>
      <c r="H2315" s="58">
        <v>3356</v>
      </c>
      <c r="I2315" s="58">
        <v>10312</v>
      </c>
      <c r="J2315" s="58">
        <v>0</v>
      </c>
      <c r="K2315" s="1">
        <f t="shared" si="253"/>
        <v>553907.80000000005</v>
      </c>
      <c r="L2315" s="1">
        <f t="shared" si="254"/>
        <v>3356</v>
      </c>
      <c r="M2315" s="1">
        <f>VLOOKUP(B2315,'[1]Срок Годности'!$A$2:$B$4,2,0)</f>
        <v>1000</v>
      </c>
      <c r="N2315" s="60">
        <f t="shared" si="255"/>
        <v>3790</v>
      </c>
      <c r="O2315" s="1" t="str">
        <f t="shared" si="256"/>
        <v>23 2012</v>
      </c>
      <c r="P2315" s="1">
        <f t="shared" si="257"/>
        <v>22</v>
      </c>
      <c r="Q2315" s="1">
        <f t="shared" ca="1" si="258"/>
        <v>4067</v>
      </c>
      <c r="S2315" s="1">
        <f t="shared" si="252"/>
        <v>10312</v>
      </c>
    </row>
    <row r="2316" spans="1:19" x14ac:dyDescent="0.2">
      <c r="A2316" s="57" t="s">
        <v>240</v>
      </c>
      <c r="B2316" s="57" t="s">
        <v>237</v>
      </c>
      <c r="C2316" s="57" t="s">
        <v>238</v>
      </c>
      <c r="D2316" s="58">
        <v>165.05</v>
      </c>
      <c r="E2316" s="59">
        <v>41067</v>
      </c>
      <c r="F2316" s="58">
        <v>10312</v>
      </c>
      <c r="G2316" s="58">
        <v>4768</v>
      </c>
      <c r="H2316" s="58">
        <v>3409</v>
      </c>
      <c r="I2316" s="58">
        <v>11618</v>
      </c>
      <c r="J2316" s="58">
        <v>0</v>
      </c>
      <c r="K2316" s="1">
        <f t="shared" si="253"/>
        <v>562655.45000000007</v>
      </c>
      <c r="L2316" s="1">
        <f t="shared" si="254"/>
        <v>3409</v>
      </c>
      <c r="M2316" s="1">
        <f>VLOOKUP(B2316,'[1]Срок Годности'!$A$2:$B$4,2,0)</f>
        <v>1000</v>
      </c>
      <c r="N2316" s="60">
        <f t="shared" si="255"/>
        <v>4768</v>
      </c>
      <c r="O2316" s="1" t="str">
        <f t="shared" si="256"/>
        <v>23 2012</v>
      </c>
      <c r="P2316" s="1">
        <f t="shared" si="257"/>
        <v>22</v>
      </c>
      <c r="Q2316" s="1">
        <f t="shared" ca="1" si="258"/>
        <v>4066</v>
      </c>
      <c r="S2316" s="1">
        <f t="shared" si="252"/>
        <v>11618</v>
      </c>
    </row>
    <row r="2317" spans="1:19" x14ac:dyDescent="0.2">
      <c r="A2317" s="57" t="s">
        <v>240</v>
      </c>
      <c r="B2317" s="57" t="s">
        <v>237</v>
      </c>
      <c r="C2317" s="57" t="s">
        <v>238</v>
      </c>
      <c r="D2317" s="58">
        <v>165.05</v>
      </c>
      <c r="E2317" s="59">
        <v>41068</v>
      </c>
      <c r="F2317" s="58">
        <v>11618</v>
      </c>
      <c r="G2317" s="58">
        <v>5038</v>
      </c>
      <c r="H2317" s="58">
        <v>3717</v>
      </c>
      <c r="I2317" s="58">
        <v>12906</v>
      </c>
      <c r="J2317" s="58">
        <v>0</v>
      </c>
      <c r="K2317" s="1">
        <f t="shared" si="253"/>
        <v>613490.85000000009</v>
      </c>
      <c r="L2317" s="1">
        <f t="shared" si="254"/>
        <v>3717</v>
      </c>
      <c r="M2317" s="1">
        <f>VLOOKUP(B2317,'[1]Срок Годности'!$A$2:$B$4,2,0)</f>
        <v>1000</v>
      </c>
      <c r="N2317" s="60">
        <f t="shared" si="255"/>
        <v>5038</v>
      </c>
      <c r="O2317" s="1" t="str">
        <f t="shared" si="256"/>
        <v>23 2012</v>
      </c>
      <c r="P2317" s="1">
        <f t="shared" si="257"/>
        <v>22</v>
      </c>
      <c r="Q2317" s="1">
        <f t="shared" ca="1" si="258"/>
        <v>4065</v>
      </c>
      <c r="S2317" s="1">
        <f t="shared" si="252"/>
        <v>12906</v>
      </c>
    </row>
    <row r="2318" spans="1:19" x14ac:dyDescent="0.2">
      <c r="A2318" s="57" t="s">
        <v>240</v>
      </c>
      <c r="B2318" s="57" t="s">
        <v>237</v>
      </c>
      <c r="C2318" s="57" t="s">
        <v>238</v>
      </c>
      <c r="D2318" s="58">
        <v>165.05</v>
      </c>
      <c r="E2318" s="59">
        <v>41069</v>
      </c>
      <c r="F2318" s="58">
        <v>12906</v>
      </c>
      <c r="G2318" s="58">
        <v>4569</v>
      </c>
      <c r="H2318" s="58">
        <v>3985</v>
      </c>
      <c r="I2318" s="58">
        <v>13423</v>
      </c>
      <c r="J2318" s="58">
        <v>0</v>
      </c>
      <c r="K2318" s="1">
        <f t="shared" si="253"/>
        <v>657724.25</v>
      </c>
      <c r="L2318" s="1">
        <f t="shared" si="254"/>
        <v>3985</v>
      </c>
      <c r="M2318" s="1">
        <f>VLOOKUP(B2318,'[1]Срок Годности'!$A$2:$B$4,2,0)</f>
        <v>1000</v>
      </c>
      <c r="N2318" s="60">
        <f t="shared" si="255"/>
        <v>4569</v>
      </c>
      <c r="O2318" s="1" t="str">
        <f t="shared" si="256"/>
        <v>23 2012</v>
      </c>
      <c r="P2318" s="1">
        <f t="shared" si="257"/>
        <v>22</v>
      </c>
      <c r="Q2318" s="1">
        <f t="shared" ca="1" si="258"/>
        <v>4064</v>
      </c>
      <c r="S2318" s="1">
        <f t="shared" si="252"/>
        <v>13423</v>
      </c>
    </row>
    <row r="2319" spans="1:19" x14ac:dyDescent="0.2">
      <c r="A2319" s="57" t="s">
        <v>240</v>
      </c>
      <c r="B2319" s="57" t="s">
        <v>237</v>
      </c>
      <c r="C2319" s="57" t="s">
        <v>238</v>
      </c>
      <c r="D2319" s="58">
        <v>165.05</v>
      </c>
      <c r="E2319" s="59">
        <v>41070</v>
      </c>
      <c r="F2319" s="58">
        <v>13423</v>
      </c>
      <c r="G2319" s="58">
        <v>2911</v>
      </c>
      <c r="H2319" s="58">
        <v>4081</v>
      </c>
      <c r="I2319" s="58">
        <v>12202</v>
      </c>
      <c r="J2319" s="58">
        <v>0</v>
      </c>
      <c r="K2319" s="1">
        <f t="shared" si="253"/>
        <v>673569.05</v>
      </c>
      <c r="L2319" s="1">
        <f t="shared" si="254"/>
        <v>4081</v>
      </c>
      <c r="M2319" s="1">
        <f>VLOOKUP(B2319,'[1]Срок Годности'!$A$2:$B$4,2,0)</f>
        <v>1000</v>
      </c>
      <c r="N2319" s="60">
        <f t="shared" si="255"/>
        <v>0</v>
      </c>
      <c r="O2319" s="1" t="str">
        <f t="shared" si="256"/>
        <v>24 2012</v>
      </c>
      <c r="P2319" s="1">
        <f t="shared" si="257"/>
        <v>22</v>
      </c>
      <c r="Q2319" s="1">
        <f t="shared" ca="1" si="258"/>
        <v>4063</v>
      </c>
      <c r="S2319" s="1">
        <f t="shared" si="252"/>
        <v>12202</v>
      </c>
    </row>
    <row r="2320" spans="1:19" x14ac:dyDescent="0.2">
      <c r="A2320" s="57" t="s">
        <v>240</v>
      </c>
      <c r="B2320" s="57" t="s">
        <v>237</v>
      </c>
      <c r="C2320" s="57" t="s">
        <v>238</v>
      </c>
      <c r="D2320" s="58">
        <v>165.05</v>
      </c>
      <c r="E2320" s="59">
        <v>41071</v>
      </c>
      <c r="F2320" s="58">
        <v>12202</v>
      </c>
      <c r="G2320" s="58">
        <v>-17</v>
      </c>
      <c r="H2320" s="58">
        <v>3395</v>
      </c>
      <c r="I2320" s="58">
        <v>8755</v>
      </c>
      <c r="J2320" s="58">
        <v>0</v>
      </c>
      <c r="K2320" s="1">
        <f t="shared" si="253"/>
        <v>560344.75</v>
      </c>
      <c r="L2320" s="1">
        <f t="shared" si="254"/>
        <v>3395</v>
      </c>
      <c r="M2320" s="1">
        <f>VLOOKUP(B2320,'[1]Срок Годности'!$A$2:$B$4,2,0)</f>
        <v>1000</v>
      </c>
      <c r="N2320" s="60">
        <f t="shared" si="255"/>
        <v>-17</v>
      </c>
      <c r="O2320" s="1" t="str">
        <f t="shared" si="256"/>
        <v>24 2012</v>
      </c>
      <c r="P2320" s="1">
        <f t="shared" si="257"/>
        <v>22</v>
      </c>
      <c r="Q2320" s="1">
        <f t="shared" ca="1" si="258"/>
        <v>4062</v>
      </c>
      <c r="S2320" s="1">
        <f t="shared" si="252"/>
        <v>8755</v>
      </c>
    </row>
    <row r="2321" spans="1:19" x14ac:dyDescent="0.2">
      <c r="A2321" s="57" t="s">
        <v>240</v>
      </c>
      <c r="B2321" s="57" t="s">
        <v>237</v>
      </c>
      <c r="C2321" s="57" t="s">
        <v>238</v>
      </c>
      <c r="D2321" s="58">
        <v>165.05</v>
      </c>
      <c r="E2321" s="59">
        <v>41072</v>
      </c>
      <c r="F2321" s="58">
        <v>8755</v>
      </c>
      <c r="G2321" s="58">
        <v>4846</v>
      </c>
      <c r="H2321" s="58">
        <v>3162</v>
      </c>
      <c r="I2321" s="58">
        <v>10400</v>
      </c>
      <c r="J2321" s="58">
        <v>0</v>
      </c>
      <c r="K2321" s="1">
        <f t="shared" si="253"/>
        <v>521888.10000000003</v>
      </c>
      <c r="L2321" s="1">
        <f t="shared" si="254"/>
        <v>3162</v>
      </c>
      <c r="M2321" s="1">
        <f>VLOOKUP(B2321,'[1]Срок Годности'!$A$2:$B$4,2,0)</f>
        <v>1000</v>
      </c>
      <c r="N2321" s="60">
        <f t="shared" si="255"/>
        <v>4846</v>
      </c>
      <c r="O2321" s="1" t="str">
        <f t="shared" si="256"/>
        <v>24 2012</v>
      </c>
      <c r="P2321" s="1">
        <f t="shared" si="257"/>
        <v>22</v>
      </c>
      <c r="Q2321" s="1">
        <f t="shared" ca="1" si="258"/>
        <v>4061</v>
      </c>
      <c r="S2321" s="1">
        <f t="shared" si="252"/>
        <v>10400</v>
      </c>
    </row>
    <row r="2322" spans="1:19" x14ac:dyDescent="0.2">
      <c r="A2322" s="57" t="s">
        <v>240</v>
      </c>
      <c r="B2322" s="57" t="s">
        <v>237</v>
      </c>
      <c r="C2322" s="57" t="s">
        <v>238</v>
      </c>
      <c r="D2322" s="58">
        <v>165.05</v>
      </c>
      <c r="E2322" s="59">
        <v>41073</v>
      </c>
      <c r="F2322" s="58">
        <v>10400</v>
      </c>
      <c r="G2322" s="58">
        <v>805</v>
      </c>
      <c r="H2322" s="58">
        <v>2937</v>
      </c>
      <c r="I2322" s="58">
        <v>8219</v>
      </c>
      <c r="J2322" s="58">
        <v>0</v>
      </c>
      <c r="K2322" s="1">
        <f t="shared" si="253"/>
        <v>484751.85000000003</v>
      </c>
      <c r="L2322" s="1">
        <f t="shared" si="254"/>
        <v>2937</v>
      </c>
      <c r="M2322" s="1">
        <f>VLOOKUP(B2322,'[1]Срок Годности'!$A$2:$B$4,2,0)</f>
        <v>1000</v>
      </c>
      <c r="N2322" s="60">
        <f t="shared" si="255"/>
        <v>805</v>
      </c>
      <c r="O2322" s="1" t="str">
        <f t="shared" si="256"/>
        <v>24 2012</v>
      </c>
      <c r="P2322" s="1">
        <f t="shared" si="257"/>
        <v>22</v>
      </c>
      <c r="Q2322" s="1">
        <f t="shared" ca="1" si="258"/>
        <v>4060</v>
      </c>
      <c r="S2322" s="1">
        <f t="shared" si="252"/>
        <v>8219</v>
      </c>
    </row>
    <row r="2323" spans="1:19" x14ac:dyDescent="0.2">
      <c r="A2323" s="57" t="s">
        <v>240</v>
      </c>
      <c r="B2323" s="57" t="s">
        <v>237</v>
      </c>
      <c r="C2323" s="57" t="s">
        <v>238</v>
      </c>
      <c r="D2323" s="58">
        <v>165.05</v>
      </c>
      <c r="E2323" s="59">
        <v>41074</v>
      </c>
      <c r="F2323" s="58">
        <v>8219</v>
      </c>
      <c r="G2323" s="58">
        <v>3120</v>
      </c>
      <c r="H2323" s="58">
        <v>2510</v>
      </c>
      <c r="I2323" s="58">
        <v>8765</v>
      </c>
      <c r="J2323" s="58">
        <v>0</v>
      </c>
      <c r="K2323" s="1">
        <f t="shared" si="253"/>
        <v>414275.5</v>
      </c>
      <c r="L2323" s="1">
        <f t="shared" si="254"/>
        <v>2510</v>
      </c>
      <c r="M2323" s="1">
        <f>VLOOKUP(B2323,'[1]Срок Годности'!$A$2:$B$4,2,0)</f>
        <v>1000</v>
      </c>
      <c r="N2323" s="60">
        <f t="shared" si="255"/>
        <v>3120</v>
      </c>
      <c r="O2323" s="1" t="str">
        <f t="shared" si="256"/>
        <v>24 2012</v>
      </c>
      <c r="P2323" s="1">
        <f t="shared" si="257"/>
        <v>22</v>
      </c>
      <c r="Q2323" s="1">
        <f t="shared" ca="1" si="258"/>
        <v>4059</v>
      </c>
      <c r="S2323" s="1">
        <f t="shared" si="252"/>
        <v>8765</v>
      </c>
    </row>
    <row r="2324" spans="1:19" x14ac:dyDescent="0.2">
      <c r="A2324" s="57" t="s">
        <v>240</v>
      </c>
      <c r="B2324" s="57" t="s">
        <v>237</v>
      </c>
      <c r="C2324" s="57" t="s">
        <v>238</v>
      </c>
      <c r="D2324" s="58">
        <v>165.05</v>
      </c>
      <c r="E2324" s="59">
        <v>41075</v>
      </c>
      <c r="F2324" s="58">
        <v>8765</v>
      </c>
      <c r="G2324" s="58">
        <v>1</v>
      </c>
      <c r="H2324" s="58">
        <v>2243</v>
      </c>
      <c r="I2324" s="58">
        <v>6508</v>
      </c>
      <c r="J2324" s="58">
        <v>0</v>
      </c>
      <c r="K2324" s="1">
        <f t="shared" si="253"/>
        <v>370207.15</v>
      </c>
      <c r="L2324" s="1">
        <f t="shared" si="254"/>
        <v>2243</v>
      </c>
      <c r="M2324" s="1">
        <f>VLOOKUP(B2324,'[1]Срок Годности'!$A$2:$B$4,2,0)</f>
        <v>1000</v>
      </c>
      <c r="N2324" s="60">
        <f t="shared" si="255"/>
        <v>1</v>
      </c>
      <c r="O2324" s="1" t="str">
        <f t="shared" si="256"/>
        <v>24 2012</v>
      </c>
      <c r="P2324" s="1">
        <f t="shared" si="257"/>
        <v>22</v>
      </c>
      <c r="Q2324" s="1">
        <f t="shared" ca="1" si="258"/>
        <v>4058</v>
      </c>
      <c r="S2324" s="1">
        <f t="shared" si="252"/>
        <v>6508</v>
      </c>
    </row>
    <row r="2325" spans="1:19" x14ac:dyDescent="0.2">
      <c r="A2325" s="57" t="s">
        <v>240</v>
      </c>
      <c r="B2325" s="57" t="s">
        <v>237</v>
      </c>
      <c r="C2325" s="57" t="s">
        <v>238</v>
      </c>
      <c r="D2325" s="58">
        <v>165.05</v>
      </c>
      <c r="E2325" s="59">
        <v>41076</v>
      </c>
      <c r="F2325" s="58">
        <v>6508</v>
      </c>
      <c r="G2325" s="58">
        <v>0</v>
      </c>
      <c r="H2325" s="58">
        <v>1763</v>
      </c>
      <c r="I2325" s="58">
        <v>4783</v>
      </c>
      <c r="J2325" s="58">
        <v>0</v>
      </c>
      <c r="K2325" s="1">
        <f t="shared" si="253"/>
        <v>290983.15000000002</v>
      </c>
      <c r="L2325" s="1">
        <f t="shared" si="254"/>
        <v>1763</v>
      </c>
      <c r="M2325" s="1">
        <f>VLOOKUP(B2325,'[1]Срок Годности'!$A$2:$B$4,2,0)</f>
        <v>1000</v>
      </c>
      <c r="N2325" s="60">
        <f t="shared" si="255"/>
        <v>0</v>
      </c>
      <c r="O2325" s="1" t="str">
        <f t="shared" si="256"/>
        <v>24 2012</v>
      </c>
      <c r="P2325" s="1">
        <f t="shared" si="257"/>
        <v>22</v>
      </c>
      <c r="Q2325" s="1">
        <f t="shared" ca="1" si="258"/>
        <v>4057</v>
      </c>
      <c r="S2325" s="1">
        <f t="shared" si="252"/>
        <v>4783</v>
      </c>
    </row>
    <row r="2326" spans="1:19" x14ac:dyDescent="0.2">
      <c r="A2326" s="57" t="s">
        <v>240</v>
      </c>
      <c r="B2326" s="57" t="s">
        <v>237</v>
      </c>
      <c r="C2326" s="57" t="s">
        <v>238</v>
      </c>
      <c r="D2326" s="58">
        <v>165.05</v>
      </c>
      <c r="E2326" s="59">
        <v>41077</v>
      </c>
      <c r="F2326" s="58">
        <v>4783</v>
      </c>
      <c r="G2326" s="58">
        <v>0</v>
      </c>
      <c r="H2326" s="58">
        <v>1206</v>
      </c>
      <c r="I2326" s="58">
        <v>3559</v>
      </c>
      <c r="J2326" s="58">
        <v>0</v>
      </c>
      <c r="K2326" s="1">
        <f t="shared" si="253"/>
        <v>199050.30000000002</v>
      </c>
      <c r="L2326" s="1">
        <f t="shared" si="254"/>
        <v>1206</v>
      </c>
      <c r="M2326" s="1">
        <f>VLOOKUP(B2326,'[1]Срок Годности'!$A$2:$B$4,2,0)</f>
        <v>1000</v>
      </c>
      <c r="N2326" s="60">
        <f t="shared" si="255"/>
        <v>0</v>
      </c>
      <c r="O2326" s="1" t="str">
        <f t="shared" si="256"/>
        <v>25 2012</v>
      </c>
      <c r="P2326" s="1">
        <f t="shared" si="257"/>
        <v>22</v>
      </c>
      <c r="Q2326" s="1">
        <f t="shared" ca="1" si="258"/>
        <v>4056</v>
      </c>
      <c r="S2326" s="1">
        <f t="shared" si="252"/>
        <v>3559</v>
      </c>
    </row>
    <row r="2327" spans="1:19" x14ac:dyDescent="0.2">
      <c r="A2327" s="57" t="s">
        <v>240</v>
      </c>
      <c r="B2327" s="57" t="s">
        <v>237</v>
      </c>
      <c r="C2327" s="57" t="s">
        <v>238</v>
      </c>
      <c r="D2327" s="58">
        <v>165.05</v>
      </c>
      <c r="E2327" s="59">
        <v>41078</v>
      </c>
      <c r="F2327" s="58">
        <v>3559</v>
      </c>
      <c r="G2327" s="58">
        <v>8538</v>
      </c>
      <c r="H2327" s="58">
        <v>1813</v>
      </c>
      <c r="I2327" s="58">
        <v>10312</v>
      </c>
      <c r="J2327" s="58">
        <v>0</v>
      </c>
      <c r="K2327" s="1">
        <f t="shared" si="253"/>
        <v>299235.65000000002</v>
      </c>
      <c r="L2327" s="1">
        <f t="shared" si="254"/>
        <v>1813</v>
      </c>
      <c r="M2327" s="1">
        <f>VLOOKUP(B2327,'[1]Срок Годности'!$A$2:$B$4,2,0)</f>
        <v>1000</v>
      </c>
      <c r="N2327" s="60">
        <f t="shared" si="255"/>
        <v>8538</v>
      </c>
      <c r="O2327" s="1" t="str">
        <f t="shared" si="256"/>
        <v>25 2012</v>
      </c>
      <c r="P2327" s="1">
        <f t="shared" si="257"/>
        <v>22</v>
      </c>
      <c r="Q2327" s="1">
        <f t="shared" ca="1" si="258"/>
        <v>4055</v>
      </c>
      <c r="S2327" s="1">
        <f t="shared" si="252"/>
        <v>10312</v>
      </c>
    </row>
    <row r="2328" spans="1:19" x14ac:dyDescent="0.2">
      <c r="A2328" s="57" t="s">
        <v>240</v>
      </c>
      <c r="B2328" s="57" t="s">
        <v>237</v>
      </c>
      <c r="C2328" s="57" t="s">
        <v>238</v>
      </c>
      <c r="D2328" s="58">
        <v>165.05</v>
      </c>
      <c r="E2328" s="59">
        <v>41079</v>
      </c>
      <c r="F2328" s="58">
        <v>10312</v>
      </c>
      <c r="G2328" s="58">
        <v>1367</v>
      </c>
      <c r="H2328" s="58">
        <v>2847</v>
      </c>
      <c r="I2328" s="58">
        <v>8807</v>
      </c>
      <c r="J2328" s="58">
        <v>0</v>
      </c>
      <c r="K2328" s="1">
        <f t="shared" si="253"/>
        <v>469897.35000000003</v>
      </c>
      <c r="L2328" s="1">
        <f t="shared" si="254"/>
        <v>2847</v>
      </c>
      <c r="M2328" s="1">
        <f>VLOOKUP(B2328,'[1]Срок Годности'!$A$2:$B$4,2,0)</f>
        <v>1000</v>
      </c>
      <c r="N2328" s="60">
        <f t="shared" si="255"/>
        <v>1367</v>
      </c>
      <c r="O2328" s="1" t="str">
        <f t="shared" si="256"/>
        <v>25 2012</v>
      </c>
      <c r="P2328" s="1">
        <f t="shared" si="257"/>
        <v>22</v>
      </c>
      <c r="Q2328" s="1">
        <f t="shared" ca="1" si="258"/>
        <v>4054</v>
      </c>
      <c r="S2328" s="1">
        <f t="shared" si="252"/>
        <v>8807</v>
      </c>
    </row>
    <row r="2329" spans="1:19" x14ac:dyDescent="0.2">
      <c r="A2329" s="57" t="s">
        <v>240</v>
      </c>
      <c r="B2329" s="57" t="s">
        <v>237</v>
      </c>
      <c r="C2329" s="57" t="s">
        <v>238</v>
      </c>
      <c r="D2329" s="58">
        <v>165.05</v>
      </c>
      <c r="E2329" s="59">
        <v>41080</v>
      </c>
      <c r="F2329" s="58">
        <v>8807</v>
      </c>
      <c r="G2329" s="58">
        <v>3712</v>
      </c>
      <c r="H2329" s="58">
        <v>2793</v>
      </c>
      <c r="I2329" s="58">
        <v>9704</v>
      </c>
      <c r="J2329" s="58">
        <v>0</v>
      </c>
      <c r="K2329" s="1">
        <f t="shared" si="253"/>
        <v>460984.65</v>
      </c>
      <c r="L2329" s="1">
        <f t="shared" si="254"/>
        <v>2793</v>
      </c>
      <c r="M2329" s="1">
        <f>VLOOKUP(B2329,'[1]Срок Годности'!$A$2:$B$4,2,0)</f>
        <v>1000</v>
      </c>
      <c r="N2329" s="60">
        <f t="shared" si="255"/>
        <v>3712</v>
      </c>
      <c r="O2329" s="1" t="str">
        <f t="shared" si="256"/>
        <v>25 2012</v>
      </c>
      <c r="P2329" s="1">
        <f t="shared" si="257"/>
        <v>22</v>
      </c>
      <c r="Q2329" s="1">
        <f t="shared" ca="1" si="258"/>
        <v>4053</v>
      </c>
      <c r="S2329" s="1">
        <f t="shared" si="252"/>
        <v>9704</v>
      </c>
    </row>
    <row r="2330" spans="1:19" x14ac:dyDescent="0.2">
      <c r="A2330" s="57" t="s">
        <v>240</v>
      </c>
      <c r="B2330" s="57" t="s">
        <v>237</v>
      </c>
      <c r="C2330" s="57" t="s">
        <v>238</v>
      </c>
      <c r="D2330" s="58">
        <v>165.05</v>
      </c>
      <c r="E2330" s="59">
        <v>41081</v>
      </c>
      <c r="F2330" s="58">
        <v>9704</v>
      </c>
      <c r="G2330" s="58">
        <v>5854</v>
      </c>
      <c r="H2330" s="58">
        <v>2853</v>
      </c>
      <c r="I2330" s="58">
        <v>12693</v>
      </c>
      <c r="J2330" s="58">
        <v>0</v>
      </c>
      <c r="K2330" s="1">
        <f t="shared" si="253"/>
        <v>470887.65</v>
      </c>
      <c r="L2330" s="1">
        <f t="shared" si="254"/>
        <v>2853</v>
      </c>
      <c r="M2330" s="1">
        <f>VLOOKUP(B2330,'[1]Срок Годности'!$A$2:$B$4,2,0)</f>
        <v>1000</v>
      </c>
      <c r="N2330" s="60">
        <f t="shared" si="255"/>
        <v>5854</v>
      </c>
      <c r="O2330" s="1" t="str">
        <f t="shared" si="256"/>
        <v>25 2012</v>
      </c>
      <c r="P2330" s="1">
        <f t="shared" si="257"/>
        <v>22</v>
      </c>
      <c r="Q2330" s="1">
        <f t="shared" ca="1" si="258"/>
        <v>4052</v>
      </c>
      <c r="S2330" s="1">
        <f t="shared" si="252"/>
        <v>12693</v>
      </c>
    </row>
    <row r="2331" spans="1:19" x14ac:dyDescent="0.2">
      <c r="A2331" s="57" t="s">
        <v>240</v>
      </c>
      <c r="B2331" s="57" t="s">
        <v>237</v>
      </c>
      <c r="C2331" s="57" t="s">
        <v>238</v>
      </c>
      <c r="D2331" s="58">
        <v>165.05</v>
      </c>
      <c r="E2331" s="59">
        <v>41082</v>
      </c>
      <c r="F2331" s="58">
        <v>12693</v>
      </c>
      <c r="G2331" s="58">
        <v>4739</v>
      </c>
      <c r="H2331" s="58">
        <v>3611</v>
      </c>
      <c r="I2331" s="58">
        <v>13764</v>
      </c>
      <c r="J2331" s="58">
        <v>0</v>
      </c>
      <c r="K2331" s="1">
        <f t="shared" si="253"/>
        <v>595995.55000000005</v>
      </c>
      <c r="L2331" s="1">
        <f t="shared" si="254"/>
        <v>3611</v>
      </c>
      <c r="M2331" s="1">
        <f>VLOOKUP(B2331,'[1]Срок Годности'!$A$2:$B$4,2,0)</f>
        <v>1000</v>
      </c>
      <c r="N2331" s="60">
        <f t="shared" si="255"/>
        <v>4739</v>
      </c>
      <c r="O2331" s="1" t="str">
        <f t="shared" si="256"/>
        <v>25 2012</v>
      </c>
      <c r="P2331" s="1">
        <f t="shared" si="257"/>
        <v>22</v>
      </c>
      <c r="Q2331" s="1">
        <f t="shared" ca="1" si="258"/>
        <v>4051</v>
      </c>
      <c r="S2331" s="1">
        <f t="shared" si="252"/>
        <v>13764</v>
      </c>
    </row>
    <row r="2332" spans="1:19" x14ac:dyDescent="0.2">
      <c r="A2332" s="57" t="s">
        <v>240</v>
      </c>
      <c r="B2332" s="57" t="s">
        <v>237</v>
      </c>
      <c r="C2332" s="57" t="s">
        <v>238</v>
      </c>
      <c r="D2332" s="58">
        <v>165.05</v>
      </c>
      <c r="E2332" s="59">
        <v>41083</v>
      </c>
      <c r="F2332" s="58">
        <v>13764</v>
      </c>
      <c r="G2332" s="58">
        <v>1260</v>
      </c>
      <c r="H2332" s="58">
        <v>3612</v>
      </c>
      <c r="I2332" s="58">
        <v>11361</v>
      </c>
      <c r="J2332" s="58">
        <v>0</v>
      </c>
      <c r="K2332" s="1">
        <f t="shared" si="253"/>
        <v>596160.60000000009</v>
      </c>
      <c r="L2332" s="1">
        <f t="shared" si="254"/>
        <v>3612</v>
      </c>
      <c r="M2332" s="1">
        <f>VLOOKUP(B2332,'[1]Срок Годности'!$A$2:$B$4,2,0)</f>
        <v>1000</v>
      </c>
      <c r="N2332" s="60">
        <f t="shared" si="255"/>
        <v>1260</v>
      </c>
      <c r="O2332" s="1" t="str">
        <f t="shared" si="256"/>
        <v>25 2012</v>
      </c>
      <c r="P2332" s="1">
        <f t="shared" si="257"/>
        <v>22</v>
      </c>
      <c r="Q2332" s="1">
        <f t="shared" ca="1" si="258"/>
        <v>4050</v>
      </c>
      <c r="S2332" s="1">
        <f t="shared" si="252"/>
        <v>11361</v>
      </c>
    </row>
    <row r="2333" spans="1:19" x14ac:dyDescent="0.2">
      <c r="A2333" s="57" t="s">
        <v>240</v>
      </c>
      <c r="B2333" s="57" t="s">
        <v>237</v>
      </c>
      <c r="C2333" s="57" t="s">
        <v>238</v>
      </c>
      <c r="D2333" s="58">
        <v>165.05</v>
      </c>
      <c r="E2333" s="59">
        <v>41084</v>
      </c>
      <c r="F2333" s="58">
        <v>11361</v>
      </c>
      <c r="G2333" s="58">
        <v>2338</v>
      </c>
      <c r="H2333" s="58">
        <v>3461</v>
      </c>
      <c r="I2333" s="58">
        <v>10217</v>
      </c>
      <c r="J2333" s="58">
        <v>0</v>
      </c>
      <c r="K2333" s="1">
        <f t="shared" si="253"/>
        <v>571238.05000000005</v>
      </c>
      <c r="L2333" s="1">
        <f t="shared" si="254"/>
        <v>3461</v>
      </c>
      <c r="M2333" s="1">
        <f>VLOOKUP(B2333,'[1]Срок Годности'!$A$2:$B$4,2,0)</f>
        <v>1000</v>
      </c>
      <c r="N2333" s="60">
        <f t="shared" si="255"/>
        <v>0</v>
      </c>
      <c r="O2333" s="1" t="str">
        <f t="shared" si="256"/>
        <v>26 2012</v>
      </c>
      <c r="P2333" s="1">
        <f t="shared" si="257"/>
        <v>22</v>
      </c>
      <c r="Q2333" s="1">
        <f t="shared" ca="1" si="258"/>
        <v>4049</v>
      </c>
      <c r="S2333" s="1">
        <f t="shared" si="252"/>
        <v>10217</v>
      </c>
    </row>
    <row r="2334" spans="1:19" x14ac:dyDescent="0.2">
      <c r="A2334" s="57" t="s">
        <v>240</v>
      </c>
      <c r="B2334" s="57" t="s">
        <v>237</v>
      </c>
      <c r="C2334" s="57" t="s">
        <v>238</v>
      </c>
      <c r="D2334" s="58">
        <v>165.05</v>
      </c>
      <c r="E2334" s="59">
        <v>41085</v>
      </c>
      <c r="F2334" s="58">
        <v>10217</v>
      </c>
      <c r="G2334" s="58">
        <v>4281</v>
      </c>
      <c r="H2334" s="58">
        <v>3425</v>
      </c>
      <c r="I2334" s="58">
        <v>11032</v>
      </c>
      <c r="J2334" s="58">
        <v>0</v>
      </c>
      <c r="K2334" s="1">
        <f t="shared" si="253"/>
        <v>565296.25</v>
      </c>
      <c r="L2334" s="1">
        <f t="shared" si="254"/>
        <v>3425</v>
      </c>
      <c r="M2334" s="1">
        <f>VLOOKUP(B2334,'[1]Срок Годности'!$A$2:$B$4,2,0)</f>
        <v>1000</v>
      </c>
      <c r="N2334" s="60">
        <f t="shared" si="255"/>
        <v>4281</v>
      </c>
      <c r="O2334" s="1" t="str">
        <f t="shared" si="256"/>
        <v>26 2012</v>
      </c>
      <c r="P2334" s="1">
        <f t="shared" si="257"/>
        <v>22</v>
      </c>
      <c r="Q2334" s="1">
        <f t="shared" ca="1" si="258"/>
        <v>4048</v>
      </c>
      <c r="S2334" s="1">
        <f t="shared" si="252"/>
        <v>11032</v>
      </c>
    </row>
    <row r="2335" spans="1:19" x14ac:dyDescent="0.2">
      <c r="A2335" s="57" t="s">
        <v>240</v>
      </c>
      <c r="B2335" s="57" t="s">
        <v>237</v>
      </c>
      <c r="C2335" s="57" t="s">
        <v>238</v>
      </c>
      <c r="D2335" s="58">
        <v>165.05</v>
      </c>
      <c r="E2335" s="59">
        <v>41086</v>
      </c>
      <c r="F2335" s="58">
        <v>11032</v>
      </c>
      <c r="G2335" s="58">
        <v>6409</v>
      </c>
      <c r="H2335" s="58">
        <v>3254</v>
      </c>
      <c r="I2335" s="58">
        <v>14123</v>
      </c>
      <c r="J2335" s="58">
        <v>0</v>
      </c>
      <c r="K2335" s="1">
        <f t="shared" si="253"/>
        <v>537072.70000000007</v>
      </c>
      <c r="L2335" s="1">
        <f t="shared" si="254"/>
        <v>3254</v>
      </c>
      <c r="M2335" s="1">
        <f>VLOOKUP(B2335,'[1]Срок Годности'!$A$2:$B$4,2,0)</f>
        <v>1000</v>
      </c>
      <c r="N2335" s="60">
        <f t="shared" si="255"/>
        <v>6409</v>
      </c>
      <c r="O2335" s="1" t="str">
        <f t="shared" si="256"/>
        <v>26 2012</v>
      </c>
      <c r="P2335" s="1">
        <f t="shared" si="257"/>
        <v>22</v>
      </c>
      <c r="Q2335" s="1">
        <f t="shared" ca="1" si="258"/>
        <v>4047</v>
      </c>
      <c r="S2335" s="1">
        <f t="shared" si="252"/>
        <v>14123</v>
      </c>
    </row>
    <row r="2336" spans="1:19" x14ac:dyDescent="0.2">
      <c r="A2336" s="57" t="s">
        <v>240</v>
      </c>
      <c r="B2336" s="57" t="s">
        <v>237</v>
      </c>
      <c r="C2336" s="57" t="s">
        <v>238</v>
      </c>
      <c r="D2336" s="58">
        <v>165.05</v>
      </c>
      <c r="E2336" s="59">
        <v>41087</v>
      </c>
      <c r="F2336" s="58">
        <v>14123</v>
      </c>
      <c r="G2336" s="58">
        <v>4069</v>
      </c>
      <c r="H2336" s="58">
        <v>3254</v>
      </c>
      <c r="I2336" s="58">
        <v>14861</v>
      </c>
      <c r="J2336" s="58">
        <v>0</v>
      </c>
      <c r="K2336" s="1">
        <f t="shared" si="253"/>
        <v>537072.70000000007</v>
      </c>
      <c r="L2336" s="1">
        <f t="shared" si="254"/>
        <v>3254</v>
      </c>
      <c r="M2336" s="1">
        <f>VLOOKUP(B2336,'[1]Срок Годности'!$A$2:$B$4,2,0)</f>
        <v>1000</v>
      </c>
      <c r="N2336" s="60">
        <f t="shared" si="255"/>
        <v>4069</v>
      </c>
      <c r="O2336" s="1" t="str">
        <f t="shared" si="256"/>
        <v>26 2012</v>
      </c>
      <c r="P2336" s="1">
        <f t="shared" si="257"/>
        <v>22</v>
      </c>
      <c r="Q2336" s="1">
        <f t="shared" ca="1" si="258"/>
        <v>4046</v>
      </c>
      <c r="S2336" s="1">
        <f t="shared" si="252"/>
        <v>14861</v>
      </c>
    </row>
    <row r="2337" spans="1:19" x14ac:dyDescent="0.2">
      <c r="A2337" s="57" t="s">
        <v>240</v>
      </c>
      <c r="B2337" s="57" t="s">
        <v>237</v>
      </c>
      <c r="C2337" s="57" t="s">
        <v>238</v>
      </c>
      <c r="D2337" s="58">
        <v>165.05</v>
      </c>
      <c r="E2337" s="59">
        <v>41088</v>
      </c>
      <c r="F2337" s="58">
        <v>14861</v>
      </c>
      <c r="G2337" s="58">
        <v>3641</v>
      </c>
      <c r="H2337" s="58">
        <v>3116</v>
      </c>
      <c r="I2337" s="58">
        <v>15354</v>
      </c>
      <c r="J2337" s="58">
        <v>0</v>
      </c>
      <c r="K2337" s="1">
        <f t="shared" si="253"/>
        <v>514295.80000000005</v>
      </c>
      <c r="L2337" s="1">
        <f t="shared" si="254"/>
        <v>3116</v>
      </c>
      <c r="M2337" s="1">
        <f>VLOOKUP(B2337,'[1]Срок Годности'!$A$2:$B$4,2,0)</f>
        <v>1000</v>
      </c>
      <c r="N2337" s="60">
        <f t="shared" si="255"/>
        <v>3641</v>
      </c>
      <c r="O2337" s="1" t="str">
        <f t="shared" si="256"/>
        <v>26 2012</v>
      </c>
      <c r="P2337" s="1">
        <f t="shared" si="257"/>
        <v>22</v>
      </c>
      <c r="Q2337" s="1">
        <f t="shared" ca="1" si="258"/>
        <v>4045</v>
      </c>
      <c r="S2337" s="1">
        <f t="shared" si="252"/>
        <v>15354</v>
      </c>
    </row>
    <row r="2338" spans="1:19" x14ac:dyDescent="0.2">
      <c r="A2338" s="57" t="s">
        <v>240</v>
      </c>
      <c r="B2338" s="57" t="s">
        <v>237</v>
      </c>
      <c r="C2338" s="57" t="s">
        <v>238</v>
      </c>
      <c r="D2338" s="58">
        <v>165.05</v>
      </c>
      <c r="E2338" s="59">
        <v>41089</v>
      </c>
      <c r="F2338" s="58">
        <v>15354</v>
      </c>
      <c r="G2338" s="58">
        <v>3531</v>
      </c>
      <c r="H2338" s="58">
        <v>3476</v>
      </c>
      <c r="I2338" s="58">
        <v>15558</v>
      </c>
      <c r="J2338" s="58">
        <v>0</v>
      </c>
      <c r="K2338" s="1">
        <f t="shared" si="253"/>
        <v>573713.80000000005</v>
      </c>
      <c r="L2338" s="1">
        <f t="shared" si="254"/>
        <v>3476</v>
      </c>
      <c r="M2338" s="1">
        <f>VLOOKUP(B2338,'[1]Срок Годности'!$A$2:$B$4,2,0)</f>
        <v>1000</v>
      </c>
      <c r="N2338" s="60">
        <f t="shared" si="255"/>
        <v>3531</v>
      </c>
      <c r="O2338" s="1" t="str">
        <f t="shared" si="256"/>
        <v>26 2012</v>
      </c>
      <c r="P2338" s="1">
        <f t="shared" si="257"/>
        <v>22</v>
      </c>
      <c r="Q2338" s="1">
        <f t="shared" ca="1" si="258"/>
        <v>4044</v>
      </c>
      <c r="S2338" s="1">
        <f t="shared" si="252"/>
        <v>15558</v>
      </c>
    </row>
    <row r="2339" spans="1:19" x14ac:dyDescent="0.2">
      <c r="A2339" s="57" t="s">
        <v>240</v>
      </c>
      <c r="B2339" s="57" t="s">
        <v>237</v>
      </c>
      <c r="C2339" s="57" t="s">
        <v>238</v>
      </c>
      <c r="D2339" s="58">
        <v>165.05</v>
      </c>
      <c r="E2339" s="59">
        <v>41090</v>
      </c>
      <c r="F2339" s="58">
        <v>15558</v>
      </c>
      <c r="G2339" s="58">
        <v>3193</v>
      </c>
      <c r="H2339" s="58">
        <v>4268</v>
      </c>
      <c r="I2339" s="58">
        <v>14506</v>
      </c>
      <c r="J2339" s="58">
        <v>0</v>
      </c>
      <c r="K2339" s="1">
        <f t="shared" si="253"/>
        <v>704433.4</v>
      </c>
      <c r="L2339" s="1">
        <f t="shared" si="254"/>
        <v>4268</v>
      </c>
      <c r="M2339" s="1">
        <f>VLOOKUP(B2339,'[1]Срок Годности'!$A$2:$B$4,2,0)</f>
        <v>1000</v>
      </c>
      <c r="N2339" s="60">
        <f t="shared" si="255"/>
        <v>3193</v>
      </c>
      <c r="O2339" s="1" t="str">
        <f t="shared" si="256"/>
        <v>26 2012</v>
      </c>
      <c r="P2339" s="1">
        <f t="shared" si="257"/>
        <v>22</v>
      </c>
      <c r="Q2339" s="1">
        <f t="shared" ca="1" si="258"/>
        <v>4043</v>
      </c>
      <c r="S2339" s="1">
        <f t="shared" si="252"/>
        <v>14506</v>
      </c>
    </row>
    <row r="2340" spans="1:19" x14ac:dyDescent="0.2">
      <c r="A2340" s="57" t="s">
        <v>240</v>
      </c>
      <c r="B2340" s="57" t="s">
        <v>237</v>
      </c>
      <c r="C2340" s="57" t="s">
        <v>238</v>
      </c>
      <c r="D2340" s="58">
        <v>165.05</v>
      </c>
      <c r="E2340" s="59">
        <v>41091</v>
      </c>
      <c r="F2340" s="58">
        <v>14506</v>
      </c>
      <c r="G2340" s="58">
        <v>3253</v>
      </c>
      <c r="H2340" s="58">
        <v>4217</v>
      </c>
      <c r="I2340" s="58">
        <v>13494</v>
      </c>
      <c r="J2340" s="58">
        <v>0</v>
      </c>
      <c r="K2340" s="1">
        <f t="shared" si="253"/>
        <v>696015.85000000009</v>
      </c>
      <c r="L2340" s="1">
        <f t="shared" si="254"/>
        <v>4217</v>
      </c>
      <c r="M2340" s="1">
        <f>VLOOKUP(B2340,'[1]Срок Годности'!$A$2:$B$4,2,0)</f>
        <v>1000</v>
      </c>
      <c r="N2340" s="60">
        <f t="shared" si="255"/>
        <v>0</v>
      </c>
      <c r="O2340" s="1" t="str">
        <f t="shared" si="256"/>
        <v>27 2012</v>
      </c>
      <c r="P2340" s="1">
        <f t="shared" si="257"/>
        <v>22</v>
      </c>
      <c r="Q2340" s="1">
        <f t="shared" ca="1" si="258"/>
        <v>4042</v>
      </c>
      <c r="S2340" s="1">
        <f t="shared" si="252"/>
        <v>13494</v>
      </c>
    </row>
    <row r="2341" spans="1:19" x14ac:dyDescent="0.2">
      <c r="A2341" s="57" t="s">
        <v>240</v>
      </c>
      <c r="B2341" s="57" t="s">
        <v>237</v>
      </c>
      <c r="C2341" s="57" t="s">
        <v>238</v>
      </c>
      <c r="D2341" s="58">
        <v>165.05</v>
      </c>
      <c r="E2341" s="59">
        <v>41092</v>
      </c>
      <c r="F2341" s="58">
        <v>13494</v>
      </c>
      <c r="G2341" s="58">
        <v>4505</v>
      </c>
      <c r="H2341" s="58">
        <v>4272</v>
      </c>
      <c r="I2341" s="58">
        <v>13668</v>
      </c>
      <c r="J2341" s="58">
        <v>0</v>
      </c>
      <c r="K2341" s="1">
        <f t="shared" si="253"/>
        <v>705093.60000000009</v>
      </c>
      <c r="L2341" s="1">
        <f t="shared" si="254"/>
        <v>4272</v>
      </c>
      <c r="M2341" s="1">
        <f>VLOOKUP(B2341,'[1]Срок Годности'!$A$2:$B$4,2,0)</f>
        <v>1000</v>
      </c>
      <c r="N2341" s="60">
        <f t="shared" si="255"/>
        <v>4505</v>
      </c>
      <c r="O2341" s="1" t="str">
        <f t="shared" si="256"/>
        <v>27 2012</v>
      </c>
      <c r="P2341" s="1">
        <f t="shared" si="257"/>
        <v>22</v>
      </c>
      <c r="Q2341" s="1">
        <f t="shared" ca="1" si="258"/>
        <v>4041</v>
      </c>
      <c r="S2341" s="1">
        <f t="shared" si="252"/>
        <v>13668</v>
      </c>
    </row>
    <row r="2342" spans="1:19" x14ac:dyDescent="0.2">
      <c r="A2342" s="57" t="s">
        <v>240</v>
      </c>
      <c r="B2342" s="57" t="s">
        <v>237</v>
      </c>
      <c r="C2342" s="57" t="s">
        <v>238</v>
      </c>
      <c r="D2342" s="58">
        <v>165.05</v>
      </c>
      <c r="E2342" s="59">
        <v>41093</v>
      </c>
      <c r="F2342" s="58">
        <v>13668</v>
      </c>
      <c r="G2342" s="58">
        <v>5161</v>
      </c>
      <c r="H2342" s="58">
        <v>3983</v>
      </c>
      <c r="I2342" s="58">
        <v>14782</v>
      </c>
      <c r="J2342" s="58">
        <v>0</v>
      </c>
      <c r="K2342" s="1">
        <f t="shared" si="253"/>
        <v>657394.15</v>
      </c>
      <c r="L2342" s="1">
        <f t="shared" si="254"/>
        <v>3983</v>
      </c>
      <c r="M2342" s="1">
        <f>VLOOKUP(B2342,'[1]Срок Годности'!$A$2:$B$4,2,0)</f>
        <v>1000</v>
      </c>
      <c r="N2342" s="60">
        <f t="shared" si="255"/>
        <v>5161</v>
      </c>
      <c r="O2342" s="1" t="str">
        <f t="shared" si="256"/>
        <v>27 2012</v>
      </c>
      <c r="P2342" s="1">
        <f t="shared" si="257"/>
        <v>22</v>
      </c>
      <c r="Q2342" s="1">
        <f t="shared" ca="1" si="258"/>
        <v>4040</v>
      </c>
      <c r="S2342" s="1">
        <f t="shared" si="252"/>
        <v>14782</v>
      </c>
    </row>
    <row r="2343" spans="1:19" x14ac:dyDescent="0.2">
      <c r="A2343" s="57" t="s">
        <v>240</v>
      </c>
      <c r="B2343" s="57" t="s">
        <v>237</v>
      </c>
      <c r="C2343" s="57" t="s">
        <v>238</v>
      </c>
      <c r="D2343" s="58">
        <v>165.05</v>
      </c>
      <c r="E2343" s="59">
        <v>41094</v>
      </c>
      <c r="F2343" s="58">
        <v>14782</v>
      </c>
      <c r="G2343" s="58">
        <v>5598</v>
      </c>
      <c r="H2343" s="58">
        <v>3829</v>
      </c>
      <c r="I2343" s="58">
        <v>16476</v>
      </c>
      <c r="J2343" s="58">
        <v>0</v>
      </c>
      <c r="K2343" s="1">
        <f t="shared" si="253"/>
        <v>631976.45000000007</v>
      </c>
      <c r="L2343" s="1">
        <f t="shared" si="254"/>
        <v>3829</v>
      </c>
      <c r="M2343" s="1">
        <f>VLOOKUP(B2343,'[1]Срок Годности'!$A$2:$B$4,2,0)</f>
        <v>1000</v>
      </c>
      <c r="N2343" s="60">
        <f t="shared" si="255"/>
        <v>5598</v>
      </c>
      <c r="O2343" s="1" t="str">
        <f t="shared" si="256"/>
        <v>27 2012</v>
      </c>
      <c r="P2343" s="1">
        <f t="shared" si="257"/>
        <v>22</v>
      </c>
      <c r="Q2343" s="1">
        <f t="shared" ca="1" si="258"/>
        <v>4039</v>
      </c>
      <c r="S2343" s="1">
        <f t="shared" si="252"/>
        <v>16476</v>
      </c>
    </row>
    <row r="2344" spans="1:19" x14ac:dyDescent="0.2">
      <c r="A2344" s="57" t="s">
        <v>240</v>
      </c>
      <c r="B2344" s="57" t="s">
        <v>237</v>
      </c>
      <c r="C2344" s="57" t="s">
        <v>238</v>
      </c>
      <c r="D2344" s="58">
        <v>165.05</v>
      </c>
      <c r="E2344" s="59">
        <v>41095</v>
      </c>
      <c r="F2344" s="58">
        <v>16476</v>
      </c>
      <c r="G2344" s="58">
        <v>4539</v>
      </c>
      <c r="H2344" s="58">
        <v>4016</v>
      </c>
      <c r="I2344" s="58">
        <v>16924</v>
      </c>
      <c r="J2344" s="58">
        <v>0</v>
      </c>
      <c r="K2344" s="1">
        <f t="shared" si="253"/>
        <v>662840.80000000005</v>
      </c>
      <c r="L2344" s="1">
        <f t="shared" si="254"/>
        <v>4016</v>
      </c>
      <c r="M2344" s="1">
        <f>VLOOKUP(B2344,'[1]Срок Годности'!$A$2:$B$4,2,0)</f>
        <v>1000</v>
      </c>
      <c r="N2344" s="60">
        <f t="shared" si="255"/>
        <v>4539</v>
      </c>
      <c r="O2344" s="1" t="str">
        <f t="shared" si="256"/>
        <v>27 2012</v>
      </c>
      <c r="P2344" s="1">
        <f t="shared" si="257"/>
        <v>22</v>
      </c>
      <c r="Q2344" s="1">
        <f t="shared" ca="1" si="258"/>
        <v>4038</v>
      </c>
      <c r="S2344" s="1">
        <f t="shared" si="252"/>
        <v>16924</v>
      </c>
    </row>
    <row r="2345" spans="1:19" x14ac:dyDescent="0.2">
      <c r="A2345" s="57" t="s">
        <v>240</v>
      </c>
      <c r="B2345" s="57" t="s">
        <v>237</v>
      </c>
      <c r="C2345" s="57" t="s">
        <v>238</v>
      </c>
      <c r="D2345" s="58">
        <v>165.05</v>
      </c>
      <c r="E2345" s="59">
        <v>41096</v>
      </c>
      <c r="F2345" s="58">
        <v>16924</v>
      </c>
      <c r="G2345" s="58">
        <v>1955</v>
      </c>
      <c r="H2345" s="58">
        <v>4222</v>
      </c>
      <c r="I2345" s="58">
        <v>14630</v>
      </c>
      <c r="J2345" s="58">
        <v>0</v>
      </c>
      <c r="K2345" s="1">
        <f t="shared" si="253"/>
        <v>696841.10000000009</v>
      </c>
      <c r="L2345" s="1">
        <f t="shared" si="254"/>
        <v>4222</v>
      </c>
      <c r="M2345" s="1">
        <f>VLOOKUP(B2345,'[1]Срок Годности'!$A$2:$B$4,2,0)</f>
        <v>1000</v>
      </c>
      <c r="N2345" s="60">
        <f t="shared" si="255"/>
        <v>1955</v>
      </c>
      <c r="O2345" s="1" t="str">
        <f t="shared" si="256"/>
        <v>27 2012</v>
      </c>
      <c r="P2345" s="1">
        <f t="shared" si="257"/>
        <v>22</v>
      </c>
      <c r="Q2345" s="1">
        <f t="shared" ca="1" si="258"/>
        <v>4037</v>
      </c>
      <c r="S2345" s="1">
        <f t="shared" si="252"/>
        <v>14630</v>
      </c>
    </row>
    <row r="2346" spans="1:19" x14ac:dyDescent="0.2">
      <c r="A2346" s="57" t="s">
        <v>240</v>
      </c>
      <c r="B2346" s="57" t="s">
        <v>237</v>
      </c>
      <c r="C2346" s="57" t="s">
        <v>238</v>
      </c>
      <c r="D2346" s="58">
        <v>165.05</v>
      </c>
      <c r="E2346" s="59">
        <v>41097</v>
      </c>
      <c r="F2346" s="58">
        <v>14630</v>
      </c>
      <c r="G2346" s="58">
        <v>4029</v>
      </c>
      <c r="H2346" s="58">
        <v>3832</v>
      </c>
      <c r="I2346" s="58">
        <v>14767</v>
      </c>
      <c r="J2346" s="58">
        <v>0</v>
      </c>
      <c r="K2346" s="1">
        <f t="shared" si="253"/>
        <v>632471.60000000009</v>
      </c>
      <c r="L2346" s="1">
        <f t="shared" si="254"/>
        <v>3832</v>
      </c>
      <c r="M2346" s="1">
        <f>VLOOKUP(B2346,'[1]Срок Годности'!$A$2:$B$4,2,0)</f>
        <v>1000</v>
      </c>
      <c r="N2346" s="60">
        <f t="shared" si="255"/>
        <v>4029</v>
      </c>
      <c r="O2346" s="1" t="str">
        <f t="shared" si="256"/>
        <v>27 2012</v>
      </c>
      <c r="P2346" s="1">
        <f t="shared" si="257"/>
        <v>22</v>
      </c>
      <c r="Q2346" s="1">
        <f t="shared" ca="1" si="258"/>
        <v>4036</v>
      </c>
      <c r="S2346" s="1">
        <f t="shared" si="252"/>
        <v>14767</v>
      </c>
    </row>
    <row r="2347" spans="1:19" x14ac:dyDescent="0.2">
      <c r="A2347" s="57" t="s">
        <v>240</v>
      </c>
      <c r="B2347" s="57" t="s">
        <v>237</v>
      </c>
      <c r="C2347" s="57" t="s">
        <v>238</v>
      </c>
      <c r="D2347" s="58">
        <v>165.05</v>
      </c>
      <c r="E2347" s="59">
        <v>41098</v>
      </c>
      <c r="F2347" s="58">
        <v>14767</v>
      </c>
      <c r="G2347" s="58">
        <v>972</v>
      </c>
      <c r="H2347" s="58">
        <v>3642</v>
      </c>
      <c r="I2347" s="58">
        <v>12022</v>
      </c>
      <c r="J2347" s="58">
        <v>0</v>
      </c>
      <c r="K2347" s="1">
        <f t="shared" si="253"/>
        <v>601112.10000000009</v>
      </c>
      <c r="L2347" s="1">
        <f t="shared" si="254"/>
        <v>3642</v>
      </c>
      <c r="M2347" s="1">
        <f>VLOOKUP(B2347,'[1]Срок Годности'!$A$2:$B$4,2,0)</f>
        <v>1000</v>
      </c>
      <c r="N2347" s="60">
        <f t="shared" si="255"/>
        <v>0</v>
      </c>
      <c r="O2347" s="1" t="str">
        <f t="shared" si="256"/>
        <v>28 2012</v>
      </c>
      <c r="P2347" s="1">
        <f t="shared" si="257"/>
        <v>22</v>
      </c>
      <c r="Q2347" s="1">
        <f t="shared" ca="1" si="258"/>
        <v>4035</v>
      </c>
      <c r="S2347" s="1">
        <f t="shared" si="252"/>
        <v>12022</v>
      </c>
    </row>
    <row r="2348" spans="1:19" x14ac:dyDescent="0.2">
      <c r="A2348" s="57" t="s">
        <v>240</v>
      </c>
      <c r="B2348" s="57" t="s">
        <v>237</v>
      </c>
      <c r="C2348" s="57" t="s">
        <v>238</v>
      </c>
      <c r="D2348" s="58">
        <v>165.05</v>
      </c>
      <c r="E2348" s="59">
        <v>41099</v>
      </c>
      <c r="F2348" s="58">
        <v>12022</v>
      </c>
      <c r="G2348" s="58">
        <v>2</v>
      </c>
      <c r="H2348" s="58">
        <v>3287</v>
      </c>
      <c r="I2348" s="58">
        <v>8707</v>
      </c>
      <c r="J2348" s="58">
        <v>0</v>
      </c>
      <c r="K2348" s="1">
        <f t="shared" si="253"/>
        <v>542519.35000000009</v>
      </c>
      <c r="L2348" s="1">
        <f t="shared" si="254"/>
        <v>3287</v>
      </c>
      <c r="M2348" s="1">
        <f>VLOOKUP(B2348,'[1]Срок Годности'!$A$2:$B$4,2,0)</f>
        <v>1000</v>
      </c>
      <c r="N2348" s="60">
        <f t="shared" si="255"/>
        <v>2</v>
      </c>
      <c r="O2348" s="1" t="str">
        <f t="shared" si="256"/>
        <v>28 2012</v>
      </c>
      <c r="P2348" s="1">
        <f t="shared" si="257"/>
        <v>22</v>
      </c>
      <c r="Q2348" s="1">
        <f t="shared" ca="1" si="258"/>
        <v>4034</v>
      </c>
      <c r="S2348" s="1">
        <f t="shared" si="252"/>
        <v>8707</v>
      </c>
    </row>
    <row r="2349" spans="1:19" x14ac:dyDescent="0.2">
      <c r="A2349" s="57" t="s">
        <v>240</v>
      </c>
      <c r="B2349" s="57" t="s">
        <v>237</v>
      </c>
      <c r="C2349" s="57" t="s">
        <v>238</v>
      </c>
      <c r="D2349" s="58">
        <v>165.05</v>
      </c>
      <c r="E2349" s="59">
        <v>41100</v>
      </c>
      <c r="F2349" s="58">
        <v>8707</v>
      </c>
      <c r="G2349" s="58">
        <v>0</v>
      </c>
      <c r="H2349" s="58">
        <v>2370</v>
      </c>
      <c r="I2349" s="58">
        <v>6232</v>
      </c>
      <c r="J2349" s="58">
        <v>0</v>
      </c>
      <c r="K2349" s="1">
        <f t="shared" si="253"/>
        <v>391168.5</v>
      </c>
      <c r="L2349" s="1">
        <f t="shared" si="254"/>
        <v>2370</v>
      </c>
      <c r="M2349" s="1">
        <f>VLOOKUP(B2349,'[1]Срок Годности'!$A$2:$B$4,2,0)</f>
        <v>1000</v>
      </c>
      <c r="N2349" s="60">
        <f t="shared" si="255"/>
        <v>0</v>
      </c>
      <c r="O2349" s="1" t="str">
        <f t="shared" si="256"/>
        <v>28 2012</v>
      </c>
      <c r="P2349" s="1">
        <f t="shared" si="257"/>
        <v>22</v>
      </c>
      <c r="Q2349" s="1">
        <f t="shared" ca="1" si="258"/>
        <v>4033</v>
      </c>
      <c r="S2349" s="1">
        <f t="shared" si="252"/>
        <v>6232</v>
      </c>
    </row>
    <row r="2350" spans="1:19" x14ac:dyDescent="0.2">
      <c r="A2350" s="57" t="s">
        <v>240</v>
      </c>
      <c r="B2350" s="57" t="s">
        <v>237</v>
      </c>
      <c r="C2350" s="57" t="s">
        <v>238</v>
      </c>
      <c r="D2350" s="58">
        <v>165.05</v>
      </c>
      <c r="E2350" s="59">
        <v>41101</v>
      </c>
      <c r="F2350" s="58">
        <v>6232</v>
      </c>
      <c r="G2350" s="58">
        <v>3502</v>
      </c>
      <c r="H2350" s="58">
        <v>2064</v>
      </c>
      <c r="I2350" s="58">
        <v>7598</v>
      </c>
      <c r="J2350" s="58">
        <v>0</v>
      </c>
      <c r="K2350" s="1">
        <f t="shared" si="253"/>
        <v>340663.2</v>
      </c>
      <c r="L2350" s="1">
        <f t="shared" si="254"/>
        <v>2064</v>
      </c>
      <c r="M2350" s="1">
        <f>VLOOKUP(B2350,'[1]Срок Годности'!$A$2:$B$4,2,0)</f>
        <v>1000</v>
      </c>
      <c r="N2350" s="60">
        <f t="shared" si="255"/>
        <v>3502</v>
      </c>
      <c r="O2350" s="1" t="str">
        <f t="shared" si="256"/>
        <v>28 2012</v>
      </c>
      <c r="P2350" s="1">
        <f t="shared" si="257"/>
        <v>22</v>
      </c>
      <c r="Q2350" s="1">
        <f t="shared" ca="1" si="258"/>
        <v>4032</v>
      </c>
      <c r="S2350" s="1">
        <f t="shared" si="252"/>
        <v>7598</v>
      </c>
    </row>
    <row r="2351" spans="1:19" x14ac:dyDescent="0.2">
      <c r="A2351" s="57" t="s">
        <v>240</v>
      </c>
      <c r="B2351" s="57" t="s">
        <v>237</v>
      </c>
      <c r="C2351" s="57" t="s">
        <v>238</v>
      </c>
      <c r="D2351" s="58">
        <v>165.05</v>
      </c>
      <c r="E2351" s="59">
        <v>41102</v>
      </c>
      <c r="F2351" s="58">
        <v>7598</v>
      </c>
      <c r="G2351" s="58">
        <v>3178</v>
      </c>
      <c r="H2351" s="58">
        <v>2005</v>
      </c>
      <c r="I2351" s="58">
        <v>8720</v>
      </c>
      <c r="J2351" s="58">
        <v>0</v>
      </c>
      <c r="K2351" s="1">
        <f t="shared" si="253"/>
        <v>330925.25</v>
      </c>
      <c r="L2351" s="1">
        <f t="shared" si="254"/>
        <v>2005</v>
      </c>
      <c r="M2351" s="1">
        <f>VLOOKUP(B2351,'[1]Срок Годности'!$A$2:$B$4,2,0)</f>
        <v>1000</v>
      </c>
      <c r="N2351" s="60">
        <f t="shared" si="255"/>
        <v>3178</v>
      </c>
      <c r="O2351" s="1" t="str">
        <f t="shared" si="256"/>
        <v>28 2012</v>
      </c>
      <c r="P2351" s="1">
        <f t="shared" si="257"/>
        <v>22</v>
      </c>
      <c r="Q2351" s="1">
        <f t="shared" ca="1" si="258"/>
        <v>4031</v>
      </c>
      <c r="S2351" s="1">
        <f t="shared" si="252"/>
        <v>8720</v>
      </c>
    </row>
    <row r="2352" spans="1:19" x14ac:dyDescent="0.2">
      <c r="A2352" s="57" t="s">
        <v>240</v>
      </c>
      <c r="B2352" s="57" t="s">
        <v>237</v>
      </c>
      <c r="C2352" s="57" t="s">
        <v>238</v>
      </c>
      <c r="D2352" s="58">
        <v>165.05</v>
      </c>
      <c r="E2352" s="59">
        <v>41103</v>
      </c>
      <c r="F2352" s="58">
        <v>8720</v>
      </c>
      <c r="G2352" s="58">
        <v>3950</v>
      </c>
      <c r="H2352" s="58">
        <v>2355</v>
      </c>
      <c r="I2352" s="58">
        <v>10231</v>
      </c>
      <c r="J2352" s="58">
        <v>0</v>
      </c>
      <c r="K2352" s="1">
        <f t="shared" si="253"/>
        <v>388692.75</v>
      </c>
      <c r="L2352" s="1">
        <f t="shared" si="254"/>
        <v>2355</v>
      </c>
      <c r="M2352" s="1">
        <f>VLOOKUP(B2352,'[1]Срок Годности'!$A$2:$B$4,2,0)</f>
        <v>1000</v>
      </c>
      <c r="N2352" s="60">
        <f t="shared" si="255"/>
        <v>3950</v>
      </c>
      <c r="O2352" s="1" t="str">
        <f t="shared" si="256"/>
        <v>28 2012</v>
      </c>
      <c r="P2352" s="1">
        <f t="shared" si="257"/>
        <v>22</v>
      </c>
      <c r="Q2352" s="1">
        <f t="shared" ca="1" si="258"/>
        <v>4030</v>
      </c>
      <c r="S2352" s="1">
        <f t="shared" si="252"/>
        <v>10231</v>
      </c>
    </row>
    <row r="2353" spans="1:19" x14ac:dyDescent="0.2">
      <c r="A2353" s="57" t="s">
        <v>240</v>
      </c>
      <c r="B2353" s="57" t="s">
        <v>237</v>
      </c>
      <c r="C2353" s="57" t="s">
        <v>238</v>
      </c>
      <c r="D2353" s="58">
        <v>165.05</v>
      </c>
      <c r="E2353" s="59">
        <v>41104</v>
      </c>
      <c r="F2353" s="58">
        <v>10231</v>
      </c>
      <c r="G2353" s="58">
        <v>0</v>
      </c>
      <c r="H2353" s="58">
        <v>2173</v>
      </c>
      <c r="I2353" s="58">
        <v>7999</v>
      </c>
      <c r="J2353" s="58">
        <v>0</v>
      </c>
      <c r="K2353" s="1">
        <f t="shared" si="253"/>
        <v>358653.65</v>
      </c>
      <c r="L2353" s="1">
        <f t="shared" si="254"/>
        <v>2173</v>
      </c>
      <c r="M2353" s="1">
        <f>VLOOKUP(B2353,'[1]Срок Годности'!$A$2:$B$4,2,0)</f>
        <v>1000</v>
      </c>
      <c r="N2353" s="60">
        <f t="shared" si="255"/>
        <v>0</v>
      </c>
      <c r="O2353" s="1" t="str">
        <f t="shared" si="256"/>
        <v>28 2012</v>
      </c>
      <c r="P2353" s="1">
        <f t="shared" si="257"/>
        <v>22</v>
      </c>
      <c r="Q2353" s="1">
        <f t="shared" ca="1" si="258"/>
        <v>4029</v>
      </c>
      <c r="S2353" s="1">
        <f t="shared" si="252"/>
        <v>7999</v>
      </c>
    </row>
    <row r="2354" spans="1:19" x14ac:dyDescent="0.2">
      <c r="A2354" s="57" t="s">
        <v>240</v>
      </c>
      <c r="B2354" s="57" t="s">
        <v>237</v>
      </c>
      <c r="C2354" s="57" t="s">
        <v>238</v>
      </c>
      <c r="D2354" s="58">
        <v>165.05</v>
      </c>
      <c r="E2354" s="59">
        <v>41105</v>
      </c>
      <c r="F2354" s="58">
        <v>7999</v>
      </c>
      <c r="G2354" s="58">
        <v>0</v>
      </c>
      <c r="H2354" s="58">
        <v>1646</v>
      </c>
      <c r="I2354" s="58">
        <v>6348</v>
      </c>
      <c r="J2354" s="58">
        <v>0</v>
      </c>
      <c r="K2354" s="1">
        <f t="shared" si="253"/>
        <v>271672.30000000005</v>
      </c>
      <c r="L2354" s="1">
        <f t="shared" si="254"/>
        <v>1646</v>
      </c>
      <c r="M2354" s="1">
        <f>VLOOKUP(B2354,'[1]Срок Годности'!$A$2:$B$4,2,0)</f>
        <v>1000</v>
      </c>
      <c r="N2354" s="60">
        <f t="shared" si="255"/>
        <v>0</v>
      </c>
      <c r="O2354" s="1" t="str">
        <f t="shared" si="256"/>
        <v>29 2012</v>
      </c>
      <c r="P2354" s="1">
        <f t="shared" si="257"/>
        <v>22</v>
      </c>
      <c r="Q2354" s="1">
        <f t="shared" ca="1" si="258"/>
        <v>4028</v>
      </c>
      <c r="S2354" s="1">
        <f t="shared" si="252"/>
        <v>6348</v>
      </c>
    </row>
    <row r="2355" spans="1:19" x14ac:dyDescent="0.2">
      <c r="A2355" s="57" t="s">
        <v>240</v>
      </c>
      <c r="B2355" s="57" t="s">
        <v>237</v>
      </c>
      <c r="C2355" s="57" t="s">
        <v>238</v>
      </c>
      <c r="D2355" s="58">
        <v>165.05</v>
      </c>
      <c r="E2355" s="59">
        <v>41106</v>
      </c>
      <c r="F2355" s="58">
        <v>6348</v>
      </c>
      <c r="G2355" s="58">
        <v>3631</v>
      </c>
      <c r="H2355" s="58">
        <v>1686</v>
      </c>
      <c r="I2355" s="58">
        <v>8243</v>
      </c>
      <c r="J2355" s="58">
        <v>0</v>
      </c>
      <c r="K2355" s="1">
        <f t="shared" si="253"/>
        <v>278274.30000000005</v>
      </c>
      <c r="L2355" s="1">
        <f t="shared" si="254"/>
        <v>1686</v>
      </c>
      <c r="M2355" s="1">
        <f>VLOOKUP(B2355,'[1]Срок Годности'!$A$2:$B$4,2,0)</f>
        <v>1000</v>
      </c>
      <c r="N2355" s="60">
        <f t="shared" si="255"/>
        <v>3631</v>
      </c>
      <c r="O2355" s="1" t="str">
        <f t="shared" si="256"/>
        <v>29 2012</v>
      </c>
      <c r="P2355" s="1">
        <f t="shared" si="257"/>
        <v>22</v>
      </c>
      <c r="Q2355" s="1">
        <f t="shared" ca="1" si="258"/>
        <v>4027</v>
      </c>
      <c r="S2355" s="1">
        <f t="shared" si="252"/>
        <v>8243</v>
      </c>
    </row>
    <row r="2356" spans="1:19" x14ac:dyDescent="0.2">
      <c r="A2356" s="57" t="s">
        <v>240</v>
      </c>
      <c r="B2356" s="57" t="s">
        <v>237</v>
      </c>
      <c r="C2356" s="57" t="s">
        <v>238</v>
      </c>
      <c r="D2356" s="58">
        <v>165.05</v>
      </c>
      <c r="E2356" s="59">
        <v>41107</v>
      </c>
      <c r="F2356" s="58">
        <v>8243</v>
      </c>
      <c r="G2356" s="58">
        <v>5678</v>
      </c>
      <c r="H2356" s="58">
        <v>1790</v>
      </c>
      <c r="I2356" s="58">
        <v>12076</v>
      </c>
      <c r="J2356" s="58">
        <v>0</v>
      </c>
      <c r="K2356" s="1">
        <f t="shared" si="253"/>
        <v>295439.5</v>
      </c>
      <c r="L2356" s="1">
        <f t="shared" si="254"/>
        <v>1790</v>
      </c>
      <c r="M2356" s="1">
        <f>VLOOKUP(B2356,'[1]Срок Годности'!$A$2:$B$4,2,0)</f>
        <v>1000</v>
      </c>
      <c r="N2356" s="60">
        <f t="shared" si="255"/>
        <v>5678</v>
      </c>
      <c r="O2356" s="1" t="str">
        <f t="shared" si="256"/>
        <v>29 2012</v>
      </c>
      <c r="P2356" s="1">
        <f t="shared" si="257"/>
        <v>22</v>
      </c>
      <c r="Q2356" s="1">
        <f t="shared" ca="1" si="258"/>
        <v>4026</v>
      </c>
      <c r="S2356" s="1">
        <f t="shared" si="252"/>
        <v>12076</v>
      </c>
    </row>
  </sheetData>
  <sortState xmlns:xlrd2="http://schemas.microsoft.com/office/spreadsheetml/2017/richdata2" ref="A2:R2351">
    <sortCondition ref="A2:A2351"/>
    <sortCondition ref="C2:C2351"/>
    <sortCondition ref="E2:E2351"/>
  </sortState>
  <conditionalFormatting sqref="S7:S2356">
    <cfRule type="cellIs" dxfId="6" priority="1" operator="greaterThan">
      <formula>2000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B4"/>
  <sheetViews>
    <sheetView workbookViewId="0">
      <selection activeCell="D41" sqref="D41"/>
    </sheetView>
  </sheetViews>
  <sheetFormatPr defaultRowHeight="11.25" x14ac:dyDescent="0.2"/>
  <cols>
    <col min="1" max="1" width="13.5703125" style="1" customWidth="1"/>
    <col min="2" max="2" width="11" style="1" bestFit="1" customWidth="1"/>
    <col min="3" max="16384" width="9.140625" style="1"/>
  </cols>
  <sheetData>
    <row r="1" spans="1:2" x14ac:dyDescent="0.2">
      <c r="A1" s="131" t="s">
        <v>252</v>
      </c>
      <c r="B1" s="131" t="s">
        <v>253</v>
      </c>
    </row>
    <row r="2" spans="1:2" x14ac:dyDescent="0.2">
      <c r="A2" s="132" t="s">
        <v>225</v>
      </c>
      <c r="B2" s="133">
        <v>500</v>
      </c>
    </row>
    <row r="3" spans="1:2" x14ac:dyDescent="0.2">
      <c r="A3" s="132" t="s">
        <v>237</v>
      </c>
      <c r="B3" s="133">
        <v>1000</v>
      </c>
    </row>
    <row r="4" spans="1:2" x14ac:dyDescent="0.2">
      <c r="A4" s="132" t="s">
        <v>244</v>
      </c>
      <c r="B4" s="133">
        <v>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N32"/>
  <sheetViews>
    <sheetView workbookViewId="0">
      <pane ySplit="2" topLeftCell="A3" activePane="bottomLeft" state="frozen"/>
      <selection pane="bottomLeft" activeCell="I30" sqref="A1:XFD1048576"/>
    </sheetView>
  </sheetViews>
  <sheetFormatPr defaultRowHeight="11.25" x14ac:dyDescent="0.2"/>
  <cols>
    <col min="1" max="1" width="9.140625" style="125"/>
    <col min="2" max="2" width="11.85546875" style="125" customWidth="1"/>
    <col min="3" max="3" width="10.85546875" style="125" customWidth="1"/>
    <col min="4" max="4" width="4.7109375" style="125" customWidth="1"/>
    <col min="5" max="5" width="7" style="125" customWidth="1"/>
    <col min="6" max="8" width="9.140625" style="125"/>
    <col min="9" max="9" width="11.85546875" style="125" customWidth="1"/>
    <col min="10" max="10" width="10.85546875" style="125" customWidth="1"/>
    <col min="11" max="12" width="4.7109375" style="125" customWidth="1"/>
    <col min="13" max="16384" width="9.140625" style="125"/>
  </cols>
  <sheetData>
    <row r="1" spans="1:14" x14ac:dyDescent="0.2">
      <c r="D1" s="125">
        <f>SUM(D3:D32)</f>
        <v>30</v>
      </c>
      <c r="E1" s="126">
        <f>SUM(E3:E24)/F1</f>
        <v>0.95454545454545459</v>
      </c>
      <c r="F1" s="127">
        <f>SUM(F3:F24)</f>
        <v>22</v>
      </c>
      <c r="G1" s="125">
        <f>SUM(G3:G32)</f>
        <v>0</v>
      </c>
      <c r="K1" s="125">
        <f>SUM(K3:K32)</f>
        <v>22</v>
      </c>
      <c r="L1" s="126">
        <f>SUM(L3:L24)/M1</f>
        <v>0.86111111111111116</v>
      </c>
      <c r="M1" s="127">
        <f>SUM(M3:M24)</f>
        <v>36</v>
      </c>
      <c r="N1" s="125">
        <f>SUM(N3:N32)</f>
        <v>0</v>
      </c>
    </row>
    <row r="2" spans="1:14" s="128" customFormat="1" ht="45" customHeight="1" x14ac:dyDescent="0.25">
      <c r="A2" s="128" t="s">
        <v>188</v>
      </c>
      <c r="B2" s="128" t="s">
        <v>192</v>
      </c>
      <c r="C2" s="129" t="s">
        <v>189</v>
      </c>
      <c r="D2" s="128" t="s">
        <v>191</v>
      </c>
      <c r="E2" s="128" t="s">
        <v>190</v>
      </c>
      <c r="F2" s="128" t="s">
        <v>196</v>
      </c>
      <c r="G2" s="128" t="s">
        <v>261</v>
      </c>
      <c r="H2" s="128" t="s">
        <v>188</v>
      </c>
      <c r="I2" s="128" t="s">
        <v>192</v>
      </c>
      <c r="J2" s="129" t="s">
        <v>189</v>
      </c>
      <c r="K2" s="128" t="s">
        <v>191</v>
      </c>
      <c r="L2" s="128" t="s">
        <v>190</v>
      </c>
      <c r="M2" s="128" t="s">
        <v>196</v>
      </c>
      <c r="N2" s="128" t="s">
        <v>261</v>
      </c>
    </row>
    <row r="3" spans="1:14" x14ac:dyDescent="0.2">
      <c r="A3" s="125">
        <v>1</v>
      </c>
      <c r="B3" s="125">
        <v>2</v>
      </c>
      <c r="C3" s="130">
        <f>VLOOKUP($A3,'Часть 1'!C8:I1000,7,0)</f>
        <v>2</v>
      </c>
      <c r="D3" s="125">
        <f>IF(OR(C3=1,C3=2,C3=3),1,0)</f>
        <v>1</v>
      </c>
      <c r="E3" s="125">
        <f>IF(D3=1,IF(C3=B3,F3,0),0)</f>
        <v>1</v>
      </c>
      <c r="F3" s="125">
        <v>1</v>
      </c>
      <c r="G3" s="125">
        <f>IF(VLOOKUP($A3,'Часть 1_ответы'!C8:I1000,7,0)=C3,0,1)</f>
        <v>0</v>
      </c>
      <c r="H3" s="125">
        <v>1</v>
      </c>
      <c r="I3" s="125">
        <v>7</v>
      </c>
      <c r="J3" s="130">
        <f>VLOOKUP($H3,'Часть 2'!C8:I1000,7,0)</f>
        <v>7</v>
      </c>
      <c r="K3" s="125">
        <f>IF(OR(J3&lt;&gt;0),1,0)</f>
        <v>1</v>
      </c>
      <c r="L3" s="125">
        <f>IF(K3=1,IF(J3=I3,M3,0),0)</f>
        <v>2</v>
      </c>
      <c r="M3" s="127">
        <v>2</v>
      </c>
      <c r="N3" s="125">
        <f>IF(VLOOKUP($H3,'Часть 2_ответы'!C8:I1000,7,0)=J3,0,1)</f>
        <v>0</v>
      </c>
    </row>
    <row r="4" spans="1:14" x14ac:dyDescent="0.2">
      <c r="A4" s="125">
        <v>2</v>
      </c>
      <c r="B4" s="125">
        <v>2</v>
      </c>
      <c r="C4" s="130">
        <f>VLOOKUP($A4,'Часть 1'!C9:I1001,7,0)</f>
        <v>2</v>
      </c>
      <c r="D4" s="125">
        <f t="shared" ref="D4:D32" si="0">IF(OR(C4=1,C4=2,C4=3),1,0)</f>
        <v>1</v>
      </c>
      <c r="E4" s="125">
        <f t="shared" ref="E4:E32" si="1">IF(D4=1,IF(C4=B4,F4,0),0)</f>
        <v>1</v>
      </c>
      <c r="F4" s="125">
        <v>1</v>
      </c>
      <c r="G4" s="125">
        <f>IF(VLOOKUP($A4,'Часть 1_ответы'!C9:I1001,7,0)=C4,0,1)</f>
        <v>0</v>
      </c>
      <c r="H4" s="125">
        <v>2</v>
      </c>
      <c r="I4" s="125">
        <v>2</v>
      </c>
      <c r="J4" s="130">
        <f>VLOOKUP($H4,'Часть 2'!C9:I1001,7,0)</f>
        <v>2</v>
      </c>
      <c r="K4" s="125">
        <f t="shared" ref="K4:K24" si="2">IF(OR(J4&lt;&gt;0),1,0)</f>
        <v>1</v>
      </c>
      <c r="L4" s="125">
        <f t="shared" ref="L4:L24" si="3">IF(K4=1,IF(J4=I4,M4,0),0)</f>
        <v>2</v>
      </c>
      <c r="M4" s="125">
        <v>2</v>
      </c>
      <c r="N4" s="125">
        <f>IF(VLOOKUP($H4,'Часть 2_ответы'!C9:I1001,7,0)=J4,0,1)</f>
        <v>0</v>
      </c>
    </row>
    <row r="5" spans="1:14" x14ac:dyDescent="0.2">
      <c r="A5" s="125">
        <v>3</v>
      </c>
      <c r="B5" s="125">
        <v>3</v>
      </c>
      <c r="C5" s="130">
        <f>VLOOKUP($A5,'Часть 1'!C10:I1002,7,0)</f>
        <v>3</v>
      </c>
      <c r="D5" s="125">
        <f t="shared" si="0"/>
        <v>1</v>
      </c>
      <c r="E5" s="125">
        <f t="shared" si="1"/>
        <v>1</v>
      </c>
      <c r="F5" s="125">
        <v>1</v>
      </c>
      <c r="G5" s="125">
        <f>IF(VLOOKUP($A5,'Часть 1_ответы'!C10:I1002,7,0)=C5,0,1)</f>
        <v>0</v>
      </c>
      <c r="H5" s="125">
        <v>3</v>
      </c>
      <c r="I5" s="125">
        <v>5</v>
      </c>
      <c r="J5" s="130">
        <f>VLOOKUP($H5,'Часть 2'!C10:I1002,7,0)</f>
        <v>3</v>
      </c>
      <c r="K5" s="125">
        <f t="shared" si="2"/>
        <v>1</v>
      </c>
      <c r="L5" s="125">
        <f t="shared" si="3"/>
        <v>0</v>
      </c>
      <c r="M5" s="125">
        <v>2</v>
      </c>
      <c r="N5" s="125">
        <f>IF(VLOOKUP($H5,'Часть 2_ответы'!C10:I1002,7,0)=J5,0,1)</f>
        <v>0</v>
      </c>
    </row>
    <row r="6" spans="1:14" x14ac:dyDescent="0.2">
      <c r="A6" s="125">
        <v>4</v>
      </c>
      <c r="B6" s="125">
        <v>1</v>
      </c>
      <c r="C6" s="130">
        <f>VLOOKUP($A6,'Часть 1'!C11:I1003,7,0)</f>
        <v>1</v>
      </c>
      <c r="D6" s="125">
        <f t="shared" si="0"/>
        <v>1</v>
      </c>
      <c r="E6" s="125">
        <f t="shared" si="1"/>
        <v>1</v>
      </c>
      <c r="F6" s="125">
        <v>1</v>
      </c>
      <c r="G6" s="125">
        <f>IF(VLOOKUP($A6,'Часть 1_ответы'!C11:I1003,7,0)=C6,0,1)</f>
        <v>0</v>
      </c>
      <c r="H6" s="125">
        <v>4</v>
      </c>
      <c r="I6" s="125">
        <v>1</v>
      </c>
      <c r="J6" s="130">
        <f>VLOOKUP($H6,'Часть 2'!C11:I1003,7,0)</f>
        <v>1</v>
      </c>
      <c r="K6" s="125">
        <f t="shared" si="2"/>
        <v>1</v>
      </c>
      <c r="L6" s="125">
        <f t="shared" si="3"/>
        <v>1</v>
      </c>
      <c r="M6" s="125">
        <v>1</v>
      </c>
      <c r="N6" s="125">
        <f>IF(VLOOKUP($H6,'Часть 2_ответы'!C11:I1003,7,0)=J6,0,1)</f>
        <v>0</v>
      </c>
    </row>
    <row r="7" spans="1:14" x14ac:dyDescent="0.2">
      <c r="A7" s="125">
        <v>5</v>
      </c>
      <c r="B7" s="125">
        <v>3</v>
      </c>
      <c r="C7" s="130">
        <f>VLOOKUP($A7,'Часть 1'!C12:I1004,7,0)</f>
        <v>3</v>
      </c>
      <c r="D7" s="125">
        <f t="shared" si="0"/>
        <v>1</v>
      </c>
      <c r="E7" s="125">
        <f t="shared" si="1"/>
        <v>1</v>
      </c>
      <c r="F7" s="125">
        <v>1</v>
      </c>
      <c r="G7" s="125">
        <f>IF(VLOOKUP($A7,'Часть 1_ответы'!C12:I1004,7,0)=C7,0,1)</f>
        <v>0</v>
      </c>
      <c r="H7" s="125">
        <v>5</v>
      </c>
      <c r="I7" s="125">
        <v>5</v>
      </c>
      <c r="J7" s="130">
        <f>VLOOKUP($H7,'Часть 2'!C12:I1004,7,0)</f>
        <v>5</v>
      </c>
      <c r="K7" s="125">
        <f t="shared" si="2"/>
        <v>1</v>
      </c>
      <c r="L7" s="125">
        <f t="shared" si="3"/>
        <v>1</v>
      </c>
      <c r="M7" s="125">
        <v>1</v>
      </c>
      <c r="N7" s="125">
        <f>IF(VLOOKUP($H7,'Часть 2_ответы'!C12:I1004,7,0)=J7,0,1)</f>
        <v>0</v>
      </c>
    </row>
    <row r="8" spans="1:14" x14ac:dyDescent="0.2">
      <c r="A8" s="125">
        <v>6</v>
      </c>
      <c r="B8" s="125">
        <v>1</v>
      </c>
      <c r="C8" s="130">
        <f>VLOOKUP($A8,'Часть 1'!C13:I1005,7,0)</f>
        <v>1</v>
      </c>
      <c r="D8" s="125">
        <f t="shared" si="0"/>
        <v>1</v>
      </c>
      <c r="E8" s="125">
        <f t="shared" si="1"/>
        <v>1</v>
      </c>
      <c r="F8" s="125">
        <v>1</v>
      </c>
      <c r="G8" s="125">
        <f>IF(VLOOKUP($A8,'Часть 1_ответы'!C13:I1005,7,0)=C8,0,1)</f>
        <v>0</v>
      </c>
      <c r="H8" s="125">
        <v>6</v>
      </c>
      <c r="I8" s="125">
        <v>6</v>
      </c>
      <c r="J8" s="130">
        <f>VLOOKUP($H8,'Часть 2'!C13:I1005,7,0)</f>
        <v>6</v>
      </c>
      <c r="K8" s="125">
        <f t="shared" si="2"/>
        <v>1</v>
      </c>
      <c r="L8" s="125">
        <f t="shared" si="3"/>
        <v>1</v>
      </c>
      <c r="M8" s="125">
        <v>1</v>
      </c>
      <c r="N8" s="125">
        <f>IF(VLOOKUP($H8,'Часть 2_ответы'!C13:I1005,7,0)=J8,0,1)</f>
        <v>0</v>
      </c>
    </row>
    <row r="9" spans="1:14" x14ac:dyDescent="0.2">
      <c r="A9" s="125">
        <v>7</v>
      </c>
      <c r="B9" s="125">
        <v>1</v>
      </c>
      <c r="C9" s="130">
        <f>VLOOKUP($A9,'Часть 1'!C14:I1006,7,0)</f>
        <v>2</v>
      </c>
      <c r="D9" s="125">
        <f t="shared" si="0"/>
        <v>1</v>
      </c>
      <c r="E9" s="125">
        <f t="shared" si="1"/>
        <v>0</v>
      </c>
      <c r="F9" s="125">
        <v>1</v>
      </c>
      <c r="G9" s="125">
        <f>IF(VLOOKUP($A9,'Часть 1_ответы'!C14:I1006,7,0)=C9,0,1)</f>
        <v>0</v>
      </c>
      <c r="H9" s="125">
        <v>7</v>
      </c>
      <c r="I9" s="125">
        <v>4</v>
      </c>
      <c r="J9" s="130">
        <f>VLOOKUP($H9,'Часть 2'!C14:I1006,7,0)</f>
        <v>4</v>
      </c>
      <c r="K9" s="125">
        <f t="shared" si="2"/>
        <v>1</v>
      </c>
      <c r="L9" s="125">
        <f t="shared" si="3"/>
        <v>1</v>
      </c>
      <c r="M9" s="125">
        <v>1</v>
      </c>
      <c r="N9" s="125">
        <f>IF(VLOOKUP($H9,'Часть 2_ответы'!C14:I1006,7,0)=J9,0,1)</f>
        <v>0</v>
      </c>
    </row>
    <row r="10" spans="1:14" x14ac:dyDescent="0.2">
      <c r="A10" s="125">
        <v>8</v>
      </c>
      <c r="B10" s="125">
        <v>2</v>
      </c>
      <c r="C10" s="130">
        <f>VLOOKUP($A10,'Часть 1'!C15:I1007,7,0)</f>
        <v>2</v>
      </c>
      <c r="D10" s="125">
        <f t="shared" si="0"/>
        <v>1</v>
      </c>
      <c r="E10" s="125">
        <f t="shared" si="1"/>
        <v>1</v>
      </c>
      <c r="F10" s="125">
        <v>1</v>
      </c>
      <c r="G10" s="125">
        <f>IF(VLOOKUP($A10,'Часть 1_ответы'!C15:I1007,7,0)=C10,0,1)</f>
        <v>0</v>
      </c>
      <c r="H10" s="125">
        <v>8</v>
      </c>
      <c r="I10" s="125">
        <v>4</v>
      </c>
      <c r="J10" s="130">
        <f>VLOOKUP($H10,'Часть 2'!C15:I1007,7,0)</f>
        <v>4</v>
      </c>
      <c r="K10" s="125">
        <f t="shared" si="2"/>
        <v>1</v>
      </c>
      <c r="L10" s="125">
        <f t="shared" si="3"/>
        <v>1</v>
      </c>
      <c r="M10" s="125">
        <v>1</v>
      </c>
      <c r="N10" s="125">
        <f>IF(VLOOKUP($H10,'Часть 2_ответы'!C15:I1007,7,0)=J10,0,1)</f>
        <v>0</v>
      </c>
    </row>
    <row r="11" spans="1:14" x14ac:dyDescent="0.2">
      <c r="A11" s="125">
        <v>9</v>
      </c>
      <c r="B11" s="125">
        <v>3</v>
      </c>
      <c r="C11" s="130">
        <f>VLOOKUP($A11,'Часть 1'!C16:I1008,7,0)</f>
        <v>3</v>
      </c>
      <c r="D11" s="125">
        <f t="shared" si="0"/>
        <v>1</v>
      </c>
      <c r="E11" s="125">
        <f t="shared" si="1"/>
        <v>1</v>
      </c>
      <c r="F11" s="125">
        <v>1</v>
      </c>
      <c r="G11" s="125">
        <f>IF(VLOOKUP($A11,'Часть 1_ответы'!C16:I1008,7,0)=C11,0,1)</f>
        <v>0</v>
      </c>
      <c r="H11" s="125">
        <v>9</v>
      </c>
      <c r="I11" s="125">
        <v>3</v>
      </c>
      <c r="J11" s="130">
        <f>VLOOKUP($H11,'Часть 2'!C16:I1008,7,0)</f>
        <v>3</v>
      </c>
      <c r="K11" s="125">
        <f t="shared" si="2"/>
        <v>1</v>
      </c>
      <c r="L11" s="125">
        <f t="shared" si="3"/>
        <v>2</v>
      </c>
      <c r="M11" s="125">
        <v>2</v>
      </c>
      <c r="N11" s="125">
        <f>IF(VLOOKUP($H11,'Часть 2_ответы'!C16:I1008,7,0)=J11,0,1)</f>
        <v>0</v>
      </c>
    </row>
    <row r="12" spans="1:14" x14ac:dyDescent="0.2">
      <c r="A12" s="125">
        <v>10</v>
      </c>
      <c r="B12" s="125">
        <v>3</v>
      </c>
      <c r="C12" s="130">
        <f>VLOOKUP($A12,'Часть 1'!C17:I1009,7,0)</f>
        <v>3</v>
      </c>
      <c r="D12" s="125">
        <f t="shared" si="0"/>
        <v>1</v>
      </c>
      <c r="E12" s="125">
        <f t="shared" si="1"/>
        <v>1</v>
      </c>
      <c r="F12" s="125">
        <v>1</v>
      </c>
      <c r="G12" s="125">
        <f>IF(VLOOKUP($A12,'Часть 1_ответы'!C17:I1009,7,0)=C12,0,1)</f>
        <v>0</v>
      </c>
      <c r="H12" s="125">
        <v>10</v>
      </c>
      <c r="I12" s="125">
        <v>3</v>
      </c>
      <c r="J12" s="130">
        <f>VLOOKUP($H12,'Часть 2'!C17:I1009,7,0)</f>
        <v>3</v>
      </c>
      <c r="K12" s="125">
        <f t="shared" si="2"/>
        <v>1</v>
      </c>
      <c r="L12" s="125">
        <f t="shared" si="3"/>
        <v>2</v>
      </c>
      <c r="M12" s="125">
        <v>2</v>
      </c>
      <c r="N12" s="125">
        <f>IF(VLOOKUP($H12,'Часть 2_ответы'!C17:I1009,7,0)=J12,0,1)</f>
        <v>0</v>
      </c>
    </row>
    <row r="13" spans="1:14" x14ac:dyDescent="0.2">
      <c r="A13" s="125">
        <v>11</v>
      </c>
      <c r="B13" s="125">
        <v>3</v>
      </c>
      <c r="C13" s="130">
        <f>VLOOKUP($A13,'Часть 1'!C18:I1010,7,0)</f>
        <v>3</v>
      </c>
      <c r="D13" s="125">
        <f t="shared" si="0"/>
        <v>1</v>
      </c>
      <c r="E13" s="125">
        <f t="shared" si="1"/>
        <v>1</v>
      </c>
      <c r="F13" s="125">
        <v>1</v>
      </c>
      <c r="G13" s="125">
        <f>IF(VLOOKUP($A13,'Часть 1_ответы'!C18:I1010,7,0)=C13,0,1)</f>
        <v>0</v>
      </c>
      <c r="H13" s="125">
        <v>11</v>
      </c>
      <c r="I13" s="125">
        <v>7</v>
      </c>
      <c r="J13" s="130">
        <f>VLOOKUP($H13,'Часть 2'!C18:I1010,7,0)</f>
        <v>7</v>
      </c>
      <c r="K13" s="125">
        <f t="shared" si="2"/>
        <v>1</v>
      </c>
      <c r="L13" s="125">
        <f t="shared" si="3"/>
        <v>2</v>
      </c>
      <c r="M13" s="125">
        <v>2</v>
      </c>
      <c r="N13" s="125">
        <f>IF(VLOOKUP($H13,'Часть 2_ответы'!C18:I1010,7,0)=J13,0,1)</f>
        <v>0</v>
      </c>
    </row>
    <row r="14" spans="1:14" x14ac:dyDescent="0.2">
      <c r="A14" s="125">
        <v>12</v>
      </c>
      <c r="B14" s="125">
        <v>1</v>
      </c>
      <c r="C14" s="130">
        <f>VLOOKUP($A14,'Часть 1'!C19:I1011,7,0)</f>
        <v>1</v>
      </c>
      <c r="D14" s="125">
        <f t="shared" si="0"/>
        <v>1</v>
      </c>
      <c r="E14" s="125">
        <f t="shared" si="1"/>
        <v>1</v>
      </c>
      <c r="F14" s="125">
        <v>1</v>
      </c>
      <c r="G14" s="125">
        <f>IF(VLOOKUP($A14,'Часть 1_ответы'!C19:I1011,7,0)=C14,0,1)</f>
        <v>0</v>
      </c>
      <c r="H14" s="125">
        <v>12</v>
      </c>
      <c r="I14" s="125">
        <v>5</v>
      </c>
      <c r="J14" s="130">
        <f>VLOOKUP($H14,'Часть 2'!C19:I1011,7,0)</f>
        <v>5</v>
      </c>
      <c r="K14" s="125">
        <f t="shared" si="2"/>
        <v>1</v>
      </c>
      <c r="L14" s="125">
        <f t="shared" si="3"/>
        <v>1</v>
      </c>
      <c r="M14" s="125">
        <v>1</v>
      </c>
      <c r="N14" s="125">
        <f>IF(VLOOKUP($H14,'Часть 2_ответы'!C19:I1011,7,0)=J14,0,1)</f>
        <v>0</v>
      </c>
    </row>
    <row r="15" spans="1:14" x14ac:dyDescent="0.2">
      <c r="A15" s="125">
        <v>13</v>
      </c>
      <c r="B15" s="125">
        <v>3</v>
      </c>
      <c r="C15" s="130">
        <f>VLOOKUP($A15,'Часть 1'!C20:I1012,7,0)</f>
        <v>3</v>
      </c>
      <c r="D15" s="125">
        <f t="shared" si="0"/>
        <v>1</v>
      </c>
      <c r="E15" s="125">
        <f t="shared" si="1"/>
        <v>1</v>
      </c>
      <c r="F15" s="125">
        <v>1</v>
      </c>
      <c r="G15" s="125">
        <f>IF(VLOOKUP($A15,'Часть 1_ответы'!C20:I1012,7,0)=C15,0,1)</f>
        <v>0</v>
      </c>
      <c r="H15" s="125">
        <v>13</v>
      </c>
      <c r="I15" s="125">
        <v>2</v>
      </c>
      <c r="J15" s="130">
        <f>VLOOKUP($H15,'Часть 2'!C20:I1012,7,0)</f>
        <v>2</v>
      </c>
      <c r="K15" s="125">
        <f t="shared" si="2"/>
        <v>1</v>
      </c>
      <c r="L15" s="125">
        <f t="shared" si="3"/>
        <v>2</v>
      </c>
      <c r="M15" s="125">
        <v>2</v>
      </c>
      <c r="N15" s="125">
        <f>IF(VLOOKUP($H15,'Часть 2_ответы'!C20:I1012,7,0)=J15,0,1)</f>
        <v>0</v>
      </c>
    </row>
    <row r="16" spans="1:14" x14ac:dyDescent="0.2">
      <c r="A16" s="125">
        <v>14</v>
      </c>
      <c r="B16" s="125">
        <v>2</v>
      </c>
      <c r="C16" s="130">
        <f>VLOOKUP($A16,'Часть 1'!C21:I1013,7,0)</f>
        <v>2</v>
      </c>
      <c r="D16" s="125">
        <f t="shared" si="0"/>
        <v>1</v>
      </c>
      <c r="E16" s="125">
        <f t="shared" si="1"/>
        <v>1</v>
      </c>
      <c r="F16" s="125">
        <v>1</v>
      </c>
      <c r="G16" s="125">
        <f>IF(VLOOKUP($A16,'Часть 1_ответы'!C21:I1013,7,0)=C16,0,1)</f>
        <v>0</v>
      </c>
      <c r="H16" s="125">
        <v>14</v>
      </c>
      <c r="I16" s="125">
        <v>1</v>
      </c>
      <c r="J16" s="130">
        <f>VLOOKUP($H16,'Часть 2'!C21:I1013,7,0)</f>
        <v>1</v>
      </c>
      <c r="K16" s="125">
        <f t="shared" si="2"/>
        <v>1</v>
      </c>
      <c r="L16" s="125">
        <f t="shared" si="3"/>
        <v>1</v>
      </c>
      <c r="M16" s="125">
        <v>1</v>
      </c>
      <c r="N16" s="125">
        <f>IF(VLOOKUP($H16,'Часть 2_ответы'!C21:I1013,7,0)=J16,0,1)</f>
        <v>0</v>
      </c>
    </row>
    <row r="17" spans="1:14" x14ac:dyDescent="0.2">
      <c r="A17" s="125">
        <v>15</v>
      </c>
      <c r="B17" s="125">
        <v>2</v>
      </c>
      <c r="C17" s="130">
        <f>VLOOKUP($A17,'Часть 1'!C22:I1014,7,0)</f>
        <v>2</v>
      </c>
      <c r="D17" s="125">
        <f t="shared" si="0"/>
        <v>1</v>
      </c>
      <c r="E17" s="125">
        <f t="shared" si="1"/>
        <v>1</v>
      </c>
      <c r="F17" s="125">
        <v>1</v>
      </c>
      <c r="G17" s="125">
        <f>IF(VLOOKUP($A17,'Часть 1_ответы'!C22:I1014,7,0)=C17,0,1)</f>
        <v>0</v>
      </c>
      <c r="H17" s="125">
        <v>15</v>
      </c>
      <c r="I17" s="125">
        <v>3</v>
      </c>
      <c r="J17" s="130">
        <f>VLOOKUP($H17,'Часть 2'!C22:I1014,7,0)</f>
        <v>3</v>
      </c>
      <c r="K17" s="125">
        <f t="shared" si="2"/>
        <v>1</v>
      </c>
      <c r="L17" s="125">
        <f t="shared" si="3"/>
        <v>1</v>
      </c>
      <c r="M17" s="125">
        <v>1</v>
      </c>
      <c r="N17" s="125">
        <f>IF(VLOOKUP($H17,'Часть 2_ответы'!C22:I1014,7,0)=J17,0,1)</f>
        <v>0</v>
      </c>
    </row>
    <row r="18" spans="1:14" x14ac:dyDescent="0.2">
      <c r="A18" s="125">
        <v>16</v>
      </c>
      <c r="B18" s="125">
        <v>2</v>
      </c>
      <c r="C18" s="130">
        <f>VLOOKUP($A18,'Часть 1'!C23:I1015,7,0)</f>
        <v>2</v>
      </c>
      <c r="D18" s="125">
        <f t="shared" si="0"/>
        <v>1</v>
      </c>
      <c r="E18" s="125">
        <f t="shared" si="1"/>
        <v>1</v>
      </c>
      <c r="F18" s="125">
        <v>1</v>
      </c>
      <c r="G18" s="125">
        <f>IF(VLOOKUP($A18,'Часть 1_ответы'!C23:I1015,7,0)=C18,0,1)</f>
        <v>0</v>
      </c>
      <c r="H18" s="125">
        <v>16</v>
      </c>
      <c r="I18" s="125">
        <v>4</v>
      </c>
      <c r="J18" s="130">
        <f>VLOOKUP($H18,'Часть 2'!C23:I1015,7,0)</f>
        <v>4</v>
      </c>
      <c r="K18" s="125">
        <f t="shared" si="2"/>
        <v>1</v>
      </c>
      <c r="L18" s="125">
        <f t="shared" si="3"/>
        <v>1</v>
      </c>
      <c r="M18" s="125">
        <v>1</v>
      </c>
      <c r="N18" s="125">
        <f>IF(VLOOKUP($H18,'Часть 2_ответы'!C23:I1015,7,0)=J18,0,1)</f>
        <v>0</v>
      </c>
    </row>
    <row r="19" spans="1:14" x14ac:dyDescent="0.2">
      <c r="A19" s="125">
        <v>17</v>
      </c>
      <c r="B19" s="125">
        <v>2</v>
      </c>
      <c r="C19" s="130">
        <f>VLOOKUP($A19,'Часть 1'!C24:I1016,7,0)</f>
        <v>2</v>
      </c>
      <c r="D19" s="125">
        <f t="shared" si="0"/>
        <v>1</v>
      </c>
      <c r="E19" s="125">
        <f t="shared" si="1"/>
        <v>1</v>
      </c>
      <c r="F19" s="125">
        <v>1</v>
      </c>
      <c r="G19" s="125">
        <f>IF(VLOOKUP($A19,'Часть 1_ответы'!C24:I1016,7,0)=C19,0,1)</f>
        <v>0</v>
      </c>
      <c r="H19" s="125">
        <v>17</v>
      </c>
      <c r="I19" s="125">
        <v>2</v>
      </c>
      <c r="J19" s="130">
        <f>VLOOKUP($H19,'Часть 2'!C24:I1016,7,0)</f>
        <v>2</v>
      </c>
      <c r="K19" s="125">
        <f t="shared" si="2"/>
        <v>1</v>
      </c>
      <c r="L19" s="125">
        <f t="shared" si="3"/>
        <v>2</v>
      </c>
      <c r="M19" s="125">
        <v>2</v>
      </c>
      <c r="N19" s="125">
        <f>IF(VLOOKUP($H19,'Часть 2_ответы'!C24:I1016,7,0)=J19,0,1)</f>
        <v>0</v>
      </c>
    </row>
    <row r="20" spans="1:14" x14ac:dyDescent="0.2">
      <c r="A20" s="125">
        <v>18</v>
      </c>
      <c r="B20" s="125">
        <v>3</v>
      </c>
      <c r="C20" s="130">
        <f>VLOOKUP($A20,'Часть 1'!C25:I1017,7,0)</f>
        <v>3</v>
      </c>
      <c r="D20" s="125">
        <f t="shared" si="0"/>
        <v>1</v>
      </c>
      <c r="E20" s="125">
        <f t="shared" si="1"/>
        <v>1</v>
      </c>
      <c r="F20" s="125">
        <v>1</v>
      </c>
      <c r="G20" s="125">
        <f>IF(VLOOKUP($A20,'Часть 1_ответы'!C25:I1017,7,0)=C20,0,1)</f>
        <v>0</v>
      </c>
      <c r="H20" s="125">
        <v>18</v>
      </c>
      <c r="I20" s="125">
        <v>1</v>
      </c>
      <c r="J20" s="130">
        <f>VLOOKUP($H20,'Часть 2'!C25:I1017,7,0)</f>
        <v>1</v>
      </c>
      <c r="K20" s="125">
        <f t="shared" si="2"/>
        <v>1</v>
      </c>
      <c r="L20" s="125">
        <f t="shared" si="3"/>
        <v>2</v>
      </c>
      <c r="M20" s="125">
        <v>2</v>
      </c>
      <c r="N20" s="125">
        <f>IF(VLOOKUP($H20,'Часть 2_ответы'!C25:I1017,7,0)=J20,0,1)</f>
        <v>0</v>
      </c>
    </row>
    <row r="21" spans="1:14" x14ac:dyDescent="0.2">
      <c r="A21" s="125">
        <v>19</v>
      </c>
      <c r="B21" s="125">
        <v>1</v>
      </c>
      <c r="C21" s="130">
        <f>VLOOKUP($A21,'Часть 1'!C26:I1018,7,0)</f>
        <v>1</v>
      </c>
      <c r="D21" s="125">
        <f t="shared" si="0"/>
        <v>1</v>
      </c>
      <c r="E21" s="125">
        <f t="shared" si="1"/>
        <v>1</v>
      </c>
      <c r="F21" s="125">
        <v>1</v>
      </c>
      <c r="G21" s="125">
        <f>IF(VLOOKUP($A21,'Часть 1_ответы'!C26:I1018,7,0)=C21,0,1)</f>
        <v>0</v>
      </c>
      <c r="H21" s="125">
        <v>19</v>
      </c>
      <c r="I21" s="125">
        <v>4</v>
      </c>
      <c r="J21" s="130">
        <f>VLOOKUP($H21,'Часть 2'!C26:I1018,7,0)</f>
        <v>3</v>
      </c>
      <c r="K21" s="125">
        <f t="shared" si="2"/>
        <v>1</v>
      </c>
      <c r="L21" s="125">
        <f t="shared" si="3"/>
        <v>0</v>
      </c>
      <c r="M21" s="125">
        <v>3</v>
      </c>
      <c r="N21" s="125">
        <f>IF(VLOOKUP($H21,'Часть 2_ответы'!C26:I1018,7,0)=J21,0,1)</f>
        <v>0</v>
      </c>
    </row>
    <row r="22" spans="1:14" x14ac:dyDescent="0.2">
      <c r="A22" s="125">
        <v>20</v>
      </c>
      <c r="B22" s="125">
        <v>3</v>
      </c>
      <c r="C22" s="130">
        <f>VLOOKUP($A22,'Часть 1'!C27:I1019,7,0)</f>
        <v>3</v>
      </c>
      <c r="D22" s="125">
        <f t="shared" si="0"/>
        <v>1</v>
      </c>
      <c r="E22" s="125">
        <f t="shared" si="1"/>
        <v>1</v>
      </c>
      <c r="F22" s="125">
        <v>1</v>
      </c>
      <c r="G22" s="125">
        <f>IF(VLOOKUP($A22,'Часть 1_ответы'!C27:I1019,7,0)=C22,0,1)</f>
        <v>0</v>
      </c>
      <c r="H22" s="125">
        <v>20</v>
      </c>
      <c r="I22" s="125">
        <v>2</v>
      </c>
      <c r="J22" s="130">
        <f>VLOOKUP($H22,'Часть 2'!C27:I1019,7,0)</f>
        <v>2</v>
      </c>
      <c r="K22" s="125">
        <f t="shared" si="2"/>
        <v>1</v>
      </c>
      <c r="L22" s="125">
        <f t="shared" si="3"/>
        <v>3</v>
      </c>
      <c r="M22" s="125">
        <v>3</v>
      </c>
      <c r="N22" s="125">
        <f>IF(VLOOKUP($H22,'Часть 2_ответы'!C27:I1019,7,0)=J22,0,1)</f>
        <v>0</v>
      </c>
    </row>
    <row r="23" spans="1:14" x14ac:dyDescent="0.2">
      <c r="A23" s="125">
        <v>21</v>
      </c>
      <c r="B23" s="125">
        <v>1</v>
      </c>
      <c r="C23" s="130">
        <f>VLOOKUP($A23,'Часть 1'!C28:I1020,7,0)</f>
        <v>1</v>
      </c>
      <c r="D23" s="125">
        <f t="shared" si="0"/>
        <v>1</v>
      </c>
      <c r="E23" s="125">
        <f t="shared" si="1"/>
        <v>1</v>
      </c>
      <c r="F23" s="125">
        <v>1</v>
      </c>
      <c r="G23" s="125">
        <f>IF(VLOOKUP($A23,'Часть 1_ответы'!C28:I1020,7,0)=C23,0,1)</f>
        <v>0</v>
      </c>
      <c r="H23" s="125">
        <v>21</v>
      </c>
      <c r="I23" s="125">
        <v>4</v>
      </c>
      <c r="J23" s="130">
        <f>VLOOKUP($H23,'Часть 2'!C28:I1020,7,0)</f>
        <v>4</v>
      </c>
      <c r="K23" s="125">
        <f t="shared" si="2"/>
        <v>1</v>
      </c>
      <c r="L23" s="125">
        <f t="shared" si="3"/>
        <v>3</v>
      </c>
      <c r="M23" s="125">
        <v>3</v>
      </c>
      <c r="N23" s="125">
        <f>IF(VLOOKUP($H23,'Часть 2_ответы'!C28:I1020,7,0)=J23,0,1)</f>
        <v>0</v>
      </c>
    </row>
    <row r="24" spans="1:14" x14ac:dyDescent="0.2">
      <c r="A24" s="125">
        <v>22</v>
      </c>
      <c r="B24" s="125">
        <v>3</v>
      </c>
      <c r="C24" s="130">
        <f>VLOOKUP($A24,'Часть 1'!C29:I1021,7,0)</f>
        <v>3</v>
      </c>
      <c r="D24" s="125">
        <f t="shared" si="0"/>
        <v>1</v>
      </c>
      <c r="E24" s="125">
        <f t="shared" si="1"/>
        <v>1</v>
      </c>
      <c r="F24" s="125">
        <v>1</v>
      </c>
      <c r="G24" s="125">
        <f>IF(VLOOKUP($A24,'Часть 1_ответы'!C29:I1021,7,0)=C24,0,1)</f>
        <v>0</v>
      </c>
      <c r="H24" s="125">
        <v>22</v>
      </c>
      <c r="I24" s="125">
        <v>4</v>
      </c>
      <c r="J24" s="130">
        <f>VLOOKUP($H24,'Часть 2'!C29:I1021,7,0)</f>
        <v>4</v>
      </c>
      <c r="K24" s="125">
        <f t="shared" si="2"/>
        <v>1</v>
      </c>
      <c r="L24" s="125">
        <f t="shared" si="3"/>
        <v>0</v>
      </c>
      <c r="M24" s="125">
        <v>0</v>
      </c>
      <c r="N24" s="125">
        <f>IF(VLOOKUP($H24,'Часть 2_ответы'!C29:I1021,7,0)=J24,0,1)</f>
        <v>0</v>
      </c>
    </row>
    <row r="25" spans="1:14" x14ac:dyDescent="0.2">
      <c r="A25" s="125">
        <v>23</v>
      </c>
      <c r="B25" s="125">
        <v>2</v>
      </c>
      <c r="C25" s="130">
        <f>VLOOKUP($A25,'Часть 1'!C30:I1022,7,0)</f>
        <v>1</v>
      </c>
      <c r="D25" s="125">
        <f t="shared" si="0"/>
        <v>1</v>
      </c>
      <c r="E25" s="125">
        <f t="shared" si="1"/>
        <v>0</v>
      </c>
      <c r="F25" s="125">
        <v>1</v>
      </c>
      <c r="G25" s="125">
        <f>IF(VLOOKUP($A25,'Часть 1_ответы'!C30:I1022,7,0)=C25,0,1)</f>
        <v>0</v>
      </c>
      <c r="J25" s="130"/>
    </row>
    <row r="26" spans="1:14" x14ac:dyDescent="0.2">
      <c r="A26" s="125">
        <v>24</v>
      </c>
      <c r="B26" s="125">
        <v>3</v>
      </c>
      <c r="C26" s="130">
        <f>VLOOKUP($A26,'Часть 1'!C31:I1023,7,0)</f>
        <v>3</v>
      </c>
      <c r="D26" s="125">
        <f t="shared" si="0"/>
        <v>1</v>
      </c>
      <c r="E26" s="125">
        <f t="shared" si="1"/>
        <v>1</v>
      </c>
      <c r="F26" s="125">
        <v>1</v>
      </c>
      <c r="G26" s="125">
        <f>IF(VLOOKUP($A26,'Часть 1_ответы'!C31:I1023,7,0)=C26,0,1)</f>
        <v>0</v>
      </c>
      <c r="J26" s="130"/>
    </row>
    <row r="27" spans="1:14" x14ac:dyDescent="0.2">
      <c r="A27" s="125">
        <v>25</v>
      </c>
      <c r="B27" s="125">
        <v>1</v>
      </c>
      <c r="C27" s="130">
        <f>VLOOKUP($A27,'Часть 1'!C32:I1024,7,0)</f>
        <v>1</v>
      </c>
      <c r="D27" s="125">
        <f t="shared" si="0"/>
        <v>1</v>
      </c>
      <c r="E27" s="125">
        <f t="shared" si="1"/>
        <v>1</v>
      </c>
      <c r="F27" s="125">
        <v>1</v>
      </c>
      <c r="G27" s="125">
        <f>IF(VLOOKUP($A27,'Часть 1_ответы'!C32:I1024,7,0)=C27,0,1)</f>
        <v>0</v>
      </c>
      <c r="J27" s="130"/>
    </row>
    <row r="28" spans="1:14" x14ac:dyDescent="0.2">
      <c r="A28" s="125">
        <v>26</v>
      </c>
      <c r="B28" s="125">
        <v>2</v>
      </c>
      <c r="C28" s="130">
        <f>VLOOKUP($A28,'Часть 1'!C33:I1025,7,0)</f>
        <v>2</v>
      </c>
      <c r="D28" s="125">
        <f t="shared" si="0"/>
        <v>1</v>
      </c>
      <c r="E28" s="125">
        <f t="shared" si="1"/>
        <v>1</v>
      </c>
      <c r="F28" s="125">
        <v>1</v>
      </c>
      <c r="G28" s="125">
        <f>IF(VLOOKUP($A28,'Часть 1_ответы'!C33:I1025,7,0)=C28,0,1)</f>
        <v>0</v>
      </c>
      <c r="J28" s="130"/>
    </row>
    <row r="29" spans="1:14" x14ac:dyDescent="0.2">
      <c r="A29" s="125">
        <v>27</v>
      </c>
      <c r="B29" s="125">
        <v>1</v>
      </c>
      <c r="C29" s="130">
        <f>VLOOKUP($A29,'Часть 1'!C34:I1026,7,0)</f>
        <v>1</v>
      </c>
      <c r="D29" s="125">
        <f t="shared" si="0"/>
        <v>1</v>
      </c>
      <c r="E29" s="125">
        <f t="shared" si="1"/>
        <v>1</v>
      </c>
      <c r="F29" s="125">
        <v>1</v>
      </c>
      <c r="G29" s="125">
        <f>IF(VLOOKUP($A29,'Часть 1_ответы'!C34:I1026,7,0)=C29,0,1)</f>
        <v>0</v>
      </c>
      <c r="J29" s="130"/>
    </row>
    <row r="30" spans="1:14" x14ac:dyDescent="0.2">
      <c r="A30" s="125">
        <v>28</v>
      </c>
      <c r="B30" s="125">
        <v>3</v>
      </c>
      <c r="C30" s="130">
        <f>VLOOKUP($A30,'Часть 1'!C35:I1027,7,0)</f>
        <v>3</v>
      </c>
      <c r="D30" s="125">
        <f t="shared" si="0"/>
        <v>1</v>
      </c>
      <c r="E30" s="125">
        <f t="shared" si="1"/>
        <v>1</v>
      </c>
      <c r="F30" s="125">
        <v>1</v>
      </c>
      <c r="G30" s="125">
        <f>IF(VLOOKUP($A30,'Часть 1_ответы'!C35:I1027,7,0)=C30,0,1)</f>
        <v>0</v>
      </c>
      <c r="J30" s="130"/>
    </row>
    <row r="31" spans="1:14" x14ac:dyDescent="0.2">
      <c r="A31" s="125">
        <v>29</v>
      </c>
      <c r="B31" s="125">
        <v>3</v>
      </c>
      <c r="C31" s="130">
        <f>VLOOKUP($A31,'Часть 1'!C36:I1028,7,0)</f>
        <v>3</v>
      </c>
      <c r="D31" s="125">
        <f t="shared" si="0"/>
        <v>1</v>
      </c>
      <c r="E31" s="125">
        <f t="shared" si="1"/>
        <v>1</v>
      </c>
      <c r="F31" s="125">
        <v>1</v>
      </c>
      <c r="G31" s="125">
        <f>IF(VLOOKUP($A31,'Часть 1_ответы'!C36:I1028,7,0)=C31,0,1)</f>
        <v>0</v>
      </c>
      <c r="J31" s="130"/>
    </row>
    <row r="32" spans="1:14" x14ac:dyDescent="0.2">
      <c r="A32" s="125">
        <v>30</v>
      </c>
      <c r="B32" s="125">
        <v>1</v>
      </c>
      <c r="C32" s="130">
        <f>VLOOKUP($A32,'Часть 1'!C37:I1029,7,0)</f>
        <v>1</v>
      </c>
      <c r="D32" s="125">
        <f t="shared" si="0"/>
        <v>1</v>
      </c>
      <c r="E32" s="125">
        <f t="shared" si="1"/>
        <v>1</v>
      </c>
      <c r="F32" s="125">
        <v>1</v>
      </c>
      <c r="G32" s="125">
        <f>IF(VLOOKUP($A32,'Часть 1_ответы'!C37:I1029,7,0)=C32,0,1)</f>
        <v>0</v>
      </c>
      <c r="J32" s="130"/>
    </row>
  </sheetData>
  <sheetProtection password="CDD1" sheet="1" objects="1" scenarios="1" selectLockedCells="1" selectUnlockedCells="1"/>
  <autoFilter ref="A2:E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D20"/>
  <sheetViews>
    <sheetView workbookViewId="0">
      <selection activeCell="Q22" sqref="Q22"/>
    </sheetView>
  </sheetViews>
  <sheetFormatPr defaultRowHeight="15" x14ac:dyDescent="0.25"/>
  <cols>
    <col min="1" max="1" width="22.85546875" bestFit="1" customWidth="1"/>
    <col min="2" max="2" width="21.140625" customWidth="1"/>
    <col min="3" max="3" width="25.42578125" customWidth="1"/>
    <col min="4" max="4" width="22.140625" customWidth="1"/>
    <col min="5" max="5" width="8.5703125" bestFit="1" customWidth="1"/>
    <col min="6" max="8" width="9.5703125" bestFit="1" customWidth="1"/>
    <col min="9" max="9" width="11" bestFit="1" customWidth="1"/>
    <col min="10" max="11" width="9.5703125" bestFit="1" customWidth="1"/>
    <col min="12" max="17" width="8.5703125" bestFit="1" customWidth="1"/>
    <col min="18" max="18" width="9.5703125" bestFit="1" customWidth="1"/>
    <col min="19" max="19" width="8.5703125" bestFit="1" customWidth="1"/>
    <col min="20" max="20" width="9.5703125" bestFit="1" customWidth="1"/>
    <col min="21" max="23" width="8.5703125" bestFit="1" customWidth="1"/>
    <col min="24" max="24" width="9.5703125" bestFit="1" customWidth="1"/>
    <col min="25" max="26" width="8.5703125" bestFit="1" customWidth="1"/>
    <col min="27" max="28" width="9.5703125" bestFit="1" customWidth="1"/>
    <col min="29" max="29" width="8.5703125" bestFit="1" customWidth="1"/>
    <col min="30" max="31" width="9.5703125" bestFit="1" customWidth="1"/>
    <col min="32" max="34" width="8.5703125" bestFit="1" customWidth="1"/>
    <col min="35" max="37" width="9.5703125" bestFit="1" customWidth="1"/>
    <col min="38" max="40" width="8.5703125" bestFit="1" customWidth="1"/>
    <col min="41" max="41" width="9.5703125" bestFit="1" customWidth="1"/>
    <col min="42" max="42" width="8.5703125" bestFit="1" customWidth="1"/>
    <col min="43" max="43" width="11" bestFit="1" customWidth="1"/>
    <col min="44" max="44" width="8.5703125" bestFit="1" customWidth="1"/>
    <col min="45" max="45" width="9.5703125" bestFit="1" customWidth="1"/>
    <col min="46" max="46" width="8.5703125" bestFit="1" customWidth="1"/>
    <col min="47" max="47" width="9.5703125" bestFit="1" customWidth="1"/>
    <col min="48" max="48" width="8.5703125" bestFit="1" customWidth="1"/>
    <col min="49" max="49" width="9.5703125" bestFit="1" customWidth="1"/>
    <col min="50" max="55" width="8.5703125" bestFit="1" customWidth="1"/>
    <col min="56" max="57" width="9.5703125" bestFit="1" customWidth="1"/>
    <col min="58" max="59" width="8.5703125" bestFit="1" customWidth="1"/>
    <col min="60" max="66" width="9.5703125" bestFit="1" customWidth="1"/>
    <col min="67" max="67" width="8.5703125" bestFit="1" customWidth="1"/>
    <col min="68" max="69" width="9.5703125" bestFit="1" customWidth="1"/>
    <col min="70" max="71" width="8.5703125" bestFit="1" customWidth="1"/>
    <col min="72" max="72" width="9.5703125" bestFit="1" customWidth="1"/>
    <col min="73" max="73" width="8.5703125" bestFit="1" customWidth="1"/>
    <col min="74" max="74" width="9.5703125" bestFit="1" customWidth="1"/>
    <col min="75" max="75" width="11" bestFit="1" customWidth="1"/>
    <col min="76" max="77" width="8.5703125" bestFit="1" customWidth="1"/>
    <col min="78" max="78" width="9.5703125" bestFit="1" customWidth="1"/>
    <col min="79" max="79" width="8.5703125" bestFit="1" customWidth="1"/>
    <col min="80" max="80" width="9.5703125" bestFit="1" customWidth="1"/>
    <col min="81" max="81" width="8.5703125" bestFit="1" customWidth="1"/>
    <col min="82" max="82" width="9.5703125" bestFit="1" customWidth="1"/>
    <col min="83" max="85" width="8.5703125" bestFit="1" customWidth="1"/>
    <col min="86" max="90" width="9.5703125" bestFit="1" customWidth="1"/>
    <col min="91" max="94" width="8.5703125" bestFit="1" customWidth="1"/>
    <col min="95" max="95" width="9.5703125" bestFit="1" customWidth="1"/>
    <col min="96" max="96" width="8.5703125" bestFit="1" customWidth="1"/>
    <col min="97" max="100" width="9.5703125" bestFit="1" customWidth="1"/>
    <col min="101" max="102" width="8.5703125" bestFit="1" customWidth="1"/>
    <col min="103" max="104" width="9.5703125" bestFit="1" customWidth="1"/>
    <col min="105" max="105" width="11" bestFit="1" customWidth="1"/>
    <col min="106" max="106" width="8.5703125" bestFit="1" customWidth="1"/>
    <col min="107" max="107" width="9.5703125" bestFit="1" customWidth="1"/>
    <col min="108" max="108" width="8.5703125" bestFit="1" customWidth="1"/>
    <col min="109" max="112" width="9.5703125" bestFit="1" customWidth="1"/>
    <col min="113" max="113" width="8.5703125" bestFit="1" customWidth="1"/>
    <col min="114" max="138" width="9.5703125" bestFit="1" customWidth="1"/>
    <col min="139" max="139" width="11" bestFit="1" customWidth="1"/>
    <col min="140" max="156" width="9.5703125" bestFit="1" customWidth="1"/>
    <col min="157" max="157" width="11" bestFit="1" customWidth="1"/>
    <col min="158" max="175" width="9.5703125" bestFit="1" customWidth="1"/>
    <col min="176" max="176" width="11" bestFit="1" customWidth="1"/>
    <col min="177" max="182" width="9.5703125" bestFit="1" customWidth="1"/>
    <col min="183" max="183" width="11" bestFit="1" customWidth="1"/>
    <col min="184" max="191" width="9.5703125" bestFit="1" customWidth="1"/>
    <col min="192" max="192" width="11" bestFit="1" customWidth="1"/>
    <col min="193" max="206" width="9.5703125" bestFit="1" customWidth="1"/>
    <col min="207" max="207" width="11" bestFit="1" customWidth="1"/>
    <col min="208" max="209" width="9.5703125" bestFit="1" customWidth="1"/>
    <col min="210" max="210" width="11" bestFit="1" customWidth="1"/>
    <col min="211" max="226" width="9.5703125" bestFit="1" customWidth="1"/>
    <col min="227" max="227" width="11" bestFit="1" customWidth="1"/>
    <col min="228" max="231" width="9.5703125" bestFit="1" customWidth="1"/>
    <col min="232" max="232" width="11" bestFit="1" customWidth="1"/>
    <col min="233" max="233" width="8.5703125" bestFit="1" customWidth="1"/>
    <col min="234" max="241" width="9.5703125" bestFit="1" customWidth="1"/>
    <col min="242" max="242" width="11" bestFit="1" customWidth="1"/>
    <col min="243" max="252" width="9.5703125" bestFit="1" customWidth="1"/>
    <col min="253" max="253" width="11" bestFit="1" customWidth="1"/>
    <col min="254" max="261" width="9.5703125" bestFit="1" customWidth="1"/>
    <col min="262" max="263" width="11" bestFit="1" customWidth="1"/>
    <col min="264" max="286" width="9.5703125" bestFit="1" customWidth="1"/>
    <col min="287" max="288" width="11" bestFit="1" customWidth="1"/>
    <col min="289" max="294" width="9.5703125" bestFit="1" customWidth="1"/>
    <col min="295" max="295" width="11" bestFit="1" customWidth="1"/>
    <col min="296" max="297" width="9.5703125" bestFit="1" customWidth="1"/>
    <col min="298" max="298" width="11" bestFit="1" customWidth="1"/>
    <col min="299" max="310" width="9.5703125" bestFit="1" customWidth="1"/>
    <col min="311" max="311" width="11" bestFit="1" customWidth="1"/>
    <col min="312" max="322" width="9.5703125" bestFit="1" customWidth="1"/>
    <col min="323" max="323" width="11" bestFit="1" customWidth="1"/>
    <col min="324" max="325" width="9.5703125" bestFit="1" customWidth="1"/>
    <col min="326" max="326" width="11" bestFit="1" customWidth="1"/>
    <col min="327" max="329" width="9.5703125" bestFit="1" customWidth="1"/>
    <col min="330" max="331" width="11" bestFit="1" customWidth="1"/>
    <col min="332" max="332" width="9.5703125" bestFit="1" customWidth="1"/>
    <col min="333" max="333" width="11" bestFit="1" customWidth="1"/>
    <col min="334" max="334" width="9.5703125" bestFit="1" customWidth="1"/>
    <col min="335" max="335" width="11" bestFit="1" customWidth="1"/>
    <col min="336" max="336" width="9.5703125" bestFit="1" customWidth="1"/>
    <col min="337" max="337" width="11" bestFit="1" customWidth="1"/>
    <col min="338" max="339" width="9.5703125" bestFit="1" customWidth="1"/>
    <col min="340" max="341" width="11" bestFit="1" customWidth="1"/>
    <col min="342" max="342" width="9.5703125" bestFit="1" customWidth="1"/>
    <col min="343" max="343" width="11" bestFit="1" customWidth="1"/>
    <col min="344" max="346" width="9.5703125" bestFit="1" customWidth="1"/>
    <col min="347" max="347" width="11" bestFit="1" customWidth="1"/>
    <col min="348" max="348" width="9.5703125" bestFit="1" customWidth="1"/>
    <col min="349" max="350" width="11" bestFit="1" customWidth="1"/>
    <col min="351" max="353" width="9.5703125" bestFit="1" customWidth="1"/>
    <col min="354" max="354" width="11" bestFit="1" customWidth="1"/>
    <col min="355" max="356" width="9.5703125" bestFit="1" customWidth="1"/>
    <col min="357" max="358" width="11" bestFit="1" customWidth="1"/>
    <col min="359" max="360" width="9.5703125" bestFit="1" customWidth="1"/>
    <col min="361" max="364" width="11" bestFit="1" customWidth="1"/>
    <col min="365" max="367" width="9.5703125" bestFit="1" customWidth="1"/>
    <col min="368" max="368" width="11" bestFit="1" customWidth="1"/>
    <col min="369" max="376" width="9.5703125" bestFit="1" customWidth="1"/>
    <col min="377" max="380" width="11" bestFit="1" customWidth="1"/>
    <col min="381" max="381" width="9.5703125" bestFit="1" customWidth="1"/>
    <col min="382" max="383" width="11" bestFit="1" customWidth="1"/>
    <col min="384" max="384" width="9.5703125" bestFit="1" customWidth="1"/>
    <col min="385" max="385" width="11" bestFit="1" customWidth="1"/>
    <col min="386" max="386" width="9.5703125" bestFit="1" customWidth="1"/>
    <col min="387" max="388" width="11" bestFit="1" customWidth="1"/>
    <col min="389" max="391" width="9.5703125" bestFit="1" customWidth="1"/>
    <col min="392" max="393" width="11" bestFit="1" customWidth="1"/>
    <col min="394" max="394" width="9.5703125" bestFit="1" customWidth="1"/>
    <col min="395" max="395" width="11" bestFit="1" customWidth="1"/>
    <col min="396" max="398" width="9.5703125" bestFit="1" customWidth="1"/>
    <col min="399" max="402" width="11" bestFit="1" customWidth="1"/>
    <col min="403" max="404" width="9.5703125" bestFit="1" customWidth="1"/>
    <col min="405" max="405" width="11" bestFit="1" customWidth="1"/>
    <col min="406" max="407" width="9.5703125" bestFit="1" customWidth="1"/>
    <col min="408" max="411" width="11" bestFit="1" customWidth="1"/>
    <col min="412" max="414" width="9.5703125" bestFit="1" customWidth="1"/>
    <col min="415" max="416" width="11" bestFit="1" customWidth="1"/>
    <col min="417" max="418" width="9.5703125" bestFit="1" customWidth="1"/>
    <col min="419" max="419" width="11" bestFit="1" customWidth="1"/>
    <col min="420" max="422" width="9.5703125" bestFit="1" customWidth="1"/>
    <col min="423" max="423" width="11" bestFit="1" customWidth="1"/>
    <col min="424" max="424" width="9.5703125" bestFit="1" customWidth="1"/>
    <col min="425" max="426" width="11" bestFit="1" customWidth="1"/>
    <col min="427" max="427" width="9.5703125" bestFit="1" customWidth="1"/>
    <col min="428" max="428" width="11" bestFit="1" customWidth="1"/>
    <col min="429" max="429" width="9.5703125" bestFit="1" customWidth="1"/>
    <col min="430" max="430" width="8.5703125" bestFit="1" customWidth="1"/>
    <col min="431" max="431" width="9.5703125" bestFit="1" customWidth="1"/>
    <col min="432" max="435" width="11" bestFit="1" customWidth="1"/>
    <col min="436" max="436" width="9.5703125" bestFit="1" customWidth="1"/>
    <col min="437" max="438" width="11" bestFit="1" customWidth="1"/>
    <col min="439" max="440" width="9.5703125" bestFit="1" customWidth="1"/>
    <col min="441" max="441" width="11" bestFit="1" customWidth="1"/>
    <col min="442" max="442" width="9.5703125" bestFit="1" customWidth="1"/>
    <col min="443" max="445" width="11" bestFit="1" customWidth="1"/>
    <col min="446" max="446" width="9.5703125" bestFit="1" customWidth="1"/>
    <col min="447" max="447" width="11" bestFit="1" customWidth="1"/>
    <col min="448" max="449" width="9.5703125" bestFit="1" customWidth="1"/>
    <col min="450" max="453" width="11" bestFit="1" customWidth="1"/>
    <col min="454" max="454" width="9.5703125" bestFit="1" customWidth="1"/>
    <col min="455" max="456" width="11" bestFit="1" customWidth="1"/>
    <col min="457" max="459" width="9.5703125" bestFit="1" customWidth="1"/>
    <col min="460" max="463" width="11" bestFit="1" customWidth="1"/>
    <col min="464" max="464" width="9.5703125" bestFit="1" customWidth="1"/>
    <col min="465" max="472" width="11" bestFit="1" customWidth="1"/>
    <col min="473" max="473" width="9.5703125" bestFit="1" customWidth="1"/>
    <col min="474" max="479" width="11" bestFit="1" customWidth="1"/>
    <col min="480" max="483" width="9.5703125" bestFit="1" customWidth="1"/>
    <col min="484" max="487" width="11" bestFit="1" customWidth="1"/>
    <col min="488" max="490" width="9.5703125" bestFit="1" customWidth="1"/>
    <col min="491" max="492" width="11" bestFit="1" customWidth="1"/>
    <col min="493" max="494" width="9.5703125" bestFit="1" customWidth="1"/>
    <col min="495" max="495" width="11" bestFit="1" customWidth="1"/>
    <col min="496" max="496" width="9.5703125" bestFit="1" customWidth="1"/>
    <col min="497" max="498" width="11" bestFit="1" customWidth="1"/>
    <col min="499" max="499" width="9.5703125" bestFit="1" customWidth="1"/>
    <col min="500" max="501" width="11" bestFit="1" customWidth="1"/>
    <col min="502" max="502" width="9.5703125" bestFit="1" customWidth="1"/>
    <col min="503" max="509" width="11" bestFit="1" customWidth="1"/>
    <col min="510" max="511" width="9.5703125" bestFit="1" customWidth="1"/>
    <col min="512" max="512" width="11" bestFit="1" customWidth="1"/>
    <col min="513" max="513" width="9.5703125" bestFit="1" customWidth="1"/>
    <col min="514" max="514" width="11" bestFit="1" customWidth="1"/>
    <col min="515" max="515" width="9.5703125" bestFit="1" customWidth="1"/>
    <col min="516" max="518" width="11" bestFit="1" customWidth="1"/>
    <col min="519" max="519" width="9.5703125" bestFit="1" customWidth="1"/>
    <col min="520" max="520" width="11" bestFit="1" customWidth="1"/>
    <col min="521" max="521" width="8.5703125" bestFit="1" customWidth="1"/>
    <col min="522" max="522" width="9.5703125" bestFit="1" customWidth="1"/>
    <col min="523" max="525" width="11" bestFit="1" customWidth="1"/>
    <col min="526" max="526" width="9.5703125" bestFit="1" customWidth="1"/>
    <col min="527" max="528" width="11" bestFit="1" customWidth="1"/>
    <col min="529" max="529" width="8.5703125" bestFit="1" customWidth="1"/>
    <col min="530" max="532" width="11" bestFit="1" customWidth="1"/>
    <col min="533" max="533" width="9.5703125" bestFit="1" customWidth="1"/>
    <col min="534" max="534" width="11" bestFit="1" customWidth="1"/>
    <col min="535" max="535" width="9.5703125" bestFit="1" customWidth="1"/>
    <col min="536" max="536" width="11" bestFit="1" customWidth="1"/>
    <col min="537" max="537" width="8.5703125" bestFit="1" customWidth="1"/>
    <col min="538" max="538" width="11" bestFit="1" customWidth="1"/>
    <col min="539" max="540" width="9.5703125" bestFit="1" customWidth="1"/>
    <col min="541" max="549" width="11" bestFit="1" customWidth="1"/>
    <col min="550" max="550" width="41.7109375" bestFit="1" customWidth="1"/>
    <col min="551" max="551" width="7" bestFit="1" customWidth="1"/>
    <col min="552" max="552" width="8.42578125" bestFit="1" customWidth="1"/>
    <col min="553" max="553" width="7" bestFit="1" customWidth="1"/>
    <col min="554" max="555" width="8.42578125" bestFit="1" customWidth="1"/>
    <col min="556" max="556" width="6" bestFit="1" customWidth="1"/>
    <col min="557" max="557" width="8.42578125" bestFit="1" customWidth="1"/>
    <col min="558" max="558" width="7" bestFit="1" customWidth="1"/>
    <col min="559" max="559" width="8.42578125" bestFit="1" customWidth="1"/>
    <col min="560" max="560" width="9.42578125" bestFit="1" customWidth="1"/>
    <col min="561" max="561" width="7" bestFit="1" customWidth="1"/>
    <col min="562" max="562" width="8.42578125" bestFit="1" customWidth="1"/>
    <col min="563" max="565" width="7" bestFit="1" customWidth="1"/>
    <col min="566" max="566" width="6" bestFit="1" customWidth="1"/>
    <col min="567" max="568" width="7" bestFit="1" customWidth="1"/>
    <col min="569" max="569" width="8.42578125" bestFit="1" customWidth="1"/>
    <col min="570" max="570" width="7" bestFit="1" customWidth="1"/>
    <col min="571" max="571" width="8.42578125" bestFit="1" customWidth="1"/>
    <col min="572" max="574" width="7" bestFit="1" customWidth="1"/>
    <col min="575" max="575" width="8.42578125" bestFit="1" customWidth="1"/>
    <col min="576" max="578" width="7" bestFit="1" customWidth="1"/>
    <col min="579" max="579" width="8.42578125" bestFit="1" customWidth="1"/>
    <col min="580" max="580" width="7" bestFit="1" customWidth="1"/>
    <col min="581" max="581" width="8.42578125" bestFit="1" customWidth="1"/>
    <col min="582" max="584" width="7" bestFit="1" customWidth="1"/>
    <col min="585" max="585" width="6" bestFit="1" customWidth="1"/>
    <col min="586" max="586" width="8.42578125" bestFit="1" customWidth="1"/>
    <col min="587" max="587" width="7" bestFit="1" customWidth="1"/>
    <col min="588" max="588" width="8.42578125" bestFit="1" customWidth="1"/>
    <col min="589" max="591" width="7" bestFit="1" customWidth="1"/>
    <col min="592" max="592" width="8.42578125" bestFit="1" customWidth="1"/>
    <col min="593" max="593" width="7" bestFit="1" customWidth="1"/>
    <col min="594" max="594" width="8.42578125" bestFit="1" customWidth="1"/>
    <col min="595" max="606" width="7" bestFit="1" customWidth="1"/>
    <col min="607" max="607" width="8.42578125" bestFit="1" customWidth="1"/>
    <col min="608" max="610" width="7" bestFit="1" customWidth="1"/>
    <col min="611" max="611" width="8.42578125" bestFit="1" customWidth="1"/>
    <col min="612" max="612" width="7" bestFit="1" customWidth="1"/>
    <col min="613" max="613" width="8.42578125" bestFit="1" customWidth="1"/>
    <col min="614" max="614" width="7" bestFit="1" customWidth="1"/>
    <col min="615" max="616" width="8.42578125" bestFit="1" customWidth="1"/>
    <col min="617" max="619" width="7" bestFit="1" customWidth="1"/>
    <col min="620" max="620" width="8.42578125" bestFit="1" customWidth="1"/>
    <col min="621" max="625" width="7" bestFit="1" customWidth="1"/>
    <col min="626" max="626" width="8.42578125" bestFit="1" customWidth="1"/>
    <col min="627" max="628" width="7" bestFit="1" customWidth="1"/>
    <col min="629" max="629" width="8.42578125" bestFit="1" customWidth="1"/>
    <col min="630" max="636" width="7" bestFit="1" customWidth="1"/>
    <col min="637" max="638" width="8.42578125" bestFit="1" customWidth="1"/>
    <col min="639" max="645" width="7" bestFit="1" customWidth="1"/>
    <col min="646" max="646" width="8.42578125" bestFit="1" customWidth="1"/>
    <col min="647" max="648" width="7" bestFit="1" customWidth="1"/>
    <col min="649" max="649" width="8.42578125" bestFit="1" customWidth="1"/>
    <col min="650" max="650" width="7" bestFit="1" customWidth="1"/>
    <col min="651" max="651" width="8.42578125" bestFit="1" customWidth="1"/>
    <col min="652" max="655" width="7" bestFit="1" customWidth="1"/>
    <col min="656" max="656" width="8.42578125" bestFit="1" customWidth="1"/>
    <col min="657" max="659" width="7" bestFit="1" customWidth="1"/>
    <col min="660" max="661" width="8.42578125" bestFit="1" customWidth="1"/>
    <col min="662" max="664" width="7" bestFit="1" customWidth="1"/>
    <col min="665" max="665" width="8.42578125" bestFit="1" customWidth="1"/>
    <col min="666" max="666" width="7" bestFit="1" customWidth="1"/>
    <col min="667" max="670" width="8.42578125" bestFit="1" customWidth="1"/>
    <col min="671" max="671" width="7" bestFit="1" customWidth="1"/>
    <col min="672" max="676" width="8.42578125" bestFit="1" customWidth="1"/>
    <col min="677" max="677" width="7" bestFit="1" customWidth="1"/>
    <col min="678" max="679" width="8.42578125" bestFit="1" customWidth="1"/>
    <col min="680" max="680" width="7" bestFit="1" customWidth="1"/>
    <col min="681" max="681" width="8.42578125" bestFit="1" customWidth="1"/>
    <col min="682" max="683" width="7" bestFit="1" customWidth="1"/>
    <col min="684" max="749" width="8.42578125" bestFit="1" customWidth="1"/>
    <col min="750" max="750" width="7" bestFit="1" customWidth="1"/>
    <col min="751" max="783" width="8.42578125" bestFit="1" customWidth="1"/>
    <col min="784" max="784" width="7" bestFit="1" customWidth="1"/>
    <col min="785" max="813" width="8.42578125" bestFit="1" customWidth="1"/>
    <col min="814" max="814" width="9.42578125" bestFit="1" customWidth="1"/>
    <col min="815" max="848" width="8.42578125" bestFit="1" customWidth="1"/>
    <col min="849" max="849" width="9.42578125" bestFit="1" customWidth="1"/>
    <col min="850" max="910" width="8.42578125" bestFit="1" customWidth="1"/>
    <col min="911" max="911" width="7" bestFit="1" customWidth="1"/>
    <col min="912" max="928" width="8.42578125" bestFit="1" customWidth="1"/>
    <col min="929" max="929" width="9.42578125" bestFit="1" customWidth="1"/>
    <col min="930" max="1011" width="8.42578125" bestFit="1" customWidth="1"/>
    <col min="1012" max="1012" width="9.42578125" bestFit="1" customWidth="1"/>
    <col min="1013" max="1024" width="8.42578125" bestFit="1" customWidth="1"/>
    <col min="1025" max="1025" width="9.42578125" bestFit="1" customWidth="1"/>
    <col min="1026" max="1029" width="8.42578125" bestFit="1" customWidth="1"/>
    <col min="1030" max="1030" width="9.42578125" bestFit="1" customWidth="1"/>
    <col min="1031" max="1062" width="8.42578125" bestFit="1" customWidth="1"/>
    <col min="1063" max="1063" width="9.42578125" bestFit="1" customWidth="1"/>
    <col min="1064" max="1066" width="8.42578125" bestFit="1" customWidth="1"/>
    <col min="1067" max="1067" width="9.42578125" bestFit="1" customWidth="1"/>
    <col min="1068" max="1082" width="8.42578125" bestFit="1" customWidth="1"/>
    <col min="1083" max="1083" width="9.42578125" bestFit="1" customWidth="1"/>
    <col min="1084" max="1088" width="8.42578125" bestFit="1" customWidth="1"/>
    <col min="1089" max="1089" width="9.42578125" bestFit="1" customWidth="1"/>
    <col min="1090" max="1093" width="8.42578125" bestFit="1" customWidth="1"/>
    <col min="1094" max="1095" width="9.42578125" bestFit="1" customWidth="1"/>
    <col min="1096" max="1097" width="8.42578125" bestFit="1" customWidth="1"/>
    <col min="1098" max="1098" width="9.42578125" bestFit="1" customWidth="1"/>
    <col min="1099" max="1099" width="8.42578125" bestFit="1" customWidth="1"/>
    <col min="1100" max="1100" width="9.42578125" bestFit="1" customWidth="1"/>
    <col min="1101" max="1101" width="35" bestFit="1" customWidth="1"/>
    <col min="1102" max="1102" width="46.5703125" bestFit="1" customWidth="1"/>
  </cols>
  <sheetData>
    <row r="1" spans="1:4" x14ac:dyDescent="0.25">
      <c r="A1" s="175" t="s">
        <v>221</v>
      </c>
      <c r="B1" t="s">
        <v>225</v>
      </c>
    </row>
    <row r="3" spans="1:4" ht="45" x14ac:dyDescent="0.25">
      <c r="A3" s="176" t="s">
        <v>320</v>
      </c>
      <c r="B3" s="176" t="s">
        <v>321</v>
      </c>
      <c r="C3" s="171" t="s">
        <v>322</v>
      </c>
      <c r="D3" s="171" t="s">
        <v>323</v>
      </c>
    </row>
    <row r="4" spans="1:4" x14ac:dyDescent="0.25">
      <c r="A4" s="172" t="s">
        <v>228</v>
      </c>
      <c r="B4" s="173">
        <v>408.34042553191489</v>
      </c>
      <c r="C4" s="173">
        <v>1610.9148936170213</v>
      </c>
      <c r="D4" s="174">
        <v>3.9450291788245102</v>
      </c>
    </row>
    <row r="5" spans="1:4" x14ac:dyDescent="0.25">
      <c r="A5" s="172" t="s">
        <v>235</v>
      </c>
      <c r="B5" s="173">
        <v>1008.063829787234</v>
      </c>
      <c r="C5" s="173">
        <v>5197.510638297872</v>
      </c>
      <c r="D5" s="174">
        <v>5.1559340636146818</v>
      </c>
    </row>
    <row r="6" spans="1:4" x14ac:dyDescent="0.25">
      <c r="A6" s="172" t="s">
        <v>234</v>
      </c>
      <c r="B6" s="173">
        <v>520.14893617021278</v>
      </c>
      <c r="C6" s="173">
        <v>3516.0425531914893</v>
      </c>
      <c r="D6" s="174">
        <v>6.7596842148320855</v>
      </c>
    </row>
    <row r="7" spans="1:4" x14ac:dyDescent="0.25">
      <c r="A7" s="172" t="s">
        <v>242</v>
      </c>
      <c r="B7" s="173">
        <v>762.21276595744678</v>
      </c>
      <c r="C7" s="173">
        <v>2980.5106382978724</v>
      </c>
      <c r="D7" s="174">
        <v>3.9103394372487719</v>
      </c>
    </row>
    <row r="8" spans="1:4" x14ac:dyDescent="0.25">
      <c r="A8" s="172" t="s">
        <v>230</v>
      </c>
      <c r="B8" s="173">
        <v>21.787234042553191</v>
      </c>
      <c r="C8" s="173">
        <v>153.42553191489361</v>
      </c>
      <c r="D8" s="174">
        <v>7.0419921875</v>
      </c>
    </row>
    <row r="9" spans="1:4" x14ac:dyDescent="0.25">
      <c r="A9" s="172" t="s">
        <v>232</v>
      </c>
      <c r="B9" s="173">
        <v>69.085106382978722</v>
      </c>
      <c r="C9" s="173">
        <v>451.89361702127661</v>
      </c>
      <c r="D9" s="174">
        <v>6.5411148752694794</v>
      </c>
    </row>
    <row r="10" spans="1:4" x14ac:dyDescent="0.25">
      <c r="A10" s="172" t="s">
        <v>239</v>
      </c>
      <c r="B10" s="173">
        <v>792.29787234042556</v>
      </c>
      <c r="C10" s="173">
        <v>4181.9361702127662</v>
      </c>
      <c r="D10" s="174">
        <v>5.2782372844943337</v>
      </c>
    </row>
    <row r="11" spans="1:4" x14ac:dyDescent="0.25">
      <c r="A11" s="172" t="s">
        <v>241</v>
      </c>
      <c r="B11" s="173">
        <v>536</v>
      </c>
      <c r="C11" s="173">
        <v>1945.2978723404256</v>
      </c>
      <c r="D11" s="174">
        <v>3.6292870752619879</v>
      </c>
    </row>
    <row r="12" spans="1:4" x14ac:dyDescent="0.25">
      <c r="A12" s="172" t="s">
        <v>236</v>
      </c>
      <c r="B12" s="173">
        <v>115.40425531914893</v>
      </c>
      <c r="C12" s="173">
        <v>445.468085106383</v>
      </c>
      <c r="D12" s="174">
        <v>3.8600663716814161</v>
      </c>
    </row>
    <row r="13" spans="1:4" x14ac:dyDescent="0.25">
      <c r="A13" s="172" t="s">
        <v>227</v>
      </c>
      <c r="B13" s="173">
        <v>1200.7659574468084</v>
      </c>
      <c r="C13" s="173">
        <v>4157.0638297872338</v>
      </c>
      <c r="D13" s="174">
        <v>3.4620100644978384</v>
      </c>
    </row>
    <row r="14" spans="1:4" x14ac:dyDescent="0.25">
      <c r="A14" s="172" t="s">
        <v>229</v>
      </c>
      <c r="B14" s="173">
        <v>269.40425531914894</v>
      </c>
      <c r="C14" s="173">
        <v>1091.2127659574469</v>
      </c>
      <c r="D14" s="174">
        <v>4.0504659611435789</v>
      </c>
    </row>
    <row r="15" spans="1:4" x14ac:dyDescent="0.25">
      <c r="A15" s="172" t="s">
        <v>231</v>
      </c>
      <c r="B15" s="173">
        <v>600.936170212766</v>
      </c>
      <c r="C15" s="173">
        <v>3241.7234042553191</v>
      </c>
      <c r="D15" s="174">
        <v>5.3944554595666334</v>
      </c>
    </row>
    <row r="16" spans="1:4" x14ac:dyDescent="0.25">
      <c r="A16" s="172" t="s">
        <v>243</v>
      </c>
      <c r="B16" s="173">
        <v>1645.7234042553191</v>
      </c>
      <c r="C16" s="173">
        <v>6223.510638297872</v>
      </c>
      <c r="D16" s="174">
        <v>3.7816261360845003</v>
      </c>
    </row>
    <row r="17" spans="1:4" x14ac:dyDescent="0.25">
      <c r="A17" s="172" t="s">
        <v>224</v>
      </c>
      <c r="B17" s="173">
        <v>843.02127659574467</v>
      </c>
      <c r="C17" s="173">
        <v>3208.5957446808511</v>
      </c>
      <c r="D17" s="174">
        <v>3.8060673363283026</v>
      </c>
    </row>
    <row r="18" spans="1:4" x14ac:dyDescent="0.25">
      <c r="A18" s="172" t="s">
        <v>233</v>
      </c>
      <c r="B18" s="173">
        <v>532.40425531914889</v>
      </c>
      <c r="C18" s="173">
        <v>3246.9361702127658</v>
      </c>
      <c r="D18" s="174">
        <v>6.0986292610798065</v>
      </c>
    </row>
    <row r="19" spans="1:4" x14ac:dyDescent="0.25">
      <c r="A19" s="172" t="s">
        <v>240</v>
      </c>
      <c r="B19" s="173">
        <v>973.19148936170211</v>
      </c>
      <c r="C19" s="173">
        <v>3930.5957446808511</v>
      </c>
      <c r="D19" s="174">
        <v>4.0388718845649318</v>
      </c>
    </row>
    <row r="20" spans="1:4" x14ac:dyDescent="0.25">
      <c r="A20" s="172" t="s">
        <v>324</v>
      </c>
      <c r="B20" s="173">
        <v>643.67420212765956</v>
      </c>
      <c r="C20" s="173">
        <v>2848.9148936170213</v>
      </c>
      <c r="D20" s="174">
        <v>4.4260200023551626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J24"/>
  <sheetViews>
    <sheetView workbookViewId="0">
      <pane ySplit="10" topLeftCell="A11" activePane="bottomLeft" state="frozenSplit"/>
      <selection pane="bottomLeft" activeCell="F28" sqref="F28"/>
    </sheetView>
  </sheetViews>
  <sheetFormatPr defaultRowHeight="11.25" x14ac:dyDescent="0.2"/>
  <cols>
    <col min="1" max="1" width="5.42578125" style="2" customWidth="1"/>
    <col min="2" max="2" width="17.7109375" style="9" customWidth="1"/>
    <col min="3" max="3" width="3.7109375" style="141" customWidth="1"/>
    <col min="4" max="4" width="17.7109375" style="9" customWidth="1"/>
    <col min="5" max="5" width="3.7109375" style="141" customWidth="1"/>
    <col min="6" max="6" width="17.7109375" style="9" customWidth="1"/>
    <col min="7" max="16384" width="9.140625" style="2"/>
  </cols>
  <sheetData>
    <row r="1" spans="1:10" s="145" customFormat="1" ht="12.75" x14ac:dyDescent="0.2">
      <c r="A1" s="183" t="s">
        <v>301</v>
      </c>
      <c r="B1" s="183"/>
      <c r="C1" s="183"/>
      <c r="D1" s="183"/>
      <c r="E1" s="183"/>
      <c r="F1" s="183"/>
      <c r="G1" s="183"/>
    </row>
    <row r="2" spans="1:10" s="145" customFormat="1" x14ac:dyDescent="0.2">
      <c r="B2" s="153"/>
      <c r="C2" s="146"/>
      <c r="D2" s="153"/>
      <c r="E2" s="146"/>
      <c r="F2" s="153"/>
    </row>
    <row r="3" spans="1:10" s="147" customFormat="1" ht="33.75" x14ac:dyDescent="0.2">
      <c r="A3" s="149"/>
      <c r="B3" s="154" t="s">
        <v>298</v>
      </c>
      <c r="C3" s="158"/>
      <c r="D3" s="154" t="s">
        <v>300</v>
      </c>
      <c r="E3" s="158"/>
      <c r="F3" s="154" t="s">
        <v>299</v>
      </c>
      <c r="G3" s="152"/>
    </row>
    <row r="4" spans="1:10" s="148" customFormat="1" x14ac:dyDescent="0.2">
      <c r="A4" s="150"/>
      <c r="B4" s="155"/>
      <c r="C4" s="158"/>
      <c r="D4" s="161"/>
      <c r="E4" s="158"/>
      <c r="F4" s="155"/>
      <c r="G4" s="162"/>
    </row>
    <row r="5" spans="1:10" s="145" customFormat="1" x14ac:dyDescent="0.2">
      <c r="A5" s="151"/>
      <c r="B5" s="156"/>
      <c r="C5" s="159"/>
      <c r="D5" s="156" t="s">
        <v>294</v>
      </c>
      <c r="E5" s="160" t="s">
        <v>302</v>
      </c>
      <c r="F5" s="156" t="s">
        <v>294</v>
      </c>
      <c r="G5" s="163"/>
    </row>
    <row r="6" spans="1:10" s="145" customFormat="1" x14ac:dyDescent="0.2">
      <c r="A6" s="151"/>
      <c r="B6" s="156" t="s">
        <v>291</v>
      </c>
      <c r="C6" s="160" t="s">
        <v>302</v>
      </c>
      <c r="D6" s="156" t="s">
        <v>291</v>
      </c>
      <c r="E6" s="159"/>
      <c r="F6" s="156" t="s">
        <v>295</v>
      </c>
      <c r="G6" s="163"/>
    </row>
    <row r="7" spans="1:10" s="145" customFormat="1" x14ac:dyDescent="0.2">
      <c r="A7" s="151"/>
      <c r="B7" s="156" t="s">
        <v>292</v>
      </c>
      <c r="C7" s="159"/>
      <c r="D7" s="156" t="s">
        <v>223</v>
      </c>
      <c r="E7" s="159"/>
      <c r="F7" s="156" t="s">
        <v>296</v>
      </c>
      <c r="G7" s="163"/>
    </row>
    <row r="8" spans="1:10" s="145" customFormat="1" x14ac:dyDescent="0.2">
      <c r="A8" s="151"/>
      <c r="B8" s="156" t="s">
        <v>293</v>
      </c>
      <c r="C8" s="159"/>
      <c r="D8" s="156" t="s">
        <v>249</v>
      </c>
      <c r="E8" s="159"/>
      <c r="F8" s="156" t="s">
        <v>297</v>
      </c>
      <c r="G8" s="163"/>
    </row>
    <row r="9" spans="1:10" s="145" customFormat="1" x14ac:dyDescent="0.2">
      <c r="A9" s="151"/>
      <c r="B9" s="157"/>
      <c r="C9" s="159"/>
      <c r="D9" s="157"/>
      <c r="E9" s="159"/>
      <c r="F9" s="157"/>
      <c r="G9" s="163"/>
    </row>
    <row r="10" spans="1:10" s="164" customFormat="1" x14ac:dyDescent="0.2">
      <c r="B10" s="165"/>
      <c r="C10" s="166"/>
      <c r="D10" s="165"/>
      <c r="E10" s="166"/>
      <c r="F10" s="165"/>
    </row>
    <row r="12" spans="1:10" x14ac:dyDescent="0.2">
      <c r="B12" s="184" t="s">
        <v>309</v>
      </c>
      <c r="C12" s="185"/>
      <c r="D12" s="186"/>
      <c r="E12" s="167"/>
      <c r="F12" s="184" t="s">
        <v>304</v>
      </c>
      <c r="G12" s="185"/>
      <c r="H12" s="186"/>
    </row>
    <row r="13" spans="1:10" x14ac:dyDescent="0.2">
      <c r="B13" s="142"/>
      <c r="C13" s="169"/>
      <c r="D13" s="142"/>
      <c r="F13" s="142"/>
      <c r="G13" s="4"/>
      <c r="H13" s="4"/>
      <c r="I13" s="4"/>
    </row>
    <row r="14" spans="1:10" ht="99.95" customHeight="1" x14ac:dyDescent="0.2">
      <c r="A14" s="168" t="s">
        <v>303</v>
      </c>
      <c r="B14" s="177" t="s">
        <v>310</v>
      </c>
      <c r="C14" s="178"/>
      <c r="D14" s="179"/>
      <c r="E14" s="143"/>
      <c r="F14" s="187" t="s">
        <v>325</v>
      </c>
      <c r="G14" s="181"/>
      <c r="H14" s="181"/>
      <c r="I14" s="182"/>
      <c r="J14" s="3"/>
    </row>
    <row r="15" spans="1:10" x14ac:dyDescent="0.2">
      <c r="B15" s="142"/>
      <c r="C15" s="169"/>
      <c r="D15" s="142"/>
      <c r="F15" s="142"/>
      <c r="G15" s="4"/>
      <c r="H15" s="4"/>
      <c r="I15" s="4"/>
    </row>
    <row r="16" spans="1:10" ht="99.95" customHeight="1" x14ac:dyDescent="0.2">
      <c r="A16" s="168" t="s">
        <v>305</v>
      </c>
      <c r="B16" s="177" t="s">
        <v>311</v>
      </c>
      <c r="C16" s="178"/>
      <c r="D16" s="179"/>
      <c r="E16" s="143"/>
      <c r="F16" s="180" t="s">
        <v>326</v>
      </c>
      <c r="G16" s="181"/>
      <c r="H16" s="181"/>
      <c r="I16" s="182"/>
      <c r="J16" s="3"/>
    </row>
    <row r="17" spans="1:10" x14ac:dyDescent="0.2">
      <c r="B17" s="23"/>
      <c r="C17" s="144"/>
      <c r="D17" s="23"/>
      <c r="F17" s="23"/>
      <c r="G17" s="5"/>
      <c r="H17" s="5"/>
      <c r="I17" s="5"/>
    </row>
    <row r="18" spans="1:10" ht="99.95" customHeight="1" x14ac:dyDescent="0.2">
      <c r="A18" s="168" t="s">
        <v>306</v>
      </c>
      <c r="B18" s="177" t="s">
        <v>312</v>
      </c>
      <c r="C18" s="178"/>
      <c r="D18" s="179"/>
      <c r="E18" s="143"/>
      <c r="F18" s="180" t="s">
        <v>327</v>
      </c>
      <c r="G18" s="181"/>
      <c r="H18" s="181"/>
      <c r="I18" s="182"/>
      <c r="J18" s="3"/>
    </row>
    <row r="19" spans="1:10" x14ac:dyDescent="0.2">
      <c r="B19" s="23"/>
      <c r="C19" s="144"/>
      <c r="D19" s="23"/>
      <c r="F19" s="23"/>
      <c r="G19" s="5"/>
      <c r="H19" s="5"/>
      <c r="I19" s="5"/>
    </row>
    <row r="20" spans="1:10" ht="99.95" customHeight="1" x14ac:dyDescent="0.2">
      <c r="A20" s="168" t="s">
        <v>307</v>
      </c>
      <c r="B20" s="177" t="s">
        <v>313</v>
      </c>
      <c r="C20" s="178"/>
      <c r="D20" s="179"/>
      <c r="E20" s="143"/>
      <c r="F20" s="180" t="s">
        <v>328</v>
      </c>
      <c r="G20" s="181"/>
      <c r="H20" s="181"/>
      <c r="I20" s="182"/>
      <c r="J20" s="3"/>
    </row>
    <row r="21" spans="1:10" x14ac:dyDescent="0.2">
      <c r="B21" s="23"/>
      <c r="C21" s="144"/>
      <c r="D21" s="23"/>
      <c r="F21" s="23"/>
      <c r="G21" s="5"/>
      <c r="H21" s="5"/>
      <c r="I21" s="5"/>
    </row>
    <row r="22" spans="1:10" ht="99.95" customHeight="1" x14ac:dyDescent="0.2">
      <c r="A22" s="168" t="s">
        <v>308</v>
      </c>
      <c r="B22" s="177" t="s">
        <v>315</v>
      </c>
      <c r="C22" s="178"/>
      <c r="D22" s="179"/>
      <c r="E22" s="143"/>
      <c r="F22" s="180" t="s">
        <v>329</v>
      </c>
      <c r="G22" s="181"/>
      <c r="H22" s="181"/>
      <c r="I22" s="182"/>
      <c r="J22" s="3"/>
    </row>
    <row r="23" spans="1:10" x14ac:dyDescent="0.2">
      <c r="B23" s="23"/>
      <c r="C23" s="144"/>
      <c r="D23" s="23"/>
      <c r="F23" s="23"/>
      <c r="G23" s="5"/>
      <c r="H23" s="5"/>
      <c r="I23" s="5"/>
    </row>
    <row r="24" spans="1:10" ht="99.95" customHeight="1" x14ac:dyDescent="0.2">
      <c r="A24" s="168" t="s">
        <v>316</v>
      </c>
      <c r="B24" s="177" t="s">
        <v>314</v>
      </c>
      <c r="C24" s="178"/>
      <c r="D24" s="179"/>
      <c r="E24" s="143"/>
      <c r="F24" s="180" t="s">
        <v>330</v>
      </c>
      <c r="G24" s="181"/>
      <c r="H24" s="181"/>
      <c r="I24" s="182"/>
      <c r="J24" s="3"/>
    </row>
  </sheetData>
  <mergeCells count="15">
    <mergeCell ref="B24:D24"/>
    <mergeCell ref="F24:I24"/>
    <mergeCell ref="A1:G1"/>
    <mergeCell ref="B16:D16"/>
    <mergeCell ref="F16:I16"/>
    <mergeCell ref="B12:D12"/>
    <mergeCell ref="F12:H12"/>
    <mergeCell ref="B18:D18"/>
    <mergeCell ref="F18:I18"/>
    <mergeCell ref="B14:D14"/>
    <mergeCell ref="F14:I14"/>
    <mergeCell ref="B22:D22"/>
    <mergeCell ref="F22:I22"/>
    <mergeCell ref="B20:D20"/>
    <mergeCell ref="F20:I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Тестирование</vt:lpstr>
      <vt:lpstr>Часть 1</vt:lpstr>
      <vt:lpstr>Часть 1_ответы</vt:lpstr>
      <vt:lpstr>Часть 2</vt:lpstr>
      <vt:lpstr>Часть 2_ответы</vt:lpstr>
      <vt:lpstr>Часть 3</vt:lpstr>
      <vt:lpstr>Срок Годности</vt:lpstr>
      <vt:lpstr>Часть 0</vt:lpstr>
      <vt:lpstr>Сводная</vt:lpstr>
      <vt:lpstr>Часть 4</vt:lpstr>
    </vt:vector>
  </TitlesOfParts>
  <Company>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golovatova_dn</dc:creator>
  <cp:lastModifiedBy>Gagarin</cp:lastModifiedBy>
  <dcterms:created xsi:type="dcterms:W3CDTF">2012-09-20T05:21:30Z</dcterms:created>
  <dcterms:modified xsi:type="dcterms:W3CDTF">2023-07-26T01:30:32Z</dcterms:modified>
</cp:coreProperties>
</file>